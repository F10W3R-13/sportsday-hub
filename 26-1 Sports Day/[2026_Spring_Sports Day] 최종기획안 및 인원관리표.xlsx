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개요" sheetId="1" r:id="rId4"/>
    <sheet state="visible" name="1. 행사 기획안" sheetId="2" r:id="rId5"/>
    <sheet state="visible" name="2. 타임라인 &amp; 인원관리표" sheetId="3" r:id="rId6"/>
    <sheet state="visible" name="3. 팀별 편성" sheetId="4" r:id="rId7"/>
    <sheet state="hidden" name="3. 팀별 편성의 사본" sheetId="5" r:id="rId8"/>
    <sheet state="visible" name="4. 준비물" sheetId="6" r:id="rId9"/>
    <sheet state="visible" name="5. 예산안" sheetId="7" r:id="rId10"/>
    <sheet state="hidden" name="5. 예산안의 사본" sheetId="8" r:id="rId11"/>
    <sheet state="visible" name="6. 행사 피드백" sheetId="9" r:id="rId12"/>
  </sheets>
  <definedNames/>
  <calcPr/>
  <extLst>
    <ext uri="GoogleSheetsCustomDataVersion2">
      <go:sheetsCustomData xmlns:go="http://customooxmlschemas.google.com/" r:id="rId13" roundtripDataChecksum="mOID6FATAupFsexjRBf0AheBPx3BytAIMLaL+Rp1bWo="/>
    </ext>
  </extLst>
</workbook>
</file>

<file path=xl/sharedStrings.xml><?xml version="1.0" encoding="utf-8"?>
<sst xmlns="http://schemas.openxmlformats.org/spreadsheetml/2006/main" count="1708" uniqueCount="790">
  <si>
    <t>개요</t>
  </si>
  <si>
    <t>하이클럽 인원</t>
  </si>
  <si>
    <t>기획 배경</t>
  </si>
  <si>
    <t>행사 기획안</t>
  </si>
  <si>
    <t>- 건강도 챙기고 재미도 챙길 수 있는, 한국형 체육대회! 이번에는 '마리오 파티' 컨셉으로 돌아왔다! 
- 이번 체육대회 행사는 전년도보다 40명의 교환학생이 참여하고, 해당 학생들을 총 5개 팀(마리오 캐릭터 5가지)으로 나누어 진행합니다. 
- 각 팀에는 교환학생을 인솔하는 하이클럽 부원들이 배치됩니다. 
- 이번 행사는 인사캠퍼스 대운동장에서 진행되며 우천시 수성관으로 변경하여 진행할 예정입니다. 율전 소속 하이클럽 부원들은 9시 반까지 N센터 앞에 집합하여 10시부터 교환학생 명단을 확인하고, 함께 버스를 탑승하여 10시 반에 명륜으로 출발합니다. 나머지 인원은 명륜 캠퍼스에 10시까지 집합하며, 교환학생들은 12시부터 소속 캠퍼스 상관 없이 입장 시작할 예정입니다.
- 율전 출발 버스는 12시 전으로 도착이 예상되는데, 도착 후 인원들에게 팀별 셔츠와 점심식사를 제공한 후 점심이 마무리된 1시부터 행사를 진행할 예정입니다.
- 팀별 대항전인 토너먼트형 게임(팀전)과 개인적으로 미니게임에 참여해 달고나 등의 상품을 가져갈 수 있도록 미니게임(개인전)을 동시에 진행합니다. 
- 하이클럽 인원이 참여할 수 있는게임이 있으면 좋겠다는 피드백을 반영하여 총괄 및 특정 실무자를 제외한 하이클럽 인원에게 팀을 배정하여 함께 게임에 참여할 수 있도록 하였습니다.</t>
  </si>
  <si>
    <t>TEAM MARIO</t>
  </si>
  <si>
    <t>TEAM LUIGI</t>
  </si>
  <si>
    <t>기획부</t>
  </si>
  <si>
    <t>기획 일정</t>
  </si>
  <si>
    <t>TEAM WARIO</t>
  </si>
  <si>
    <t>날짜/시간</t>
  </si>
  <si>
    <t>회장단</t>
  </si>
  <si>
    <t>TEAM WALUIGI</t>
  </si>
  <si>
    <t>내용</t>
  </si>
  <si>
    <t>TEAM BOO</t>
  </si>
  <si>
    <t>구체적</t>
  </si>
  <si>
    <t>MALE</t>
  </si>
  <si>
    <t>FEMALE</t>
  </si>
  <si>
    <t>기획팀 배정</t>
  </si>
  <si>
    <t>- 실무팀 인원 배정
- 각 실무팀 업무 가이드라인 제공</t>
  </si>
  <si>
    <t>행사명</t>
  </si>
  <si>
    <t>Super 'HI'-rio Party</t>
  </si>
  <si>
    <t>하클 가용인원</t>
  </si>
  <si>
    <t>구분</t>
  </si>
  <si>
    <t>기획관리팀 1차 회의</t>
  </si>
  <si>
    <t xml:space="preserve">1부 </t>
  </si>
  <si>
    <t>- 컨셉 회의
- 작년 기획안과 예산 활용 관련</t>
  </si>
  <si>
    <t>필참</t>
  </si>
  <si>
    <t>2부</t>
  </si>
  <si>
    <t>정혜림</t>
  </si>
  <si>
    <t>인원체크</t>
  </si>
  <si>
    <t>기획팀원</t>
  </si>
  <si>
    <t>서인호</t>
  </si>
  <si>
    <r>
      <rPr>
        <rFont val="휴먼명조"/>
        <color theme="1"/>
        <sz val="11.0"/>
      </rPr>
      <t xml:space="preserve">기획관리팀장 - </t>
    </r>
    <r>
      <rPr>
        <rFont val="휴먼명조"/>
        <b/>
        <color theme="1"/>
        <sz val="11.0"/>
      </rPr>
      <t xml:space="preserve">윤서연
</t>
    </r>
    <r>
      <rPr>
        <rFont val="휴먼명조"/>
        <color theme="1"/>
        <sz val="11.0"/>
      </rPr>
      <t xml:space="preserve">기획관리팀 - 강재희 김나경 유민우 임유진, 이은재
타임라인, 인원관리팀 - </t>
    </r>
    <r>
      <rPr>
        <rFont val="휴먼명조"/>
        <b/>
        <color theme="1"/>
        <sz val="11.0"/>
      </rPr>
      <t>김나경</t>
    </r>
    <r>
      <rPr>
        <rFont val="휴먼명조"/>
        <color theme="1"/>
        <sz val="11.0"/>
      </rPr>
      <t xml:space="preserve">, 강하은, 배현빈
콘텐츠팀 - </t>
    </r>
    <r>
      <rPr>
        <rFont val="휴먼명조"/>
        <b/>
        <color theme="1"/>
        <sz val="11.0"/>
      </rPr>
      <t>유민우</t>
    </r>
    <r>
      <rPr>
        <rFont val="휴먼명조"/>
        <color theme="1"/>
        <sz val="11.0"/>
      </rPr>
      <t xml:space="preserve">, 오태현, 오윤주
예산안팀 - </t>
    </r>
    <r>
      <rPr>
        <rFont val="휴먼명조"/>
        <b/>
        <color theme="1"/>
        <sz val="11.0"/>
      </rPr>
      <t>임유진</t>
    </r>
    <r>
      <rPr>
        <rFont val="휴먼명조"/>
        <color theme="1"/>
        <sz val="11.0"/>
      </rPr>
      <t xml:space="preserve">, 강단비, 나정주
교환담당팀 - </t>
    </r>
    <r>
      <rPr>
        <rFont val="휴먼명조"/>
        <b/>
        <color theme="1"/>
        <sz val="11.0"/>
      </rPr>
      <t>강재희</t>
    </r>
    <r>
      <rPr>
        <rFont val="휴먼명조"/>
        <color theme="1"/>
        <sz val="11.0"/>
      </rPr>
      <t>, 배솔비, 이현지, 이희수</t>
    </r>
  </si>
  <si>
    <t>강단비</t>
  </si>
  <si>
    <t>시간</t>
  </si>
  <si>
    <t>박하늘</t>
  </si>
  <si>
    <t>이강서</t>
  </si>
  <si>
    <t>기획팀 1차 회의</t>
  </si>
  <si>
    <t>장소 및 일정</t>
  </si>
  <si>
    <t>배솔비</t>
  </si>
  <si>
    <t>행사 일자</t>
  </si>
  <si>
    <t>박서윤</t>
  </si>
  <si>
    <t>성현중</t>
  </si>
  <si>
    <t>본 행사</t>
  </si>
  <si>
    <t>양서경</t>
  </si>
  <si>
    <t>역할</t>
  </si>
  <si>
    <t>- 기획 일정 공유
- 종목 관련 회의
- 예산안 공유</t>
  </si>
  <si>
    <t>강재희</t>
  </si>
  <si>
    <t>인원</t>
  </si>
  <si>
    <t>김민서</t>
  </si>
  <si>
    <t>담당자</t>
  </si>
  <si>
    <t>오태현</t>
  </si>
  <si>
    <t>신지나</t>
  </si>
  <si>
    <t>임도준</t>
  </si>
  <si>
    <t>박서원</t>
  </si>
  <si>
    <t>임종욱</t>
  </si>
  <si>
    <t>강하은</t>
  </si>
  <si>
    <t>권재현</t>
  </si>
  <si>
    <t>이은재</t>
  </si>
  <si>
    <t>전창민</t>
  </si>
  <si>
    <t>명륜 집합</t>
  </si>
  <si>
    <t>나정주</t>
  </si>
  <si>
    <t>류주영</t>
  </si>
  <si>
    <t xml:space="preserve">임유진 </t>
  </si>
  <si>
    <t>형원희</t>
  </si>
  <si>
    <t>이현서</t>
  </si>
  <si>
    <t>이대현</t>
  </si>
  <si>
    <t>10:00 ~ 19:00</t>
  </si>
  <si>
    <t>9:30~10:00</t>
  </si>
  <si>
    <t>장소</t>
  </si>
  <si>
    <t>김나경</t>
  </si>
  <si>
    <t>율전 율브 집합</t>
  </si>
  <si>
    <t>인문사회캠퍼스 대운동장</t>
  </si>
  <si>
    <t>배현빈</t>
  </si>
  <si>
    <t>오윤주</t>
  </si>
  <si>
    <t>정홍재</t>
  </si>
  <si>
    <t>이도연</t>
  </si>
  <si>
    <t>하클 인원체크</t>
  </si>
  <si>
    <t>예건희</t>
  </si>
  <si>
    <t>권나혜</t>
  </si>
  <si>
    <t>김민정</t>
  </si>
  <si>
    <t>정연종</t>
  </si>
  <si>
    <t>김지원</t>
  </si>
  <si>
    <t>이주환</t>
  </si>
  <si>
    <t>최준혁</t>
  </si>
  <si>
    <t>전윤정</t>
  </si>
  <si>
    <t>이희수</t>
  </si>
  <si>
    <t xml:space="preserve">유민우 </t>
  </si>
  <si>
    <t>이현지</t>
  </si>
  <si>
    <t>안령인</t>
  </si>
  <si>
    <t>우천시</t>
  </si>
  <si>
    <t>이나원</t>
  </si>
  <si>
    <t>무궁화 심판</t>
  </si>
  <si>
    <t>5/9 수성관</t>
  </si>
  <si>
    <t>한고은</t>
  </si>
  <si>
    <t>장혜원</t>
  </si>
  <si>
    <t>김나은</t>
  </si>
  <si>
    <t>이주환 (점수 집계)</t>
  </si>
  <si>
    <t>윤서연 (본부)</t>
  </si>
  <si>
    <t xml:space="preserve"> </t>
  </si>
  <si>
    <t>김소라 (사회)</t>
  </si>
  <si>
    <t>고연준 (점수 집계)</t>
  </si>
  <si>
    <t>윤시현(사회)</t>
  </si>
  <si>
    <r>
      <rPr>
        <rFont val="Arial"/>
        <color theme="1"/>
      </rPr>
      <t xml:space="preserve">교환 버스 인원체크 간이부스 설치 (의자, 노트북) </t>
    </r>
    <r>
      <rPr>
        <rFont val="Arial"/>
        <b/>
        <color rgb="FFFF0000"/>
      </rPr>
      <t>노트북 지참!!</t>
    </r>
  </si>
  <si>
    <t>&lt;행사 전&gt;</t>
  </si>
  <si>
    <t>교환학생 인원</t>
  </si>
  <si>
    <t>Gian Linsangan</t>
  </si>
  <si>
    <t>Leanne Tran</t>
  </si>
  <si>
    <t>미니게임 간식배부</t>
  </si>
  <si>
    <t>Lucas Promseemai</t>
  </si>
  <si>
    <t>SINTYANANDA KETUT AYU ANJELITA</t>
  </si>
  <si>
    <t xml:space="preserve">Karthikeya Reddy Ummadi Reddy </t>
  </si>
  <si>
    <t>Sophie Gee</t>
  </si>
  <si>
    <t>Bao Ngoc Nguyen Le</t>
  </si>
  <si>
    <t>물품 상차</t>
  </si>
  <si>
    <t>Alice Hjertvik Berland</t>
  </si>
  <si>
    <t>ROZENDAAL KAI JUEI</t>
  </si>
  <si>
    <t>Shao Xiaoyue</t>
  </si>
  <si>
    <t>Janek Deininger</t>
  </si>
  <si>
    <t>Sophia Tran</t>
  </si>
  <si>
    <t>Christian Zantua</t>
  </si>
  <si>
    <t>고연준</t>
  </si>
  <si>
    <t>Fatima Tuz Zahra</t>
  </si>
  <si>
    <t>점수 집계</t>
  </si>
  <si>
    <t>Jon Gaviola</t>
  </si>
  <si>
    <t>Chika Ito</t>
  </si>
  <si>
    <t>Ole Poeschl</t>
  </si>
  <si>
    <t>Misaki Koyama</t>
  </si>
  <si>
    <t>행사 전 준비</t>
  </si>
  <si>
    <t>Massimiliano Coco</t>
  </si>
  <si>
    <t>Elisabeth Kamenska</t>
  </si>
  <si>
    <t>Eren Baykut</t>
  </si>
  <si>
    <t>Kim Lucia Weischedel</t>
  </si>
  <si>
    <t>부스 노래 준비</t>
  </si>
  <si>
    <t>Biswas Shahin</t>
  </si>
  <si>
    <t>Eisha Tur Raazia</t>
  </si>
  <si>
    <t>Aryan Zia</t>
  </si>
  <si>
    <t>Eesha Siddiqui</t>
  </si>
  <si>
    <t>Eliot Hugot</t>
  </si>
  <si>
    <t>Elisaveta Ott</t>
  </si>
  <si>
    <t>-</t>
  </si>
  <si>
    <t>Hurstel Alexis</t>
  </si>
  <si>
    <t>Weaver Kayla June</t>
  </si>
  <si>
    <t>10:00~10:30</t>
  </si>
  <si>
    <t>Chu Jeng Kuen</t>
  </si>
  <si>
    <t>버스 탑승 안내</t>
  </si>
  <si>
    <t>USB에 노래 담아서 준비</t>
  </si>
  <si>
    <t>Emily Weng Mun Ing</t>
  </si>
  <si>
    <t>Quinn Stolte</t>
  </si>
  <si>
    <t>AKASH GD</t>
  </si>
  <si>
    <t>Claudia Condori</t>
  </si>
  <si>
    <t>Sebastian Hirsig (티셔츠만 수령)</t>
  </si>
  <si>
    <t>Tran Nguyen Xuan nguyen</t>
  </si>
  <si>
    <t>Andre Klik</t>
  </si>
  <si>
    <t>판 뒤집기 심판</t>
  </si>
  <si>
    <t>입장관리, 점수집계용 노트북 준비</t>
  </si>
  <si>
    <t>Devine Kalekyezi</t>
  </si>
  <si>
    <t>Nmachi Itumoh</t>
  </si>
  <si>
    <t>Dennis Fitra Ananda Maasdam</t>
  </si>
  <si>
    <t>10:00 - 10:30</t>
  </si>
  <si>
    <t>Julius Affhueppe</t>
  </si>
  <si>
    <t>물품 준비</t>
  </si>
  <si>
    <t>노트북 풀충해서 준비</t>
  </si>
  <si>
    <t>Anthony Khuc</t>
  </si>
  <si>
    <t>First Aid 섭외</t>
  </si>
  <si>
    <t>Simon Mueller</t>
  </si>
  <si>
    <t>국제처에 First Aid 인원 문의</t>
  </si>
  <si>
    <t>김소라</t>
  </si>
  <si>
    <t>사회자</t>
  </si>
  <si>
    <t>&lt; 2026.05.09 (토) / 행사 당일 &gt;</t>
  </si>
  <si>
    <t>Robert Popelka</t>
  </si>
  <si>
    <t>담당자(역할)</t>
  </si>
  <si>
    <t>자세한 역할</t>
  </si>
  <si>
    <t>총학 물품 이동</t>
  </si>
  <si>
    <t>율전</t>
  </si>
  <si>
    <t>9:30 - 10:00</t>
  </si>
  <si>
    <t>율전 N센터 앞</t>
  </si>
  <si>
    <t>하클 출석체크</t>
  </si>
  <si>
    <t xml:space="preserve">배솔비 </t>
  </si>
  <si>
    <t>하클 인원체크 담당</t>
  </si>
  <si>
    <t>임유진</t>
  </si>
  <si>
    <t>김규린 (SG)</t>
  </si>
  <si>
    <t>율전 오전 9시 반 율전 브룸에 집합한다.
(지각 시 벌점)</t>
  </si>
  <si>
    <t>정동근(SG)</t>
  </si>
  <si>
    <t>심판 - 1명 모두 상주</t>
  </si>
  <si>
    <t>교환 버스 탑승 수속 준비</t>
  </si>
  <si>
    <t>율전에서 출발하는 하클</t>
  </si>
  <si>
    <t>노트북으로 교환명단 준비 후 버스 앞에 교환 인원 체크용 간이부스 설치
(교환명단 링크 첨부)</t>
  </si>
  <si>
    <t>팀장</t>
  </si>
  <si>
    <t>석민하 (SG)</t>
  </si>
  <si>
    <t>최수혁 (SG)</t>
  </si>
  <si>
    <t>권서연 (SG)</t>
  </si>
  <si>
    <t>물품 구매 (얼음)</t>
  </si>
  <si>
    <t>브룸 물품 이동</t>
  </si>
  <si>
    <t>명륜으로 옮겨야 하는 물건을 버스에 상차한다.
(최대한 미리 옮겨두어 상차 물품을 최소화)</t>
  </si>
  <si>
    <t>계주인원</t>
  </si>
  <si>
    <t>유민우</t>
  </si>
  <si>
    <t>버스 탑승 안내
및 출발</t>
  </si>
  <si>
    <t>윤시현</t>
  </si>
  <si>
    <t>- 교환명단에 출석 교환 체크하여 버스 탑승 안내한다.
- 10시 30분이 되면 각 버스에 하클인원 적절히 나눠타고 이동한다.
- 출발 전에 카톡 정보방에 출발한다고 문자 남기기</t>
  </si>
  <si>
    <t>명륜</t>
  </si>
  <si>
    <t>명륜 대운동장</t>
  </si>
  <si>
    <t>천막 설치</t>
  </si>
  <si>
    <t>업체에서 진행</t>
  </si>
  <si>
    <t>업체에서 천막 설치해주실 예정</t>
  </si>
  <si>
    <t>국제관 로비</t>
  </si>
  <si>
    <t>내부체크 및 총괄</t>
  </si>
  <si>
    <t>윤서연</t>
  </si>
  <si>
    <t>계주인원은 하이라이트</t>
  </si>
  <si>
    <t xml:space="preserve">하클 인원체크 담당 </t>
  </si>
  <si>
    <t>명륜 오전 10:00 국제관 로비 집합
(지각 시 벌점)</t>
  </si>
  <si>
    <t xml:space="preserve">Breakout Room </t>
  </si>
  <si>
    <t>준비물 확인 인원 *대운동장 대기</t>
  </si>
  <si>
    <t>물품 이동</t>
  </si>
  <si>
    <t>페이스페인팅</t>
  </si>
  <si>
    <t>'4. 준비물' 시트의 Breakout Room에 있는 물품을 운동장으로 이동시킨다.(추후 최신화 예정)</t>
  </si>
  <si>
    <t>10:30 - 11:50</t>
  </si>
  <si>
    <t xml:space="preserve">경기장 준비 </t>
  </si>
  <si>
    <t xml:space="preserve">입장 관리존 설치 </t>
  </si>
  <si>
    <t>대운동장 근처</t>
  </si>
  <si>
    <t>총학 물품이동</t>
  </si>
  <si>
    <t>본부</t>
  </si>
  <si>
    <t>테이블, 의자 등 국제처에서 대여한 물품을 운동장으로 이동시킨다.</t>
  </si>
  <si>
    <t>심판</t>
  </si>
  <si>
    <t>입장 관리존 준비물 확인 인원</t>
  </si>
  <si>
    <t>학교 근처 마트</t>
  </si>
  <si>
    <t>물품 구매</t>
  </si>
  <si>
    <t>학교 주변에 있는 마트에서 얼음을 구매한다.</t>
  </si>
  <si>
    <t>경기장 및 미니게임 부스 설치</t>
  </si>
  <si>
    <t>대운동장</t>
  </si>
  <si>
    <t>경기장 준비
스포츠데이 배치도</t>
  </si>
  <si>
    <t>입장 관리존 설치
(최우선순위)</t>
  </si>
  <si>
    <t>- 입장 시에 교환학생들을 맞이 할 공간을 세팅한다.
- 하클 천막에 의자 8개, 노트북 4대를 세팅한다.
- 브룸에서 물품(의류, 물, 도장판)이 도착하면 제공할 굿즈를 테이블 위에 배치한다.
- 교환학생들의 점심도 이곳에서 배부한다.</t>
  </si>
  <si>
    <t>- 경기장 규격에 맞게 콘을 이용해서 경기장 구역을 표시한다.
- 경기장 규격은 60m x 40m 이다.
- 미니게임 부스인 천막 3개에 미니게임 물품을 셋팅한다.
- 1부 미니게임 배치도를 보고 각 천막에 미니게임의 이름이 적혀있는 하드보드지를 부착한다.
- 2부 미니게임의 이름이 적혀있는 하드보드지는 부착하지 않고 테이블에 올려둔다.</t>
  </si>
  <si>
    <t>경기장 준비물 확인 인원</t>
  </si>
  <si>
    <t>팀별 응원 및 대기 존 설치</t>
  </si>
  <si>
    <t>- 팀 별로 돗자리 2개씩 펼친다. 돗자리 역시 날아가지 않도록 한다.
- 팀 이름이 적힌 하드보드지를 천막에 부착한다.</t>
  </si>
  <si>
    <t>본부 설치</t>
  </si>
  <si>
    <t>- 천막 2개, 듀라테이블 3개, 의자 10개, 칠판 1개, 노트북 2대(집계팀이 준비)를 설치한다.
- 천막 1개는 하클 사회자가 대기하고 진행하는 공간, 나머지 천막 1개는 행사 진행을 총괄하는 공간이다.
토너먼트 표 등 제작한다.</t>
  </si>
  <si>
    <r>
      <rPr>
        <rFont val="Arial"/>
        <b/>
        <color rgb="FF9900FF"/>
        <sz val="11.0"/>
      </rPr>
      <t>팀장</t>
    </r>
    <r>
      <rPr>
        <rFont val="Arial"/>
        <color rgb="FFFF9900"/>
        <sz val="11.0"/>
      </rPr>
      <t>, 계주</t>
    </r>
  </si>
  <si>
    <t>점심 식사 수령</t>
  </si>
  <si>
    <t>- 11시 15분에 식사 배달 수령을 담당한다.
- 수령을 완료한 후 하클이 바로 식사할 수 있도록 안내한다.</t>
  </si>
  <si>
    <t xml:space="preserve">이은재 </t>
  </si>
  <si>
    <t>준비 총괄</t>
  </si>
  <si>
    <t>- 인력이 부족한 일이 있으면 돕는다.
- 배치 관련해서 질문이 들어오면 이를 해결한다.</t>
  </si>
  <si>
    <t>교환존 준비물 확인 인원</t>
  </si>
  <si>
    <t>율전 버스 명륜 도착 이후</t>
  </si>
  <si>
    <t>11:50 - 12:50</t>
  </si>
  <si>
    <t xml:space="preserve">본부 설치 </t>
  </si>
  <si>
    <t>인원 체크 및 점심식사 배부
스포츠데이 교환 명단
입장부스 진행 방식</t>
  </si>
  <si>
    <t>율전 입장 시작</t>
  </si>
  <si>
    <t xml:space="preserve">입장 수속 진행한다. 
(세부 사항은 아래 1 2 3번 참고) </t>
  </si>
  <si>
    <t>본부 준비물 확인 인원</t>
  </si>
  <si>
    <t>명륜 교환 인솔 인원</t>
  </si>
  <si>
    <t>버스 도착 후 바로 인솔하여 입장 수속 진행한다.</t>
  </si>
  <si>
    <t>미니게임 도장체크</t>
  </si>
  <si>
    <t>1. 인원 체크</t>
  </si>
  <si>
    <r>
      <rPr>
        <rFont val="휴먼명조"/>
        <b/>
        <color theme="1"/>
        <sz val="11.0"/>
      </rPr>
      <t>스포츠데이 교환 명단</t>
    </r>
    <r>
      <rPr>
        <rFont val="휴먼명조"/>
        <color theme="1"/>
        <sz val="11.0"/>
      </rPr>
      <t xml:space="preserve"> 에서 이름 대조 및 확인, 확인 후 체크 표시</t>
    </r>
  </si>
  <si>
    <t>2. 도장판 뒤에 단체티 사이즈, 점심 적기</t>
  </si>
  <si>
    <r>
      <rPr>
        <rFont val="휴먼명조"/>
        <color theme="1"/>
        <sz val="11.0"/>
      </rPr>
      <t xml:space="preserve">교환학생 입장 관리 줄에서 넘어온 교환학생들에게 본인이 속한 팀과 구글폼으로 제출한 사이즈에 맞게 </t>
    </r>
    <r>
      <rPr>
        <rFont val="휴먼명조"/>
        <b/>
        <color theme="1"/>
        <sz val="11.0"/>
      </rPr>
      <t>티셔츠</t>
    </r>
    <r>
      <rPr>
        <rFont val="휴먼명조"/>
        <color theme="1"/>
        <sz val="11.0"/>
      </rPr>
      <t xml:space="preserve">를 나눠준다.
</t>
    </r>
    <r>
      <rPr>
        <rFont val="휴먼명조"/>
        <b/>
        <color theme="1"/>
        <sz val="11.0"/>
      </rPr>
      <t xml:space="preserve">미니게임 시 활용할 도장판을 나눠준다.
</t>
    </r>
    <r>
      <rPr>
        <rFont val="휴먼명조"/>
        <color theme="1"/>
        <sz val="11.0"/>
      </rPr>
      <t>단체티 배부하고 수령 확인에 '0' 표시</t>
    </r>
  </si>
  <si>
    <t>3. 단체티, 점심 배부</t>
  </si>
  <si>
    <t>- 교환학생 본인이 주문한 메뉴(비건, 논비건)를 알려주고 맞는 줄로 안내한다.
- 물을 나눠준다. 
- 안내 후 수령 란에 '0' 표시한다.</t>
  </si>
  <si>
    <t>12:50 - 13:00</t>
  </si>
  <si>
    <t>개막 전 선수 입장</t>
  </si>
  <si>
    <t xml:space="preserve">경기장 내 팀별로 소집 </t>
  </si>
  <si>
    <t>(각 팀별 팀장 및 부팀장, 팀별 2명)
- 팀별 천막에서 대기하고 있으면서 교환학생들이 오면 따뜻하게 반겨준다.
- 게임 내용을 간략하게 설명해준다.</t>
  </si>
  <si>
    <t>그 외 인원</t>
  </si>
  <si>
    <t>개회시 본인이 있는 위치를 확인해서 그 장소에 대기하여 행사 시작시 진행에 차질이 없도록 한다.</t>
  </si>
  <si>
    <t>13::00 - 13:30</t>
  </si>
  <si>
    <t>율전버스 명륜도착</t>
  </si>
  <si>
    <t>개회 - 국민체조 전</t>
  </si>
  <si>
    <t>11:50~12:50</t>
  </si>
  <si>
    <t>지각자 입장 관리</t>
  </si>
  <si>
    <t>입장체크 및 점심식사 배부</t>
  </si>
  <si>
    <t>입장 부스에 대기하면서 지각생이 오면 명단 확인과 굿즈 배부를 진행한 다음 입장시킨다.</t>
  </si>
  <si>
    <t>율전 교환 인솔</t>
  </si>
  <si>
    <t>1부 사회자</t>
  </si>
  <si>
    <t>- 12시 55분에 13시에 시작할 예정이니 각 팀별로 두 줄씩 대기해달라고 안내한다.
- 정각에 시작을 안내하고 각 팀을 호명해서 경기장 구역으로 이동하도록 한다.
- 개회식 선서를 진행한다.
- 간단한 준비 운동을 할 예정이니 국민체조 진행 인원들에게 나와달라고 한 후, 국민체조를 진행한다.</t>
  </si>
  <si>
    <t>팀 별 인솔</t>
  </si>
  <si>
    <t>- 55분에 사회자 안내가 끝나면 인원들을 2줄로 모아서 경기장에 입장할 준비를 한다.
- 사회자가 각자의 팀을 호명하면 경기장 내부로 입장한다.
- 입장 후 사회자의 지시에 따라서 교환학생을 인솔한다.</t>
  </si>
  <si>
    <t>부스 노래 담당</t>
  </si>
  <si>
    <r>
      <rPr>
        <rFont val="휴먼명조"/>
        <color theme="1"/>
        <sz val="11.0"/>
      </rPr>
      <t xml:space="preserve">- 각 팀 입장시 각자 다른 K-pop BGM을 깔아준다. 
(BGM은 미리 선정해서 USB에 다른 트랙으로 넣어야한다)
- 국민체조 시 국민체조 음악을 튼다.
</t>
    </r>
    <r>
      <rPr>
        <rFont val="휴먼명조"/>
        <b/>
        <color theme="1"/>
        <sz val="11.0"/>
      </rPr>
      <t>(국민체조 음악은 드라이브 참고)</t>
    </r>
    <r>
      <rPr>
        <rFont val="휴먼명조"/>
        <color theme="1"/>
        <sz val="11.0"/>
      </rPr>
      <t xml:space="preserve">
- 이때, 각 팀별 음악과 국민체조 음악 트랙 번호를 기억하고 있어야 한다 (모르고 있다가 부랴부랴 트랙 넘기고 있으면 사고임)</t>
    </r>
  </si>
  <si>
    <t>도장판 작성</t>
  </si>
  <si>
    <t>중앙부스</t>
  </si>
  <si>
    <t xml:space="preserve">- 물품을 관리 및 행사 진행 상황 파악
- 지각자 안내 업무도 같이 수행 </t>
  </si>
  <si>
    <t>국민체조 시범</t>
  </si>
  <si>
    <t>사진/영상 촬영</t>
  </si>
  <si>
    <t>- 입장 완료 후 간격을 벌려 몸을 푼다. 
(국민체조 영상은 드라이브 참고)
- 체육대회에 있는 모든 인원들이 국민체조 시범 담당을 보고 따라하기 때문에 체육대회 전 연습이 필요하며 당일날 완벽하게 숙지된 상태여야 한다.
- 국민체조 후 본인 조 혹은 본인 역할로 돌아간다.</t>
  </si>
  <si>
    <r>
      <rPr>
        <rFont val="Arial"/>
        <color theme="1"/>
      </rPr>
      <t xml:space="preserve">인원 체크 -  </t>
    </r>
    <r>
      <rPr>
        <rFont val="Arial"/>
        <b/>
        <color rgb="FFFF0000"/>
      </rPr>
      <t>노트북 지참!!</t>
    </r>
  </si>
  <si>
    <t>개회 - 국민체조 후</t>
  </si>
  <si>
    <t>계주</t>
  </si>
  <si>
    <t>팀별 단체티 배부</t>
  </si>
  <si>
    <t>- 남은 물품과 테이블, 의자를 하이클럽 부스로 이동시키고 부스를 마무리한다.
(해당 부스는 의무대로 전환)
- 13시 이후 자기 역할로 복귀한다.</t>
  </si>
  <si>
    <t>- 각 팀 별로 다시 각자 구역으로 이동하라고 안내한다.
- 국민체조 후 첫 종목, '색깔 판 뒤집기'를 진행한다.</t>
  </si>
  <si>
    <t>점심 배부</t>
  </si>
  <si>
    <t>- 사회자의 지시에 따라서 교환학생을 인솔한다.
- 지각했거나 입장 타임에 게임에 대해 설명을 듣지 못했던 교환학생들이 있으면 다시 한 번 설명한다.
- 이 외에도 흡연구역(경영관 앞), 화장실(경영관) 등 다른 질문사항이 있으면 답변해준다.</t>
  </si>
  <si>
    <t>부스 물품 담당</t>
  </si>
  <si>
    <t>게임 별 필요한 물품을 준비한다. (총괄)</t>
  </si>
  <si>
    <t>줄 관리</t>
  </si>
  <si>
    <t>게임 보조자</t>
  </si>
  <si>
    <t>국민체조 완료 후 '색깔 판 뒤집기'를 준비한다.</t>
  </si>
  <si>
    <t>13:30 - 15:15</t>
  </si>
  <si>
    <r>
      <rPr>
        <rFont val="Arial"/>
        <color theme="1"/>
        <sz val="11.0"/>
      </rPr>
      <t xml:space="preserve">게임 1부 - </t>
    </r>
    <r>
      <rPr>
        <rFont val="Arial"/>
        <b/>
        <color theme="1"/>
        <sz val="11.0"/>
      </rPr>
      <t>토너먼트형 게임, 미니게임, 메인게임</t>
    </r>
  </si>
  <si>
    <t>본인 팀 천막에서 대기 / 1부에 팀이 없을 경우 본부 대기</t>
  </si>
  <si>
    <t>점수 집계자</t>
  </si>
  <si>
    <t>행사 당일 노트북을 지참해서 와야한다.
매 게임 이후 심판에게 경기 결과를 듣고 점수 집계에 포함한다.
한 명은 점수 기록하고 한 명은 점수를 듣고 곧바로 결과를 사회자에게 전달한다. 
점수 집계는 점수 집계을 사용한다.</t>
  </si>
  <si>
    <t>미니게임 도장 체크 및 뽑기 진행</t>
  </si>
  <si>
    <t>1. 미니게임을 통해 도장을 받은 교환학생들이 뽑기를 하러 오면 도장 개수 만큼 뽑기를 진행한다. (도장 2개 = 뽑기 1회)
2. 뽑기를 통해 나온 결과에 따라 상품을 차등 부여한다.
1등(2개) 일회용 필름카메라/ 2등(3개) 달고나/ 3등(9개) 별뽀빠이/ 4등(35개) 신쫄이/ 5등(167개) 포도당사탕)
3. 참가자의 뽑기 중복 진행을 방지하기 위해 뽑기 진행 후 관리자가 도장판에 체크 표시한다.</t>
  </si>
  <si>
    <t>12:50~13:00</t>
  </si>
  <si>
    <t>물품 관리자 및 미니게임 간식 배부</t>
  </si>
  <si>
    <t>- 매 게임이 시작할 때마다 게임에 필요한 물품을 확인하고 세팅을 돕는다
- 게임이 끝난 후에는 물품을 수거해 관리한다(게임 이후 개인적으로 사용하지 않도록)
- 미니게임 뽑기 진행자를 보조해 참가자들에게 결과대로 간식을 배부한다.
- 1등(2개) 일회용 필름카메라/ 2등(3개) 달고나/ 3등(9개) 별뽀빠이/ 4등(35개) 신쫄이/ 5등(167개) 포도당사탕)</t>
  </si>
  <si>
    <r>
      <rPr>
        <rFont val="Arial"/>
        <color theme="1"/>
      </rPr>
      <t xml:space="preserve">출석/물품 배부 -  </t>
    </r>
    <r>
      <rPr>
        <rFont val="Arial"/>
        <b/>
        <color rgb="FFFF0000"/>
      </rPr>
      <t>노트북 지참!!</t>
    </r>
  </si>
  <si>
    <t>페이스 타투</t>
  </si>
  <si>
    <t>본인의 역할이 없거나 여유로운 경우 하클 및 참가자들에게 페이스 타투를 해준다.</t>
  </si>
  <si>
    <t>토너먼트형 게임, 미니게임
&lt;13:30 - 14:55&gt;</t>
  </si>
  <si>
    <r>
      <rPr>
        <rFont val="Arial"/>
        <color theme="1"/>
      </rPr>
      <t>🍄</t>
    </r>
    <r>
      <rPr>
        <rFont val="Arial"/>
        <b/>
        <color theme="1"/>
      </rPr>
      <t xml:space="preserve"> 코인 뒤집기 (색깔 판 뒤집기)</t>
    </r>
    <r>
      <rPr>
        <rFont val="Arial"/>
        <color theme="1"/>
      </rPr>
      <t xml:space="preserve"> 
&lt;13:30 - 14:10&gt;
경기시간 35분
준비시간 5분</t>
    </r>
  </si>
  <si>
    <t>부스 및 현장 관리</t>
  </si>
  <si>
    <t>하클천막</t>
  </si>
  <si>
    <t>집계팀 집계 준비 및 부스로 들어오는 문의 처리</t>
  </si>
  <si>
    <t>교환학생 인솔 (각 팀별 팀장 5)</t>
  </si>
  <si>
    <t xml:space="preserve">사회자가 대진표 발표하는 것을 듣고 게임 시작 타이밍에 맞춰 각 팀 천막에서 자신의 팀을 인솔하여 게임 구역으로 이동시킨다.
*게임 참여 담당 하클은 본인 팀원들과 게임에 참여한다. </t>
  </si>
  <si>
    <t>경기장 내 팀별로 소집(각 팀별 팀장 및 부팀장, 팀별 2명)</t>
  </si>
  <si>
    <t>- 경기 시작 전 대진표 뽑기 및 결과 발표
- 각 팀에서 대표자를 선발해 가위바위보 --&gt; 이긴 팀 빨간색
- 경기 중계</t>
  </si>
  <si>
    <t>- 게임 승패 판정
- 판을 누르고 있거나 뒤집지 못하게 방해하는 행위, 경기 끝나고 판을 뒤집는 인원 저지
- 동점일 경우 재경기(1분 30초, 인원 변경 가능)
- 경기 결과 점수 집계자에게 인계</t>
  </si>
  <si>
    <t>- 대진 뽑기 시 사회자에게 뽑기 상자 전달하기
- 경기 후 판 개수 확인 후 심판에게 전달
- 경기 전후로 색깔 판 셋팅 및 정리 (빨간색이 하나 더 많게)</t>
  </si>
  <si>
    <t>브룸 물품 리스트</t>
  </si>
  <si>
    <t>행사 예산안</t>
  </si>
  <si>
    <r>
      <rPr>
        <rFont val="Arial"/>
        <b/>
        <color theme="1"/>
      </rPr>
      <t>무궁화꽃이 피었습니다</t>
    </r>
    <r>
      <rPr>
        <rFont val="Arial"/>
        <color theme="1"/>
      </rPr>
      <t xml:space="preserve">
&lt;14:10 - 14:55&gt;</t>
    </r>
    <r>
      <rPr>
        <rFont val="Arial"/>
        <b/>
        <i/>
        <color rgb="FFFF0000"/>
        <sz val="9.0"/>
      </rPr>
      <t xml:space="preserve">
경기시간 40분
준비시간 5분</t>
    </r>
  </si>
  <si>
    <t xml:space="preserve">사회자가 대진표 발표하는 것을 듣고 게임 시작 타이밍에 맞춰 각 팀 천막에서 자신의 팀을 인솔하여 게임 구역으로 이동시킨다.
본인 팀원들과 게임에 참여한다. </t>
  </si>
  <si>
    <t>총무부</t>
  </si>
  <si>
    <t>- 경기 시작 전 대진표 뽑기 및 결과 발표
- 경기 중계</t>
  </si>
  <si>
    <t>미니게임천막</t>
  </si>
  <si>
    <t>시설관리팀 물품 리스트</t>
  </si>
  <si>
    <r>
      <rPr>
        <rFont val="휴먼명조"/>
        <b/>
        <color theme="1"/>
        <sz val="11.0"/>
      </rPr>
      <t>감시인원(4명)</t>
    </r>
    <r>
      <rPr>
        <rFont val="휴먼명조"/>
        <color theme="1"/>
        <sz val="11.0"/>
      </rPr>
      <t xml:space="preserve">
-양측에 2명씩 배치
-움직임이 발각되면 감시 인원이 뿅망치로 터치 → 해당 참가자 탈락</t>
    </r>
  </si>
  <si>
    <t>행사 당일 대운동장에 설치 부탁 완료</t>
  </si>
  <si>
    <t>교환천막</t>
  </si>
  <si>
    <t>-출발선 관리
-탈락자 구역 이동 안내
-타이머 운영 (술래가 돌아보고있을 때는 타이머 정지)</t>
  </si>
  <si>
    <t>업체 대여</t>
  </si>
  <si>
    <t>업체 대여 천막을 행사 당일 농구장에서 현장결제</t>
  </si>
  <si>
    <t>입장천막</t>
  </si>
  <si>
    <r>
      <rPr>
        <rFont val="휴먼명조"/>
        <color rgb="FFFF0000"/>
        <sz val="11.0"/>
      </rPr>
      <t>필참</t>
    </r>
    <r>
      <rPr>
        <rFont val="휴먼명조"/>
        <color theme="1"/>
        <sz val="11.0"/>
      </rPr>
      <t>/자율</t>
    </r>
  </si>
  <si>
    <t>하클 게임 참여 인원</t>
  </si>
  <si>
    <t>행사 준비물 (카테고리)</t>
  </si>
  <si>
    <r>
      <rPr>
        <rFont val="휴먼명조"/>
        <b/>
        <color theme="1"/>
        <sz val="11.0"/>
      </rPr>
      <t>술래</t>
    </r>
    <r>
      <rPr>
        <rFont val="휴먼명조"/>
        <color theme="1"/>
        <sz val="11.0"/>
      </rPr>
      <t>(1명)
-벽 또는 지정 지점을 향해 서서 "무궁화꽃이 피었습니다" 외치고 돌아봄. 
-구호는 엇박 섞어서 가능한 한 어렵게. 
-마이크 사용할 수 있으면 사용</t>
    </r>
  </si>
  <si>
    <t>품목</t>
  </si>
  <si>
    <t>개수</t>
  </si>
  <si>
    <r>
      <rPr>
        <rFont val="Arial"/>
        <b/>
        <color theme="1"/>
      </rPr>
      <t>미니게임</t>
    </r>
    <r>
      <rPr>
        <rFont val="Arial"/>
        <color theme="1"/>
      </rPr>
      <t xml:space="preserve">
*제기차기, 참참참, 긴 줄넘기</t>
    </r>
  </si>
  <si>
    <t>10:00~19:00</t>
  </si>
  <si>
    <t>당일 옮김 여부</t>
  </si>
  <si>
    <t>반납 여부</t>
  </si>
  <si>
    <t>출처</t>
  </si>
  <si>
    <t>자연과학캠퍼스 대운동장</t>
  </si>
  <si>
    <t>비고</t>
  </si>
  <si>
    <t>피구</t>
  </si>
  <si>
    <t>피구공</t>
  </si>
  <si>
    <r>
      <rPr>
        <rFont val="휴먼명조"/>
        <color theme="1"/>
        <sz val="11.0"/>
      </rPr>
      <t xml:space="preserve">자세한 내용은 </t>
    </r>
    <r>
      <rPr>
        <rFont val="휴먼명조"/>
        <color rgb="FF1155CC"/>
        <sz val="11.0"/>
        <u/>
      </rPr>
      <t>[2026_Spring_Sports Day] 게임 구성 및 규칙.docx</t>
    </r>
    <r>
      <rPr>
        <rFont val="휴먼명조"/>
        <color theme="1"/>
        <sz val="11.0"/>
      </rPr>
      <t xml:space="preserve"> 참고
</t>
    </r>
    <r>
      <rPr>
        <rFont val="휴먼명조"/>
        <b/>
        <color theme="1"/>
        <sz val="11.0"/>
      </rPr>
      <t xml:space="preserve">- 제기차기
</t>
    </r>
    <r>
      <rPr>
        <rFont val="휴먼명조"/>
        <color theme="1"/>
        <sz val="11.0"/>
      </rPr>
      <t xml:space="preserve">: </t>
    </r>
    <r>
      <rPr>
        <rFont val="휴먼명조"/>
        <b/>
        <color theme="1"/>
        <sz val="11.0"/>
      </rPr>
      <t>3번 기회</t>
    </r>
    <r>
      <rPr>
        <rFont val="휴먼명조"/>
        <color theme="1"/>
        <sz val="11.0"/>
      </rPr>
      <t xml:space="preserve">를 준 뒤, 합쳐서 제기를 </t>
    </r>
    <r>
      <rPr>
        <rFont val="휴먼명조"/>
        <b/>
        <color theme="1"/>
        <sz val="11.0"/>
      </rPr>
      <t>10번 이상</t>
    </r>
    <r>
      <rPr>
        <rFont val="휴먼명조"/>
        <color theme="1"/>
        <sz val="11.0"/>
      </rPr>
      <t xml:space="preserve"> 차면 도장 찍어줌. 회전율을 높이기 위해 하클 멤버 2명이 각각 동시에 교환과 게임 진행.
</t>
    </r>
    <r>
      <rPr>
        <rFont val="휴먼명조"/>
        <b/>
        <color theme="1"/>
        <sz val="11.0"/>
      </rPr>
      <t>심판 2명</t>
    </r>
    <r>
      <rPr>
        <rFont val="휴먼명조"/>
        <color theme="1"/>
        <sz val="11.0"/>
      </rPr>
      <t xml:space="preserve">: 게임 진행 및 성공 여부 판단
</t>
    </r>
    <r>
      <rPr>
        <rFont val="휴먼명조"/>
        <b/>
        <color theme="1"/>
        <sz val="11.0"/>
      </rPr>
      <t>보조 1명</t>
    </r>
    <r>
      <rPr>
        <rFont val="휴먼명조"/>
        <color theme="1"/>
        <sz val="11.0"/>
      </rPr>
      <t xml:space="preserve">: 줄 관리, 입퇴장 안내, 도장 부여
</t>
    </r>
    <r>
      <rPr>
        <rFont val="휴먼명조"/>
        <b/>
        <color theme="1"/>
        <sz val="11.0"/>
      </rPr>
      <t xml:space="preserve">- 참참참(공격자)
</t>
    </r>
    <r>
      <rPr>
        <rFont val="휴먼명조"/>
        <color theme="1"/>
        <sz val="11.0"/>
      </rPr>
      <t xml:space="preserve">:  참참참 </t>
    </r>
    <r>
      <rPr>
        <rFont val="휴먼명조"/>
        <b/>
        <color theme="1"/>
        <sz val="11.0"/>
      </rPr>
      <t>3번 연속 방어를 성공</t>
    </r>
    <r>
      <rPr>
        <rFont val="휴먼명조"/>
        <color theme="1"/>
        <sz val="11.0"/>
      </rPr>
      <t xml:space="preserve">했다면 교환학생이 승리
</t>
    </r>
    <r>
      <rPr>
        <rFont val="휴먼명조"/>
        <b/>
        <color theme="1"/>
        <sz val="11.0"/>
      </rPr>
      <t>심판 1명</t>
    </r>
    <r>
      <rPr>
        <rFont val="휴먼명조"/>
        <color theme="1"/>
        <sz val="11.0"/>
      </rPr>
      <t xml:space="preserve">: 게임 진행, 규칙 설명
</t>
    </r>
    <r>
      <rPr>
        <rFont val="휴먼명조"/>
        <b/>
        <color theme="1"/>
        <sz val="11.0"/>
      </rPr>
      <t>보조 1명</t>
    </r>
    <r>
      <rPr>
        <rFont val="휴먼명조"/>
        <color theme="1"/>
        <sz val="11.0"/>
      </rPr>
      <t xml:space="preserve">: 도장 부여, 대기 인원 관리
</t>
    </r>
    <r>
      <rPr>
        <rFont val="휴먼명조"/>
        <b/>
        <color theme="1"/>
        <sz val="11.0"/>
      </rPr>
      <t xml:space="preserve">- 긴 줄넘기 (줄돌리기)
</t>
    </r>
    <r>
      <rPr>
        <rFont val="휴먼명조"/>
        <color theme="1"/>
        <sz val="11.0"/>
      </rPr>
      <t>: 교환 2-3명이 모두 긴 줄넘기에 진입 후</t>
    </r>
    <r>
      <rPr>
        <rFont val="휴먼명조"/>
        <b/>
        <color theme="1"/>
        <sz val="11.0"/>
      </rPr>
      <t xml:space="preserve"> 10번</t>
    </r>
    <r>
      <rPr>
        <rFont val="휴먼명조"/>
        <color theme="1"/>
        <sz val="11.0"/>
      </rPr>
      <t xml:space="preserve">을 줄에 걸리지 않고 뛴 다음 무사히 빠져나오면 성공
</t>
    </r>
    <r>
      <rPr>
        <rFont val="휴먼명조"/>
        <b/>
        <color theme="1"/>
        <sz val="11.0"/>
      </rPr>
      <t>심판 2명</t>
    </r>
    <r>
      <rPr>
        <rFont val="휴먼명조"/>
        <color theme="1"/>
        <sz val="11.0"/>
      </rPr>
      <t xml:space="preserve">: 줄 돌리기 및 박자 맞추기
</t>
    </r>
    <r>
      <rPr>
        <rFont val="휴먼명조"/>
        <b/>
        <color theme="1"/>
        <sz val="11.0"/>
      </rPr>
      <t>보조 1명</t>
    </r>
    <r>
      <rPr>
        <rFont val="휴먼명조"/>
        <color theme="1"/>
        <sz val="11.0"/>
      </rPr>
      <t xml:space="preserve">: 성공 횟수 카운트, 도장 부여, 대기 줄 관리
</t>
    </r>
  </si>
  <si>
    <t>13:00~13:30</t>
  </si>
  <si>
    <t>o</t>
  </si>
  <si>
    <t>단일가격</t>
  </si>
  <si>
    <t>개회 &amp; 국민체조
* 색깔 판 뒤집기 게임 보조자는
국민체조 종료 직후 경기장 세팅</t>
  </si>
  <si>
    <t>총 금액</t>
  </si>
  <si>
    <t>브룸에 있는지 확인</t>
  </si>
  <si>
    <t>주문처</t>
  </si>
  <si>
    <t>지각생 입장 관리</t>
  </si>
  <si>
    <t>줄다리기</t>
  </si>
  <si>
    <t>밧줄</t>
  </si>
  <si>
    <t>점심 - 돈가스 도련님 도시락 (교환)</t>
  </si>
  <si>
    <t>김재희</t>
  </si>
  <si>
    <t>게임연구소</t>
  </si>
  <si>
    <t>게임 보조자 및 부스 관리</t>
  </si>
  <si>
    <t>렌탈 기준 (1개)</t>
  </si>
  <si>
    <r>
      <rPr>
        <rFont val="휴먼명조"/>
        <color theme="1"/>
        <sz val="11.0"/>
      </rPr>
      <t xml:space="preserve">자세한 내용은 
</t>
    </r>
    <r>
      <rPr>
        <rFont val="휴먼명조"/>
        <color rgb="FF1155CC"/>
        <sz val="11.0"/>
        <u/>
      </rPr>
      <t>[2026_Spring_Sports Day] 게임 구성 및 규칙.docx</t>
    </r>
    <r>
      <rPr>
        <rFont val="휴먼명조"/>
        <color theme="1"/>
        <sz val="11.0"/>
      </rPr>
      <t xml:space="preserve">
을 참고.
게임 대기하는 줄이 흐트러지지 않도록 관리한다.
게임 종료 후 게임 미션에 성공한 교환학생들에게 해당 미니게임 위치에 도장을 찍어준다.</t>
    </r>
  </si>
  <si>
    <t>목장갑</t>
  </si>
  <si>
    <t>글융 학생회</t>
  </si>
  <si>
    <r>
      <rPr>
        <rFont val="Arial"/>
        <b/>
        <color theme="1"/>
      </rPr>
      <t xml:space="preserve">메인게임
</t>
    </r>
    <r>
      <rPr>
        <rFont val="Arial"/>
        <b val="0"/>
        <color theme="1"/>
      </rPr>
      <t>&lt;14:55 - 15:15&gt;</t>
    </r>
  </si>
  <si>
    <t>색깔 판 뒤집기</t>
  </si>
  <si>
    <t>색깔 판</t>
  </si>
  <si>
    <r>
      <rPr>
        <rFont val="Arial"/>
        <b/>
        <color theme="1"/>
      </rPr>
      <t>짝짓기 게임</t>
    </r>
    <r>
      <rPr>
        <rFont val="Arial"/>
        <color theme="1"/>
      </rPr>
      <t xml:space="preserve">
&lt;14:55 - 15:15&gt;
</t>
    </r>
    <r>
      <rPr>
        <rFont val="Arial"/>
        <color rgb="FFFF0000"/>
      </rPr>
      <t xml:space="preserve">집합 및 룰 설명 5분
연습게임 5분
단판 10분 </t>
    </r>
  </si>
  <si>
    <t>렌탈 기준 (50개)</t>
  </si>
  <si>
    <t>바통</t>
  </si>
  <si>
    <t>한솥도시락</t>
  </si>
  <si>
    <t>결승 테이프</t>
  </si>
  <si>
    <t>점심 - 돈가스 도련님 도시락 (하클)</t>
  </si>
  <si>
    <t xml:space="preserve">사회자가 호명하는 순서대로 각 팀 천막에서 자신의 팀을 인솔하여 게임 구역으로 이동시킨다.
*게임 참여 담당 하클은 본인 팀원들과 게임에 참여한다. </t>
  </si>
  <si>
    <t>https://gamerental.kr/product/detail.html?product_no=47&amp;cate_no=25&amp;display_group=1</t>
  </si>
  <si>
    <t>점심 - 돈가스 도련님 도시락 (메이플)</t>
  </si>
  <si>
    <t>부스 노래 담당 (국민체조 노래 및 플레이리스트 재생)</t>
  </si>
  <si>
    <t>- 경기 중계
- 시간 시작 외침
- 2에서 6 사이의 숫자 외침
- 시간 종료 공지</t>
  </si>
  <si>
    <t>제기차기</t>
  </si>
  <si>
    <t>제기</t>
  </si>
  <si>
    <t>점심 - 포케(비건)</t>
  </si>
  <si>
    <t>브룸</t>
  </si>
  <si>
    <t>https://gamerental.kr/product/detail.html?product_no=68&amp;cate_no=27&amp;display_group=1</t>
  </si>
  <si>
    <t>- 시간 종료 후 짝짓기 실패하거나 / 인원이 안 맞거나 / 본인 팀으로만 이뤄져있는 경우 탈락 처리</t>
  </si>
  <si>
    <t>poke all day</t>
  </si>
  <si>
    <t>*국제처 필요한 품목 셀 색상 변경하기</t>
  </si>
  <si>
    <t>천막 업체 대여</t>
  </si>
  <si>
    <t>딱지치기</t>
  </si>
  <si>
    <t xml:space="preserve">총 34명 </t>
  </si>
  <si>
    <t>딱지</t>
  </si>
  <si>
    <t xml:space="preserve">게임 전후로 게임 셋팅 및 철거
시간 내로 안 걸리고 살아남은 사람 집계                </t>
  </si>
  <si>
    <t>국제처에서 섭외</t>
  </si>
  <si>
    <t>15:15 - 15:45</t>
  </si>
  <si>
    <t>종이로 제작</t>
  </si>
  <si>
    <t>공기놀이</t>
  </si>
  <si>
    <t>공기세트</t>
  </si>
  <si>
    <t>양면 색깔 판 세트(10개입)</t>
  </si>
  <si>
    <t>중간 휴식</t>
  </si>
  <si>
    <t>부스 및 현장관리 - 점수 중간점검</t>
  </si>
  <si>
    <t>네이버</t>
  </si>
  <si>
    <t>집계팀은 1부 종목들의 점수를 모두 합산하여 중간 결과를 사회자에게 알려준다.</t>
  </si>
  <si>
    <t>https://smartstore.naver.com/youneedun_official/products/8560408431?nl-query=%EC%83%89%EA%B9%94+%ED%8C%90&amp;nl-ts-pid=jOPywsqXKZGssP6a5Ls-465428&amp;NaPm=ct%3Dmnrjxwg8%7Cci%3Debea21b8e8a77bc7f702f18692ecdc7e03d11e8c%7Ctr%3Dsls%7Csn%3D6042554%7Chk%3D7753a7bc3d74ed81d34f15eec6ad702f7633b9b0</t>
  </si>
  <si>
    <t>체육대회 전반</t>
  </si>
  <si>
    <t>사회자 - 중간발표</t>
  </si>
  <si>
    <t>추첨박스(토너먼트 추첨용)</t>
  </si>
  <si>
    <t>집계팀에게 전달받은 결과를 모두에게 발표한다
1등 팀에게는 잘하고 있다며 칭찬을, 꼴등 팀에게는 아직 역전의 기회가 남아있다며 격려를 하는 멘트도 좋을 듯 하다.</t>
  </si>
  <si>
    <t>율전 집합</t>
  </si>
  <si>
    <t>천막 (시설관리팀)</t>
  </si>
  <si>
    <t xml:space="preserve">휴식시간 30분 안내 </t>
  </si>
  <si>
    <t>시설관리팀</t>
  </si>
  <si>
    <t>학교</t>
  </si>
  <si>
    <t>정비 시간</t>
  </si>
  <si>
    <r>
      <rPr>
        <rFont val="Arial"/>
        <color rgb="FFFFFF00"/>
      </rPr>
      <t>천막</t>
    </r>
    <r>
      <rPr>
        <rFont val="Arial"/>
        <color rgb="FFFF9900"/>
      </rPr>
      <t xml:space="preserve"> (업체)</t>
    </r>
  </si>
  <si>
    <t>업체</t>
  </si>
  <si>
    <t>박스테이프 5개</t>
  </si>
  <si>
    <r>
      <rPr>
        <rFont val="Arial"/>
        <color rgb="FFFF9900"/>
      </rPr>
      <t>의</t>
    </r>
    <r>
      <rPr>
        <rFont val="Arial"/>
        <color rgb="FFFFFF00"/>
      </rPr>
      <t>자</t>
    </r>
  </si>
  <si>
    <t>15:50 - 17:35</t>
  </si>
  <si>
    <t>쿠팡</t>
  </si>
  <si>
    <t>https://www.coupang.com/vp/products/6671696651?itemId=15352091516&amp;vendorItemId=82572322173&amp;pickType=COU_PICK&amp;q=%ED%88%AC%EB%AA%85%ED%85%8C%EC%9D%B4%ED%94%84&amp;searchId=522433253669670&amp;sourceType=search&amp;itemsCount=36&amp;searchRank=2&amp;rank=2&amp;traceId=mnrmpect</t>
  </si>
  <si>
    <r>
      <rPr>
        <rFont val="Arial"/>
        <color rgb="FFFF9900"/>
      </rPr>
      <t>테이</t>
    </r>
    <r>
      <rPr>
        <rFont val="Arial"/>
        <color rgb="FFFFFF00"/>
      </rPr>
      <t>블</t>
    </r>
  </si>
  <si>
    <t>스피커</t>
  </si>
  <si>
    <r>
      <rPr>
        <rFont val="Arial"/>
        <color theme="1"/>
      </rPr>
      <t xml:space="preserve">게임 2부 - </t>
    </r>
    <r>
      <rPr>
        <rFont val="Arial"/>
        <b/>
        <color theme="1"/>
      </rPr>
      <t>토너먼트형 게임, 미니게임, 메인게임</t>
    </r>
  </si>
  <si>
    <t>국민체조 참여 (팀 있으면 본인 팀이랑 함께)</t>
  </si>
  <si>
    <t>마이크</t>
  </si>
  <si>
    <t>나머지 인원</t>
  </si>
  <si>
    <t>5m 줄자</t>
  </si>
  <si>
    <t>티셔츠</t>
  </si>
  <si>
    <t>1. 미니게임을 통해 도장을 받은 교환학생들이 뽑기를 하러 오면 도장 개수 만큼 뽑기를 진행한다. (도장 2개 = 뽑기 1회)
2. 뽑기를 통해 나온 결과에 따라 상품을 차등 부여한다.
1등(2개) 일회용 필름카메라/ 2등(3개) 달고나/ 3등(9개) 별뽀빠이/ 4등(35개) 신쫄이/ 5등(167개) 포도당사탕)
3. 참가자의 뽑기 중복 진행을 방지하기 위해 뽑기 진행 후 관리자가 도장판에 사인한다.</t>
  </si>
  <si>
    <t>(물) 탐사수 무라벨 * 500ml * 80개</t>
  </si>
  <si>
    <t>수금 통</t>
  </si>
  <si>
    <t>매 게임이 시작할 때마다 게임에 필요한 물품을 확인하고 세팅을 돕는다
게임이 끝난 후에는 물품을 수거해 관리한다(게임 이후 개인적으로 사용하지 않도록)
미니게임 뽑기 진행자를 보조해 참가자들에게 결과대로 간식을 배부한다.
1등(2개) 일회용 필름카메라/ 2등(3개) 달고나/ 3등(9개) 별뽀빠이/ 4등(35개) 신쫄이/ 5등(167개) 포도당사탕)</t>
  </si>
  <si>
    <t>노트북</t>
  </si>
  <si>
    <t>https://www.coupang.com/vp/products/5625704601?itemId=9133866797&amp;vendorItemId=86137790576&amp;pickType=COU_PICK&amp;q=%EB%AC%BC+%EB%AC%B4%EB%9D%BC%EB%B2%A8+500ml&amp;itemsCount=36&amp;searchId=60dcdd0a2337972&amp;rank=0&amp;searchRank=0&amp;isAddedCart=</t>
  </si>
  <si>
    <t>13:30-15:15</t>
  </si>
  <si>
    <r>
      <rPr>
        <rFont val="Arial"/>
        <color theme="1"/>
        <sz val="11.0"/>
      </rPr>
      <t xml:space="preserve">게임 1부 - </t>
    </r>
    <r>
      <rPr>
        <rFont val="Arial"/>
        <b/>
        <color theme="1"/>
        <sz val="11.0"/>
      </rPr>
      <t>토너먼트형 게임, 미니게임, 메인게임</t>
    </r>
  </si>
  <si>
    <t>토너먼트형 게임, 미니게임
&lt;15:50 - 17:10&gt;</t>
  </si>
  <si>
    <t>- 토너먼트형 게임(팀별게임 - 색깔 판 뒤집기, 꼬리잡기) / 미니게임(개인게임) 동시 진행
- 업무가 없는 인원은 팀이랑 같이 게임 진행                                                                                                                                                                                                                   - 메인게임(짝짓기 게임)은 전체 인원 참여</t>
  </si>
  <si>
    <r>
      <rPr>
        <rFont val="Arial"/>
        <b/>
        <color theme="1"/>
      </rPr>
      <t>줄다리기</t>
    </r>
    <r>
      <rPr>
        <rFont val="Arial"/>
        <color theme="1"/>
      </rPr>
      <t xml:space="preserve">
&lt;15:50 - 16:25&gt;
</t>
    </r>
    <r>
      <rPr>
        <rFont val="Arial"/>
        <b/>
        <i/>
        <color rgb="FFFF0000"/>
        <sz val="9.0"/>
      </rPr>
      <t>*경기 당 2분 소요
준비시간 5분</t>
    </r>
  </si>
  <si>
    <t>담당 인원 공지 필요</t>
  </si>
  <si>
    <t>물</t>
  </si>
  <si>
    <t>총괄 및 부스로 들어오는 문의 처리</t>
  </si>
  <si>
    <t>https://www.coupang.com/vp/products/5585425593?itemId=20398537052&amp;vendorItemId=86469814060&amp;q=물&amp;itemsCount=33&amp;searchId=17c84aa24db94d148a7028e19fc24c0e&amp;rank=14&amp;isAddedCart=</t>
  </si>
  <si>
    <t>(물) 탐사수 무라벨 * 500ml * 40개</t>
  </si>
  <si>
    <t>(음료) 게토레이 레몬, 600ml, 100개</t>
  </si>
  <si>
    <t>본부 총괄</t>
  </si>
  <si>
    <t>https://www.coupang.com/vp/products/1650278?itemId=25935747693&amp;vendorItemId=92919100029&amp;pickType=COU_PICK&amp;q=%EA%B2%8C%ED%86%A0%EB%A0%88%EC%9D%B4&amp;searchId=c4a3553d867706&amp;sourceType=search&amp;itemsCount=35&amp;searchRank=2&amp;rank=2&amp;traceId=motvkt9w</t>
  </si>
  <si>
    <t>음료</t>
  </si>
  <si>
    <t>- 팀별 남녀 성비 확인
- 경기의 시작과 끝, 경기 이후 승자 발표
- 경기 결과 점수 집계자에게 인계</t>
  </si>
  <si>
    <r>
      <rPr>
        <rFont val="Arial"/>
        <color rgb="FF000000"/>
      </rPr>
      <t xml:space="preserve">점수 집계자 - </t>
    </r>
    <r>
      <rPr>
        <rFont val="Arial"/>
        <b/>
        <color rgb="FFFF0000"/>
      </rPr>
      <t>노트북 지참 바랍니다!</t>
    </r>
  </si>
  <si>
    <t>돗자리</t>
  </si>
  <si>
    <t>총학</t>
  </si>
  <si>
    <t xml:space="preserve">
- 대진 뽑기 시 사회자에게 뽑기 상자 전달하기
- 경기 전후로 줄다리기 셋팅 및 정리
</t>
  </si>
  <si>
    <t>달고나 - 뽑기 2등</t>
  </si>
  <si>
    <r>
      <rPr>
        <rFont val="Arial"/>
        <b/>
        <color theme="1"/>
      </rPr>
      <t>단체 피구</t>
    </r>
    <r>
      <rPr>
        <rFont val="Arial"/>
        <color theme="1"/>
      </rPr>
      <t xml:space="preserve">
&lt;16:25 - 17:10&gt;
</t>
    </r>
    <r>
      <rPr>
        <rFont val="Arial"/>
        <b/>
        <i/>
        <color rgb="FFFF0000"/>
        <sz val="9.0"/>
      </rPr>
      <t>*경기 당 8분 소요</t>
    </r>
  </si>
  <si>
    <t>경기장 구역 표시용 콘</t>
  </si>
  <si>
    <t>https://www.coupang.com/vp/products/7230296106?itemId=18344875277&amp;vendorItemId=86150796269&amp;q=%EB%8B%AC%EA%B3%A0%EB%82%98+2%EA%B0%9C&amp;itemsCount=36&amp;searchId=508832dc940381&amp;rank=53&amp;searchRank=17&amp;isAddedCart=</t>
  </si>
  <si>
    <t>40 * 5</t>
  </si>
  <si>
    <t>아이스 박스</t>
  </si>
  <si>
    <t>도장</t>
  </si>
  <si>
    <t>발포비타민 - 뽑기 2등</t>
  </si>
  <si>
    <t>완'이라고 쓰여진 도장 2개, 성균관대학교 도장 2개</t>
  </si>
  <si>
    <r>
      <rPr>
        <rFont val="휴먼명조"/>
        <color theme="1"/>
        <sz val="11.0"/>
      </rPr>
      <t xml:space="preserve">
</t>
    </r>
    <r>
      <rPr>
        <rFont val="휴먼명조"/>
        <b/>
        <color theme="1"/>
        <sz val="11.0"/>
      </rPr>
      <t>심판1</t>
    </r>
    <r>
      <rPr>
        <rFont val="휴먼명조"/>
        <color theme="1"/>
        <sz val="11.0"/>
      </rPr>
      <t xml:space="preserve">: 피구 경기장의 한쪽 끝에 서서 경기의 시작과 끝을 알림, 공의 소유권이 불분명한 경우 소유권을 정함.
</t>
    </r>
    <r>
      <rPr>
        <rFont val="휴먼명조"/>
        <b/>
        <color theme="1"/>
        <sz val="11.0"/>
      </rPr>
      <t>심판2</t>
    </r>
    <r>
      <rPr>
        <rFont val="휴먼명조"/>
        <color theme="1"/>
        <sz val="11.0"/>
      </rPr>
      <t>: 아웃 처리되고도 지정 장소로 이동하지 않는 인원 식별, 피구장 경계를 무단 이동하는 인원 식별 8분 타이머관
경기 결과 점수 집계자에게 인계</t>
    </r>
  </si>
  <si>
    <t>https://www.coupang.com/vp/products/6155420054?itemId=19239199829&amp;vendorItemId=71503717362&amp;pickType=COU_PICK&amp;q=%EB%B0%9C%ED%8F%AC%EB%B9%84%ED%83%80%EB%AF%BC&amp;itemsCount=36&amp;searchId=7ee987d45174216&amp;rank=0&amp;searchRank=0&amp;isAddedCart=</t>
  </si>
  <si>
    <t>도장잉크</t>
  </si>
  <si>
    <t>게임보조자</t>
  </si>
  <si>
    <t>도장판</t>
  </si>
  <si>
    <t>경기 전 대진 뽑기 시 사회자에게 뽑기 상자 전달하기
게임 전후로 게임 셋팅 및 철거
아웃구역 유도</t>
  </si>
  <si>
    <r>
      <rPr>
        <rFont val="Arial"/>
        <b/>
        <color theme="1"/>
      </rPr>
      <t xml:space="preserve">미니게임
</t>
    </r>
    <r>
      <rPr>
        <rFont val="Arial"/>
        <color theme="1"/>
      </rPr>
      <t xml:space="preserve">림보, 손바닥 밀치기, 카드 짝 맞추기                          </t>
    </r>
  </si>
  <si>
    <t>미니게임 뽑기 판</t>
  </si>
  <si>
    <r>
      <rPr>
        <color rgb="FF000000"/>
      </rPr>
      <t xml:space="preserve">짱구 뽑기판 </t>
    </r>
    <r>
      <rPr>
        <color rgb="FF1155CC"/>
        <u/>
      </rPr>
      <t>https://smartstore.naver.com/rioplus/products/5481786448?NaPm=ct%3Dlup3t5w0%7Cci%3Dc716a0adedeba190c8e6ef560a0b240774afa104%7Ctr%3Dsls%7Csn%3D3421178%7Chk%3D5575ecfb700e4b1b0fee5e743a3d5cc2afb88847</t>
    </r>
  </si>
  <si>
    <r>
      <rPr>
        <rFont val="휴먼명조"/>
        <color theme="1"/>
        <sz val="11.0"/>
      </rPr>
      <t xml:space="preserve">자세한 내용은 </t>
    </r>
    <r>
      <rPr>
        <rFont val="휴먼명조"/>
        <color rgb="FF1155CC"/>
        <sz val="11.0"/>
        <u/>
      </rPr>
      <t xml:space="preserve">[2026_Spring_Sports Day] 게임 구성 및 규칙.docx 참고 </t>
    </r>
    <r>
      <rPr>
        <rFont val="휴먼명조"/>
        <color theme="1"/>
        <sz val="11.0"/>
      </rPr>
      <t xml:space="preserve">
 - </t>
    </r>
    <r>
      <rPr>
        <rFont val="휴먼명조"/>
        <b/>
        <color theme="1"/>
        <sz val="11.0"/>
      </rPr>
      <t>림보</t>
    </r>
    <r>
      <rPr>
        <rFont val="휴먼명조"/>
        <color theme="1"/>
        <sz val="11.0"/>
      </rPr>
      <t xml:space="preserve">
: 통과 시 바 높이를 낮추며 진행하며, 일정 기준 높이 이하 통과 시 도장 부여
심판 2명: 림보 바 높이 조절 및 통과 판정
보조 1명: 도장 부여 및 줄 관리
</t>
    </r>
    <r>
      <rPr>
        <rFont val="휴먼명조"/>
        <b/>
        <color theme="1"/>
        <sz val="11.0"/>
      </rPr>
      <t xml:space="preserve">- 손바닥 밀기 
</t>
    </r>
    <r>
      <rPr>
        <rFont val="휴먼명조"/>
        <color theme="1"/>
        <sz val="11.0"/>
      </rPr>
      <t xml:space="preserve">: 1대1 대결 진행, 손바닥을 밀쳐서 발이 바닥에서 떨어지거나 움직이면 패배. 교환학생이 이기면 도장 1개 부여, 손바닥 이외의 신체 터치 행위 금지, 부상 방지를 위해 과도한 힘 사용 및 갑자기 피하는 행위 자제 (심판 재량으로 경고)
</t>
    </r>
    <r>
      <rPr>
        <rFont val="휴먼명조"/>
        <b/>
        <color theme="1"/>
        <sz val="11.0"/>
      </rPr>
      <t>심판 1명</t>
    </r>
    <r>
      <rPr>
        <rFont val="휴먼명조"/>
        <color theme="1"/>
        <sz val="11.0"/>
      </rPr>
      <t xml:space="preserve">: 승패 판정, 규칙 안내, 반칙 경고
</t>
    </r>
    <r>
      <rPr>
        <rFont val="휴먼명조"/>
        <b/>
        <color theme="1"/>
        <sz val="11.0"/>
      </rPr>
      <t>보조 1명</t>
    </r>
    <r>
      <rPr>
        <rFont val="휴먼명조"/>
        <color theme="1"/>
        <sz val="11.0"/>
      </rPr>
      <t xml:space="preserve">: 도장 부여, 대기 줄 관리
</t>
    </r>
    <r>
      <rPr>
        <rFont val="휴먼명조"/>
        <b/>
        <color theme="1"/>
        <sz val="11.0"/>
      </rPr>
      <t xml:space="preserve">- 카드 짝 맞추기
</t>
    </r>
    <r>
      <rPr>
        <rFont val="휴먼명조"/>
        <color theme="1"/>
        <sz val="11.0"/>
      </rPr>
      <t xml:space="preserve">: 카드를 뒤집어 서로 같은 그림이 나오면 그대로 두고 다른 그림이 나오면 도로 뒤집어 돌려놓음, 30초 안에 5쌍을 찾으면 승리
</t>
    </r>
    <r>
      <rPr>
        <rFont val="휴먼명조"/>
        <b/>
        <color theme="1"/>
        <sz val="11.0"/>
      </rPr>
      <t>심판 2명</t>
    </r>
    <r>
      <rPr>
        <rFont val="휴먼명조"/>
        <color theme="1"/>
        <sz val="11.0"/>
      </rPr>
      <t xml:space="preserve">: 카드 섞고 대형 맞추기(6개의 카드를 뒤집어놓은 채로 4x4로 세팅 (8쌍), 성공 실패 판정
</t>
    </r>
    <r>
      <rPr>
        <rFont val="휴먼명조"/>
        <b/>
        <color theme="1"/>
        <sz val="11.0"/>
      </rPr>
      <t>보조 1명</t>
    </r>
    <r>
      <rPr>
        <rFont val="휴먼명조"/>
        <color theme="1"/>
        <sz val="11.0"/>
      </rPr>
      <t>: 도장 부여, 대기 줄 관리</t>
    </r>
  </si>
  <si>
    <t>별뽀빠이 12개입 - 뽑기 3등</t>
  </si>
  <si>
    <t>페이스 타투 (유동적으로 활동)</t>
  </si>
  <si>
    <t>https://www.coupang.com/vp/products/8128986977?itemId=10810139370&amp;vendorItemId=86607945075&amp;q=%EB%B3%84%EB%BD%80%EB%B9%A0%EC%9D%B4&amp;itemsCount=36&amp;searchId=3e20ba69376330&amp;rank=0&amp;searchRank=0&amp;isAddedCart=</t>
  </si>
  <si>
    <r>
      <rPr>
        <rFont val="휴먼명조"/>
        <color theme="1"/>
        <sz val="11.0"/>
      </rPr>
      <t>자세한 내용은 
[</t>
    </r>
    <r>
      <rPr>
        <rFont val="휴먼명조"/>
        <color rgb="FF1155CC"/>
        <sz val="11.0"/>
        <u/>
      </rPr>
      <t>2026_Spring_Sports Day] 게임 구성 및 규칙.docx</t>
    </r>
    <r>
      <rPr>
        <rFont val="휴먼명조"/>
        <color theme="1"/>
        <sz val="11.0"/>
      </rPr>
      <t xml:space="preserve">
을 참고.
게임 대기하는 줄이 흐트러지지 않도록 관리한다.
게임 종료 후 게임 미션에 성공한 교환학생들에게 해당 미니게임 위치에 도장을 찍어준다.</t>
    </r>
  </si>
  <si>
    <t>볼펜 3개 이상, 유성펜, 가위, 풀, 테이프</t>
  </si>
  <si>
    <r>
      <rPr>
        <rFont val="Arial"/>
        <color theme="1"/>
        <sz val="11.0"/>
      </rPr>
      <t xml:space="preserve">
</t>
    </r>
    <r>
      <rPr>
        <rFont val="Arial"/>
        <b/>
        <color theme="1"/>
        <sz val="11.0"/>
      </rPr>
      <t xml:space="preserve">메인게임
</t>
    </r>
    <r>
      <rPr>
        <rFont val="Arial"/>
        <color theme="1"/>
        <sz val="11.0"/>
      </rPr>
      <t>&lt;17:20 - 17:35&gt;</t>
    </r>
  </si>
  <si>
    <r>
      <rPr>
        <rFont val="Arial"/>
        <color rgb="FFFFFF00"/>
      </rPr>
      <t>하드</t>
    </r>
    <r>
      <rPr>
        <rFont val="Arial"/>
        <color rgb="FF00FFFF"/>
      </rPr>
      <t>보드지</t>
    </r>
  </si>
  <si>
    <r>
      <rPr>
        <rFont val="Arial"/>
        <b/>
        <color theme="1"/>
      </rPr>
      <t xml:space="preserve">계주
</t>
    </r>
    <r>
      <rPr>
        <rFont val="Arial"/>
        <color theme="1"/>
      </rPr>
      <t xml:space="preserve">(하클 대항전)
</t>
    </r>
    <r>
      <rPr>
        <rFont val="Arial"/>
        <b/>
        <i/>
        <color rgb="FFFF0000"/>
        <sz val="9.0"/>
      </rPr>
      <t>*단판, 20분 소요</t>
    </r>
  </si>
  <si>
    <t>한입꼬마약과 1kg - 뽑기 3등</t>
  </si>
  <si>
    <t>개인전 상품</t>
  </si>
  <si>
    <r>
      <rPr>
        <rFont val="Arial"/>
        <b/>
        <color theme="1"/>
      </rPr>
      <t>토너먼트형 게임, 미니게임</t>
    </r>
    <r>
      <rPr>
        <rFont val="Arial"/>
        <color theme="1"/>
      </rPr>
      <t xml:space="preserve">                              &lt;13:30-14:55&gt;</t>
    </r>
  </si>
  <si>
    <t>달고나, 별뽀빠이, 신쫄이</t>
  </si>
  <si>
    <t>팀전 상품</t>
  </si>
  <si>
    <r>
      <rPr>
        <rFont val="Arial"/>
        <color theme="1"/>
      </rPr>
      <t>🍄</t>
    </r>
    <r>
      <rPr>
        <rFont val="Arial"/>
        <b/>
        <color theme="1"/>
      </rPr>
      <t xml:space="preserve"> 코인 뒤집기 (색깔 판 뒤집기)</t>
    </r>
    <r>
      <rPr>
        <rFont val="Arial"/>
        <color theme="1"/>
      </rPr>
      <t xml:space="preserve"> 
&lt;13:30 - 14:10&gt;
</t>
    </r>
    <r>
      <rPr>
        <rFont val="Arial"/>
        <b/>
        <i/>
        <color rgb="FFFF0000"/>
        <sz val="9.0"/>
      </rPr>
      <t>경기시간 35분
준비시간 5분</t>
    </r>
  </si>
  <si>
    <t>초콜릿 금메달, 나전칠기 키링</t>
  </si>
  <si>
    <t>https://www.coupang.com/vp/products/7203904313?itemId=21668114878&amp;vendorItemId=91452418243&amp;sourceType=srp_product_ads&amp;clickEventId=547e4f60-342e-11f1-a918-8f098ceba0fb&amp;korePlacement=15&amp;koreSubPlacement=1&amp;clickEventId=547e4f60-342e-11f1-a918-8f098ceba0fb&amp;korePlacement=15&amp;koreSubPlacement=1&amp;traceId=mnro9y77</t>
  </si>
  <si>
    <t>경기 시작 전 스트레칭 진행, 첫 주자 인터뷰, 경기 중계</t>
  </si>
  <si>
    <t>칠판</t>
  </si>
  <si>
    <r>
      <rPr>
        <rFont val="휴먼명조"/>
        <b/>
        <color theme="1"/>
        <sz val="11.0"/>
      </rPr>
      <t>심판1</t>
    </r>
    <r>
      <rPr>
        <rFont val="휴먼명조"/>
        <color theme="1"/>
        <sz val="11.0"/>
      </rPr>
      <t xml:space="preserve">: 경기의 시작을 알리고, 각 팀의 순서 및 반칙(밀치기, 발 걸기 등) 판정
</t>
    </r>
    <r>
      <rPr>
        <rFont val="휴먼명조"/>
        <b/>
        <color theme="1"/>
        <sz val="11.0"/>
      </rPr>
      <t>심판2(4명)</t>
    </r>
    <r>
      <rPr>
        <rFont val="휴먼명조"/>
        <color theme="1"/>
        <sz val="11.0"/>
      </rPr>
      <t>: 트랙 곳곳에 배치, 반칙 확인 및 결승선 판독
경기 결과 점수 집계자에게 인계</t>
    </r>
  </si>
  <si>
    <t>교환학생 인솔(각 팀별 팀장 5)</t>
  </si>
  <si>
    <t>보드마카랑 지우개까지!</t>
  </si>
  <si>
    <t xml:space="preserve">- 게임 전후로 게임 세팅 및 철거,
- 다섯번째 주자가 바통을 받으면 여섯번째 주자가 오기 전에 결승선 들기
- 마지막 주자 도착 장면 영상 녹화 (동시 도착 판별용)
- 5번째 주자 바통 전달 시 결승 테이프 준비 및 들기         </t>
  </si>
  <si>
    <t>신쫄이 40개입 - 뽑기 4등</t>
  </si>
  <si>
    <t>17:35 - 18:00</t>
  </si>
  <si>
    <t>https://www.coupang.com/vp/products/8244758625?itemId=294418082&amp;vendorItemId=85500815024&amp;q=%EC%8B%A0%EC%AB%84%EC%9D%B4&amp;itemsCount=36&amp;searchId=241446ce1230593&amp;rank=3&amp;searchRank=3&amp;isAddedCart=</t>
  </si>
  <si>
    <t>점수 집계 공지 및 마무리 정리</t>
  </si>
  <si>
    <t>최종 점수 집계</t>
  </si>
  <si>
    <t>계주까지의 점수를 총 반영하여 나온 결과를 사회자에게 안내한다.</t>
  </si>
  <si>
    <t>사회자 - 최종발표</t>
  </si>
  <si>
    <t>준비여부</t>
  </si>
  <si>
    <t>- 점수 집계 인원에게 받은 결과를 발표한다.
- 퇴장하기 전에 기념사진 촬영을 진행한다.
- 체육대회가 마무리되었음을 안내하고 교환학생들 퇴장 절차를 안내한다. (1등 팀부터 퇴장)</t>
  </si>
  <si>
    <t>18:00 -</t>
  </si>
  <si>
    <t>포도당사탕 100개*2set(총 200개) - 뽑기 5등</t>
  </si>
  <si>
    <t>https://www.coupang.com/vp/products/7665332800?itemId=20432605572&amp;vendorItemId=79820084798&amp;q=%EC%9A%B4%EB%8F%99+%ED%9B%84+%EC%82%AC%ED%83%95&amp;itemsCount=36&amp;searchId=1b7db0bf1074766&amp;rank=1&amp;searchRank=1&amp;isAddedCart=</t>
  </si>
  <si>
    <t>하이클럽 뒷정리 진행</t>
  </si>
  <si>
    <t>중앙부스+사회자부스</t>
  </si>
  <si>
    <t>마무리 및 정리</t>
  </si>
  <si>
    <t>물품 준비 시의 역할 그대로 다시 물품 정리
ex. 브룸 물품 이동했던 인원은 다시 브룸으로 해당 물품 옮기기
천막은 업체에서 철거해주실 예정
국제처에서 대여한 의자 테이블은 모아서 원래 있던 위치에 두기</t>
  </si>
  <si>
    <t>천막2</t>
  </si>
  <si>
    <t>업체에서 설치</t>
  </si>
  <si>
    <t>스포츠데이 진행용품 대여</t>
  </si>
  <si>
    <t xml:space="preserve">
기타 참고사항</t>
  </si>
  <si>
    <t>아이스박스</t>
  </si>
  <si>
    <r>
      <rPr>
        <rFont val="휴먼명조"/>
        <color rgb="FF000000"/>
        <sz val="11.0"/>
      </rPr>
      <t xml:space="preserve">
- 게임 구성 및 규칙
</t>
    </r>
    <r>
      <rPr>
        <rFont val="휴먼명조"/>
        <color rgb="FF1155CC"/>
        <sz val="11.0"/>
        <u/>
      </rPr>
      <t xml:space="preserve">[2026_Spring_Sports Day] 게임 구성 및 규칙
</t>
    </r>
    <r>
      <rPr>
        <rFont val="휴먼명조"/>
        <color rgb="FF000000"/>
        <sz val="11.0"/>
      </rPr>
      <t xml:space="preserve">
- 운동장 배치도
2026_Spring SportsDay </t>
    </r>
    <r>
      <rPr>
        <rFont val="휴먼명조"/>
        <color rgb="FF1155CC"/>
        <sz val="11.0"/>
        <u/>
      </rPr>
      <t xml:space="preserve">스포츠데이 배치도
</t>
    </r>
  </si>
  <si>
    <t>쓰레기봉지/분리수거</t>
  </si>
  <si>
    <t>토너먼트형 게임과 메인게임은 팀전(점수제), 미니게임은 개인전(도장)</t>
  </si>
  <si>
    <t>율전브룸</t>
  </si>
  <si>
    <t>결승선 1, 줄다리기 줄 20m 1, 반환점(중형) 10, 접시콘 1, 피구공 2</t>
  </si>
  <si>
    <t>테이블 2</t>
  </si>
  <si>
    <r>
      <rPr>
        <rFont val="Arial"/>
        <b/>
        <color theme="1"/>
      </rPr>
      <t>무궁화꽃이 피었습니다</t>
    </r>
    <r>
      <rPr>
        <rFont val="Arial"/>
        <color theme="1"/>
      </rPr>
      <t xml:space="preserve">
&lt;14:10 - 14:55&gt;</t>
    </r>
    <r>
      <rPr>
        <rFont val="Arial"/>
        <b/>
        <i/>
        <color rgb="FFFF0000"/>
        <sz val="9.0"/>
      </rPr>
      <t xml:space="preserve">
경기시간 40분
준비시간 5분</t>
    </r>
  </si>
  <si>
    <t>대운동장에서 가져오기</t>
  </si>
  <si>
    <t>국제처 대여 (10)</t>
  </si>
  <si>
    <t>마리오 uno</t>
  </si>
  <si>
    <t>의자 4</t>
  </si>
  <si>
    <t>국제처 대여 (30)</t>
  </si>
  <si>
    <t>앰프, 마이크</t>
  </si>
  <si>
    <t>아이스박스 대여</t>
  </si>
  <si>
    <t>시설관리팀 대여</t>
  </si>
  <si>
    <t>화이트보드1 (보드마카, 지우개)</t>
  </si>
  <si>
    <t>명륜 브룸</t>
  </si>
  <si>
    <t>https://gamerental.kr/product/detail.html?product_no=78&amp;cate_no=28&amp;display_group=1</t>
  </si>
  <si>
    <t>얼음</t>
  </si>
  <si>
    <t>마트</t>
  </si>
  <si>
    <t xml:space="preserve">경기장 표시용 꼬깔 </t>
  </si>
  <si>
    <t>포토존</t>
  </si>
  <si>
    <t>슈퍼마리오 쿠파 코스튬(가면+발톱)</t>
  </si>
  <si>
    <t>현수막 거치대 접이식</t>
  </si>
  <si>
    <t>https://www.coupang.com/vp/products/8364298166?itemId=24166242362&amp;vendorItemId=91184631395&amp;src=1191000&amp;spec=10999999&amp;addtag=400&amp;ctag=8364298166&amp;lptag=CFM34803762&amp;itime=20260410004803&amp;pageType=PRODUCT&amp;pageValue=8364298166&amp;wPcid=17737232905412231578312&amp;wRef=&amp;wTime=20260410004803&amp;redirect=landing&amp;abTestInfo=100412_group_C%2F%3Fstyle%3Dkakao_existing_ui&amp;mcid=fb357bcbb0f04b7595b080c36aa9dab9&amp;sharesource=sharebutton&amp;style=&amp;isshortened=Y&amp;settlement=N</t>
  </si>
  <si>
    <t>온라인 구매</t>
  </si>
  <si>
    <t>슈퍼마리오 테마 현수막</t>
  </si>
  <si>
    <t>슈퍼마리오 파티용품 세트</t>
  </si>
  <si>
    <t>하클 게임 참여 인원 (술래)</t>
  </si>
  <si>
    <t>마리오 코스프레 - 마리오</t>
  </si>
  <si>
    <t>루이지 코스프레 - 루이지</t>
  </si>
  <si>
    <t>게임 보조자 (감시 인원)</t>
  </si>
  <si>
    <t>마리오 스티커 50장</t>
  </si>
  <si>
    <t>개구쟁이 프로펠러 모자</t>
  </si>
  <si>
    <t>https://www.coupang.com/vp/products/5482292808?itemId=8460726831&amp;vendorItemId=75748300488&amp;q=%EB%A7%88%EB%A6%AC%EC%98%A4+%EC%8A%A4%ED%8B%B0%EC%BB%A4&amp;searchId=fedb21e93794966&amp;sourceType=search&amp;itemsCount=36&amp;searchRank=4&amp;rank=4&amp;traceId=mnrllifq</t>
  </si>
  <si>
    <t>입장테이블(의무대)</t>
  </si>
  <si>
    <t>업체 대여 2개</t>
  </si>
  <si>
    <t>테이블 3</t>
  </si>
  <si>
    <t>의자 8</t>
  </si>
  <si>
    <t>물총 2개 한 세트</t>
  </si>
  <si>
    <t>노트북 4</t>
  </si>
  <si>
    <r>
      <rPr>
        <rFont val="Arial"/>
        <b/>
        <color theme="1"/>
      </rPr>
      <t>미니게임</t>
    </r>
    <r>
      <rPr>
        <rFont val="Arial"/>
        <color theme="1"/>
      </rPr>
      <t xml:space="preserve">                                              *제기차기, 참참참, 단체 줄넘기 </t>
    </r>
  </si>
  <si>
    <t>https://www.coupang.com/vp/products/1516047654?itemId=2601916996&amp;vendorItemId=70593079872&amp;sourceType=SDW_TOP_SELLING_WIDGET_V2&amp;searchId=f4b8bbd23698221&amp;q=%EB%AC%BC%EC%B4%9D</t>
  </si>
  <si>
    <t>인원이 지참</t>
  </si>
  <si>
    <t>1) 제기차기 부스</t>
  </si>
  <si>
    <t>단체티</t>
  </si>
  <si>
    <t>율전 브룸</t>
  </si>
  <si>
    <t>총 52명</t>
  </si>
  <si>
    <t>식사</t>
  </si>
  <si>
    <t>식당 픽업</t>
  </si>
  <si>
    <t>심판 - 2명 모두 상주</t>
  </si>
  <si>
    <t>슈퍼 마리오 캐릭터 모자(빨강 모자)</t>
  </si>
  <si>
    <t>https://www.coupang.com/vp/products/8399821648?itemId=24280944915&amp;vendorItemId=91297278941&amp;q=%EB%A7%88%EB%A6%AC%EC%98%A4+%EB%AA%A8%EC%9E%90&amp;searchId=e123b0403925425&amp;sourceType=search&amp;itemsCount=36&amp;searchRank=2&amp;rank=2&amp;traceId=mnrly7tm</t>
  </si>
  <si>
    <t>구매</t>
  </si>
  <si>
    <t>게임 보조자 (도장 찍기, 대기인원 관리) - 번갈아 가며 한명만 상주</t>
  </si>
  <si>
    <t>인쇄소 의뢰</t>
  </si>
  <si>
    <t>수금통</t>
  </si>
  <si>
    <t>2) 참참참 부스</t>
  </si>
  <si>
    <t>슈퍼 마리오 캐릭터 모자(초록 모자)</t>
  </si>
  <si>
    <t>First Aid</t>
  </si>
  <si>
    <t>국제처 통해 섭외</t>
  </si>
  <si>
    <t>심판 - 번갈아 가며 한명만 상주</t>
  </si>
  <si>
    <t>https://www.coupang.com/vp/products/8399821648?itemId=24280944916&amp;vendorItemId=91297278939&amp;q=%EB%A7%88%EB%A6%AC%EC%98%A4+%EB%AA%A8%EC%9E%90&amp;searchId=e123b0403925425&amp;sourceType=search&amp;itemsCount=36&amp;searchRank=2&amp;rank=2&amp;traceId=mnrly7tm</t>
  </si>
  <si>
    <t>교환 팀별 부스</t>
  </si>
  <si>
    <t>천막 5</t>
  </si>
  <si>
    <t>국제처 대여 예정</t>
  </si>
  <si>
    <t>하드보드지5</t>
  </si>
  <si>
    <t>다이소</t>
  </si>
  <si>
    <t>3) 긴 줄넘기 부스</t>
  </si>
  <si>
    <t>돗자리 최소 10</t>
  </si>
  <si>
    <t>명브 + 율브</t>
  </si>
  <si>
    <t>슈퍼 마리오 타투스티커 60개 1세트</t>
  </si>
  <si>
    <t>SG MAPLE</t>
  </si>
  <si>
    <t>권서연</t>
  </si>
  <si>
    <t>토너먼트 게임</t>
  </si>
  <si>
    <t>게임 보조자 (긴 줄넘기 돌리기) - 2명 모두 상주</t>
  </si>
  <si>
    <t>https://www.coupang.com/vp/products/9491510937?itemId=28242057080&amp;vendorItemId=95155930630&amp;q=%EB%A7%88%EB%A6%AC%EC%98%A4+%ED%83%80%ED%88%AC%EC%8A%A4%ED%8B%B0%EC%BB%A4&amp;searchId=c73e3e2d7639083&amp;sourceType=search&amp;itemsCount=60&amp;searchRank=13&amp;rank=13&amp;traceId=mnx9grop</t>
  </si>
  <si>
    <t>김규린</t>
  </si>
  <si>
    <t>색깔판 뒤집기</t>
  </si>
  <si>
    <t>마리오 코인 도안</t>
  </si>
  <si>
    <t>최수혁</t>
  </si>
  <si>
    <r>
      <rPr>
        <rFont val="Arial"/>
        <b/>
        <color theme="1"/>
      </rPr>
      <t xml:space="preserve">메인게임       </t>
    </r>
    <r>
      <rPr>
        <rFont val="Arial"/>
        <b val="0"/>
        <color theme="1"/>
      </rPr>
      <t>&lt;14:55-15:15&gt;</t>
    </r>
  </si>
  <si>
    <t>인쇄소 의뢰 예정</t>
  </si>
  <si>
    <t>부전승 제비뽑기</t>
  </si>
  <si>
    <t>뽑기통</t>
  </si>
  <si>
    <r>
      <rPr>
        <rFont val="Arial"/>
        <b/>
        <color theme="1"/>
      </rPr>
      <t>짝짓기 게임</t>
    </r>
    <r>
      <rPr>
        <rFont val="Arial"/>
        <color theme="1"/>
      </rPr>
      <t xml:space="preserve">                    &lt;14:55-15:15&gt; 
</t>
    </r>
    <r>
      <rPr>
        <rFont val="Arial"/>
        <b/>
        <i/>
        <color rgb="FFFF0000"/>
        <sz val="9.0"/>
      </rPr>
      <t>집합 및 룰 설명 5분
연습게임 5분
단판 10분</t>
    </r>
  </si>
  <si>
    <t>판뒤집기</t>
  </si>
  <si>
    <t>색깔판 36</t>
  </si>
  <si>
    <t>분리배출 봉투*50L*60개</t>
  </si>
  <si>
    <t>정동근</t>
  </si>
  <si>
    <t>https://www.coupang.com/vp/products/7849796436?itemId=21392878497&amp;vendorItemId=88449574662&amp;q=%EB%B6%84%EB%A6%AC%EC%88%98%EA%B1%B0+%EB%B4%89%ED%88%AC&amp;itemsCount=36&amp;searchId=52429e5e2185856&amp;rank=7&amp;searchRank=7&amp;isAddedCart=</t>
  </si>
  <si>
    <t xml:space="preserve">몬스터 복장 1개 </t>
  </si>
  <si>
    <t>석민하</t>
  </si>
  <si>
    <t>무궁화꽃이 피었습니다</t>
  </si>
  <si>
    <t>뿅망치 2개</t>
  </si>
  <si>
    <t>심판 - 탈락된 인원 식별</t>
  </si>
  <si>
    <t>마이크, 스피커</t>
  </si>
  <si>
    <t>반다나-빨간색</t>
  </si>
  <si>
    <t>출발선 경계 표시용 접시콘</t>
  </si>
  <si>
    <t>https://www.coupang.com/vp/products/29533974?itemId=112898936&amp;vendorItemId=3213724573&amp;sourceType=srp_product_ads&amp;clickEventId=8f7cf8d0-3741-11f1-b3dc-c7f9dd45f425&amp;korePlacement=15&amp;koreSubPlacement=1&amp;clickEventId=8f7cf8d0-3741-11f1-b3dc-c7f9dd45f425&amp;korePlacement=15&amp;koreSubPlacement=1&amp;traceId=mnx9le6k</t>
  </si>
  <si>
    <t>심판 - 탈락자 경기장 외부 이동 안내, 시간 종료 시 경계 관리</t>
  </si>
  <si>
    <t>줄다리기용 밧줄</t>
  </si>
  <si>
    <t xml:space="preserve">심판 - 시간 관리자 </t>
  </si>
  <si>
    <t>버섯 도안</t>
  </si>
  <si>
    <t>브룸 확인</t>
  </si>
  <si>
    <t>반다나-초록색</t>
  </si>
  <si>
    <t>https://www.coupang.com/vp/products/29533974?itemId=112898943&amp;vendorItemId=3214073142&amp;sourceType=srp_product_ads&amp;clickEventId=8f7cf8d0-3741-11f1-b3dc-c7f9dd45f425&amp;korePlacement=15&amp;koreSubPlacement=1&amp;clickEventId=8f7cf8d0-3741-11f1-b3dc-c7f9dd45f425&amp;korePlacement=15&amp;koreSubPlacement=1&amp;traceId=mnx9le6k</t>
  </si>
  <si>
    <t>게임 보조자 - 생존자 수와 팀 집계</t>
  </si>
  <si>
    <t>공주 왕관</t>
  </si>
  <si>
    <t>&lt;1부 팀&gt;</t>
  </si>
  <si>
    <t>라인 표시용 접시콘</t>
  </si>
  <si>
    <t>멤버</t>
  </si>
  <si>
    <t>반다나-보라색</t>
  </si>
  <si>
    <t>미니게임</t>
  </si>
  <si>
    <t>15:15-15:45</t>
  </si>
  <si>
    <t>천막</t>
  </si>
  <si>
    <t>중간 휴식 및 정비 시간</t>
  </si>
  <si>
    <t>https://www.coupang.com/vp/products/29533974?itemId=112898940&amp;vendorItemId=3213929525&amp;sourceType=srp_product_ads&amp;clickEventId=8f7cf8d0-3741-11f1-b3dc-c7f9dd45f425&amp;korePlacement=15&amp;koreSubPlacement=1&amp;clickEventId=8f7cf8d0-3741-11f1-b3dc-c7f9dd45f425&amp;korePlacement=15&amp;koreSubPlacement=1&amp;traceId=mnx9le6k</t>
  </si>
  <si>
    <t>테이블</t>
  </si>
  <si>
    <t>국체저 대여</t>
  </si>
  <si>
    <t>하드보드지</t>
  </si>
  <si>
    <t>반다나-하얀색</t>
  </si>
  <si>
    <t>팀1</t>
  </si>
  <si>
    <t>의자</t>
  </si>
  <si>
    <t>https://www.coupang.com/vp/products/29533974?itemId=112898942&amp;vendorItemId=3213936121&amp;sourceType=srp_product_ads&amp;clickEventId=8f7cf8d0-3741-11f1-b3dc-c7f9dd45f425&amp;korePlacement=15&amp;koreSubPlacement=1&amp;clickEventId=8f7cf8d0-3741-11f1-b3dc-c7f9dd45f425&amp;korePlacement=15&amp;koreSubPlacement=1&amp;traceId=mnx9le6k</t>
  </si>
  <si>
    <t>참참참</t>
  </si>
  <si>
    <t>뿅망치</t>
  </si>
  <si>
    <t>반다나-노란색</t>
  </si>
  <si>
    <t xml:space="preserve"> 양은 냄비</t>
  </si>
  <si>
    <t>단체 줄넘기</t>
  </si>
  <si>
    <t>https://www.coupang.com/vp/products/29533974?itemId=112898941&amp;vendorItemId=3214524157&amp;sourceType=srp_product_ads&amp;clickEventId=8f7cf8d0-3741-11f1-b3dc-c7f9dd45f425&amp;korePlacement=15&amp;koreSubPlacement=1&amp;clickEventId=8f7cf8d0-3741-11f1-b3dc-c7f9dd45f425&amp;korePlacement=15&amp;koreSubPlacement=1&amp;traceId=mnx9le6k</t>
  </si>
  <si>
    <t>단체줄넘기</t>
  </si>
  <si>
    <t>15:50-17:35</t>
  </si>
  <si>
    <t>카드 짝 맞추기</t>
  </si>
  <si>
    <r>
      <rPr>
        <rFont val="Arial"/>
        <color theme="1"/>
      </rPr>
      <t xml:space="preserve">게임 2부 - </t>
    </r>
    <r>
      <rPr>
        <rFont val="Arial"/>
        <b/>
        <color theme="1"/>
      </rPr>
      <t>토너먼트형 게임, 미니게임, 메인게임</t>
    </r>
  </si>
  <si>
    <t>기획부장 지참</t>
  </si>
  <si>
    <t>림보</t>
  </si>
  <si>
    <t>- 토너먼트형 게임(팀별게임 - 줄다리기, 단체 피구) / 미니게임(개인게임) 동시 진행
- 업무가 없는 인원은 팀이랑 같이 게임 진행                                                                                                                                                                                                                   - 메인게임(계주)은 전체 인원 참여</t>
  </si>
  <si>
    <t>손바닥 밀치기</t>
  </si>
  <si>
    <t>탑앤탑</t>
  </si>
  <si>
    <t>https://www.topntop.co.kr/shop/goods/goods_view.php?goodsno=14493&amp;category=001</t>
  </si>
  <si>
    <t>타투펜</t>
  </si>
  <si>
    <t>메인게임</t>
  </si>
  <si>
    <t>간식 - 비건 고구마 스틱 10개</t>
  </si>
  <si>
    <t>짝 찾기 게임</t>
  </si>
  <si>
    <t xml:space="preserve">마이크 1개 </t>
  </si>
  <si>
    <t>시설 관리팀 대여</t>
  </si>
  <si>
    <t>물총 5개 이상</t>
  </si>
  <si>
    <r>
      <rPr>
        <rFont val="Arial"/>
        <color rgb="FF1155CC"/>
        <sz val="11.0"/>
        <u/>
      </rPr>
      <t>한울 촉촉 고구마 스틱, 20g, 10개 - 고구마말랭이 | 쿠팡</t>
    </r>
  </si>
  <si>
    <t>혼성계주</t>
  </si>
  <si>
    <t>접시콘</t>
  </si>
  <si>
    <t>간식 - 에너지바 17개입 * 3set</t>
  </si>
  <si>
    <r>
      <rPr>
        <rFont val="Arial"/>
        <color rgb="FF000000"/>
      </rPr>
      <t xml:space="preserve">점수 집계자 - </t>
    </r>
    <r>
      <rPr>
        <rFont val="Arial"/>
        <b/>
        <color rgb="FFFF0000"/>
      </rPr>
      <t>노트북 지참 바랍니다!</t>
    </r>
  </si>
  <si>
    <t>결승테이프</t>
  </si>
  <si>
    <r>
      <rPr>
        <rFont val="Arial"/>
        <color rgb="FF1155CC"/>
        <sz val="11.0"/>
        <u/>
      </rPr>
      <t>닥터유 에너지바 투바이트, 468g, 1개 - | 쿠팡</t>
    </r>
  </si>
  <si>
    <t>팀2</t>
  </si>
  <si>
    <t>행사 전반</t>
  </si>
  <si>
    <t>타이머</t>
  </si>
  <si>
    <t>개인 지참</t>
  </si>
  <si>
    <t>휴대폰</t>
  </si>
  <si>
    <t>간식 - 피크닉 제로 사과 72개입</t>
  </si>
  <si>
    <t>휘슬</t>
  </si>
  <si>
    <t>https://www.coupang.com/vp/products/8174361304?itemId=23357867452&amp;vendorItemId=90388433128&amp;q=%EC%BF%A0%ED%82%A4%EB%9E%91+%EB%A8%B9%EC%9D%84+%EC%A3%BC%EC%8A%A4&amp;itemsCount=36&amp;searchId=ca07d92817950&amp;rank=0&amp;searchRank=0&amp;isAddedCart=</t>
  </si>
  <si>
    <t>마카</t>
  </si>
  <si>
    <t>박스 테이프</t>
  </si>
  <si>
    <t>도장/잉크</t>
  </si>
  <si>
    <t>브룸? (다이소)</t>
  </si>
  <si>
    <t>간식 - 피크닉 제로 사과 24개입</t>
  </si>
  <si>
    <t>행사 상품</t>
  </si>
  <si>
    <t>우승 메달 30개 set</t>
  </si>
  <si>
    <t xml:space="preserve">미니 게임 </t>
  </si>
  <si>
    <t>뽑기판</t>
  </si>
  <si>
    <t>https://www.coupang.com/vp/products/6261699447?itemId=12753822094&amp;vendorItemId=80020102996&amp;q=%EA%B8%88%EB%A9%94%EB%8B%AC+20%EA%B0%9C&amp;itemsCount=36&amp;searchId=46f2af8c2299075&amp;rank=1&amp;searchRank=1&amp;isAddedCart=</t>
  </si>
  <si>
    <t>필름카메라</t>
  </si>
  <si>
    <r>
      <rPr>
        <rFont val="Arial"/>
        <b/>
        <color theme="1"/>
      </rPr>
      <t>토너먼트형 게임, 미니게임</t>
    </r>
    <r>
      <rPr>
        <rFont val="Arial"/>
        <color theme="1"/>
      </rPr>
      <t xml:space="preserve">                              &lt;15:50-17:10&gt;</t>
    </r>
  </si>
  <si>
    <t>달고나 발포 비타민</t>
  </si>
  <si>
    <r>
      <rPr>
        <rFont val="Arial"/>
        <b/>
        <color theme="1"/>
      </rPr>
      <t>줄다리기</t>
    </r>
    <r>
      <rPr>
        <rFont val="Arial"/>
        <color theme="1"/>
      </rPr>
      <t xml:space="preserve">
&lt;15:50 ~ 16:25&gt;
</t>
    </r>
    <r>
      <rPr>
        <rFont val="Arial"/>
        <b/>
        <i/>
        <color rgb="FFFF0000"/>
        <sz val="9.0"/>
      </rPr>
      <t>경기 당 2분
준비 시간 5분
총 경기 시간 약 30분</t>
    </r>
  </si>
  <si>
    <t>우승 트로피</t>
  </si>
  <si>
    <t>온라인구매</t>
  </si>
  <si>
    <t>별뽀빠이 약과</t>
  </si>
  <si>
    <t>https://www.coupang.com/vp/products/1477801942?itemId=2539080661&amp;vendorItemId=70531854415&amp;q=%EC%9A%B4%EB%8F%99%ED%9A%8C+%EC%9A%B0%EC%8A%B9+%ED%8A%B8%EB%A1%9C%ED%94%BC&amp;itemsCount=36&amp;searchId=da5299942324653&amp;rank=0&amp;searchRank=0&amp;isAddedCart=</t>
  </si>
  <si>
    <t>신쪼리 포도당 사탕</t>
  </si>
  <si>
    <t>전체 우승 상품</t>
  </si>
  <si>
    <t>메달</t>
  </si>
  <si>
    <t>트로피</t>
  </si>
  <si>
    <t>팀3</t>
  </si>
  <si>
    <t>부채 - 우승상품</t>
  </si>
  <si>
    <t>부채</t>
  </si>
  <si>
    <t>https://www.coupang.com/vp/products/7318043254?itemId=18763275561&amp;vendorItemId=85895086210&amp;pickType=COU_PICK&amp;q=%EB%B6%80%EC%B1%84&amp;itemsCount=36&amp;searchId=b00dcb541257132&amp;rank=1&amp;searchRank=1&amp;isAddedCart=</t>
  </si>
  <si>
    <t>기타</t>
  </si>
  <si>
    <t>반다나</t>
  </si>
  <si>
    <t>현수막</t>
  </si>
  <si>
    <t>https://www.coupang.com/vp/products/8960657461?vendorItemId=94930569006&amp;sourceType=SDP_ALSO_VIEWED</t>
  </si>
  <si>
    <t>bizhows</t>
  </si>
  <si>
    <t>https://www.coupang.com/vp/products/7640375378?itemId=20299196824&amp;vendorItemId=87385204260&amp;q=%EC%8A%88%ED%8D%BC+%EB%A7%88%EB%A6%AC%EC%98%A4+%EB%B0%B0%EA%B2%BD&amp;searchId=91e9eb5c1176213&amp;sourceType=search&amp;itemsCount=60&amp;searchRank=22&amp;rank=22&amp;traceId=mnyn6kjd</t>
  </si>
  <si>
    <r>
      <rPr>
        <rFont val="Arial"/>
        <b/>
        <color theme="1"/>
      </rPr>
      <t xml:space="preserve">단체 피구 </t>
    </r>
    <r>
      <rPr>
        <rFont val="Arial"/>
        <color theme="1"/>
      </rPr>
      <t xml:space="preserve">
&lt;16:25 ~ 17: 10&gt;
</t>
    </r>
    <r>
      <rPr>
        <rFont val="Arial"/>
        <b/>
        <i/>
        <color rgb="FFFF0000"/>
        <sz val="9.0"/>
      </rPr>
      <t>*경기 당 8분</t>
    </r>
  </si>
  <si>
    <t>https://www.coupang.com/vp/products/7685887140?itemId=20539738506&amp;vendorItemId=92233756252&amp;sourceType=srp_product_ads&amp;clickEventId=ef6c8540-3803-11f1-988d-91104679256f&amp;korePlacement=15&amp;koreSubPlacement=1&amp;clickEventId=ef6c8540-3803-11f1-988d-91104679256f&amp;korePlacement=15&amp;koreSubPlacement=1&amp;traceId=mnyn8y10</t>
  </si>
  <si>
    <t>팀4</t>
  </si>
  <si>
    <t>https://www.coupang.com/vp/products/7996171515?itemId=22245300606&amp;vendorItemId=89291116626&amp;q=%EB%A7%88%EB%A6%AC%EC%98%A4+%EB%AA%A8%EC%9E%90&amp;searchId=3ded64171968575&amp;sourceType=search&amp;itemsCount=60&amp;searchRank=14&amp;rank=14&amp;traceId=mnynj4x3</t>
  </si>
  <si>
    <t>https://www.coupang.com/vp/products/7996171515?itemId=22245300605&amp;vendorItemId=89291116631&amp;q=%EB%A7%88%EB%A6%AC%EC%98%A4+%EB%AA%A8%EC%9E%90&amp;searchId=3ded64171968575&amp;sourceType=search&amp;itemsCount=60&amp;searchRank=14&amp;rank=14&amp;traceId=mnynj4x3</t>
  </si>
  <si>
    <t>개구쟁이 프로펠러모자</t>
  </si>
  <si>
    <t>https://www.coupang.com/vp/products/8719918331?itemId=25328549440&amp;vendorItemId=92323392297&amp;sourceType=srp_product_ads&amp;clickEventId=a80be5e0-3805-11f1-9be4-3567864d250e&amp;korePlacement=15&amp;koreSubPlacement=22&amp;clickEventId=a80be5e0-3805-11f1-9be4-3567864d250e&amp;korePlacement=15&amp;koreSubPlacement=22&amp;traceId=mnynp930</t>
  </si>
  <si>
    <r>
      <rPr>
        <rFont val="Arial"/>
        <b/>
        <color theme="1"/>
      </rPr>
      <t xml:space="preserve">미니게임  </t>
    </r>
    <r>
      <rPr>
        <rFont val="Arial"/>
        <color theme="1"/>
      </rPr>
      <t xml:space="preserve">                                            *림보, 손바닥 밀치기, 카드 짝 맞추기  </t>
    </r>
  </si>
  <si>
    <t>1) 림보</t>
  </si>
  <si>
    <t>자유사이즈 현수막</t>
  </si>
  <si>
    <t>게임보조자 - 번갈아 가며 한명만 상주</t>
  </si>
  <si>
    <t>https://www.bizhows.com/ko/v/option?code1=4000&amp;code2=200&amp;code3=1001&amp;mock=4000_200_1001_6&amp;priorityKeywordCategory=&amp;defaultKeyword=</t>
  </si>
  <si>
    <t>팀5</t>
  </si>
  <si>
    <t>심판 - 2명 동시에 상주</t>
  </si>
  <si>
    <t>총 지출 금액</t>
  </si>
  <si>
    <t>2) 손바닥 밀치기</t>
  </si>
  <si>
    <t>심판 (게임 상대) - 3명 동시에 상주</t>
  </si>
  <si>
    <t>게임 보조자 - 게임에 참여하지 않는 심판 중 한명</t>
  </si>
  <si>
    <t>*기타 국제처 요청사항</t>
  </si>
  <si>
    <t>3) 카드 짝 맞추기</t>
  </si>
  <si>
    <t>앰뷸런스</t>
  </si>
  <si>
    <t>율전 버스 편도 대절</t>
  </si>
  <si>
    <t>&lt;2부 팀&gt;</t>
  </si>
  <si>
    <t>명륜에서 율전 한 대당 편도 50만</t>
  </si>
  <si>
    <t>스피커, 마이크 대여</t>
  </si>
  <si>
    <t>게임 보조자 - 번갈아 가며 한명만 상주</t>
  </si>
  <si>
    <t>테이블, 의자 대여</t>
  </si>
  <si>
    <r>
      <rPr>
        <rFont val="Arial"/>
        <color theme="1"/>
      </rPr>
      <t xml:space="preserve">
</t>
    </r>
    <r>
      <rPr>
        <rFont val="Arial"/>
        <b/>
        <color theme="1"/>
      </rPr>
      <t>메인게임</t>
    </r>
    <r>
      <rPr>
        <rFont val="Arial"/>
        <color theme="1"/>
      </rPr>
      <t xml:space="preserve">       &lt;17:10-17:35&gt;
</t>
    </r>
  </si>
  <si>
    <r>
      <rPr>
        <rFont val="Arial"/>
        <b/>
        <color theme="1"/>
      </rPr>
      <t>계주</t>
    </r>
    <r>
      <rPr>
        <rFont val="Arial"/>
        <color theme="1"/>
      </rPr>
      <t xml:space="preserve">
&lt;17:10 ~ 17: 35&gt;
</t>
    </r>
    <r>
      <rPr>
        <rFont val="Arial"/>
        <b/>
        <i/>
        <color rgb="FFFF0000"/>
        <sz val="9.0"/>
      </rPr>
      <t xml:space="preserve">단판 20분
</t>
    </r>
  </si>
  <si>
    <t>심판(맨앞사람이 심판1 나머지가 심판2)</t>
  </si>
  <si>
    <t>ㅁ</t>
  </si>
  <si>
    <t>18:00-</t>
  </si>
  <si>
    <r>
      <rPr>
        <rFont val="Arial"/>
        <color theme="1"/>
      </rPr>
      <t>마무리 정리</t>
    </r>
    <r>
      <rPr>
        <rFont val="Arial"/>
        <color rgb="FFFF0000"/>
      </rPr>
      <t xml:space="preserve"> (부스 철거 시 설치 했던 인원이 철거하기)</t>
    </r>
  </si>
  <si>
    <t>다 같이</t>
  </si>
  <si>
    <t>ex. 총학 물품 이동했던 인원은 똑같이 농구장 앞으로 가져가기</t>
  </si>
  <si>
    <t>ex. 브룸 물품 이동했던 인원은 다시 브룸으로 해당 물품 옮기기</t>
  </si>
  <si>
    <t>스피커와 마이크는 시설관리팀이, 천막은 업체에서 철거</t>
  </si>
  <si>
    <t>12:00- 18:10</t>
  </si>
  <si>
    <t>행사 전체 촬영 담당 (유동적으로 빈 시간대에 진행)</t>
  </si>
  <si>
    <r>
      <rPr>
        <rFont val="휴먼명조"/>
        <color rgb="FFFF0000"/>
        <sz val="11.0"/>
      </rPr>
      <t>필참</t>
    </r>
    <r>
      <rPr>
        <rFont val="휴먼명조"/>
        <color theme="1"/>
        <sz val="11.0"/>
      </rPr>
      <t>/자율</t>
    </r>
  </si>
  <si>
    <t>(음료) 토레타 무라벨 *340ml * 60개</t>
  </si>
  <si>
    <r>
      <rPr>
        <rFont val="Arial"/>
        <color rgb="FF1155CC"/>
        <sz val="11.0"/>
        <u/>
      </rPr>
      <t>토레타 무라벨 이온음료, 340ml, 40개 - 기타탄산음료 | 쿠팡</t>
    </r>
  </si>
  <si>
    <t>(음료) 토레타 무라벨 *340ml * 40개</t>
  </si>
  <si>
    <t>(음료) 포카리 무라벨*340ml * 60개</t>
  </si>
  <si>
    <t>https://www.coupang.com/vp/products/8544933292?itemId=548226098&amp;vendorItemId=85072693047&amp;pickType=COU_PICK&amp;q=%EC%9D%B4%EC%98%A8%EC%9D%8C%EB%A3%8C+%EB%AC%B4%EB%9D%BC%EB%B2%A8&amp;itemsCount=36&amp;searchId=a190830e542358&amp;rank=1&amp;searchRank=1&amp;isAddedCart=</t>
  </si>
  <si>
    <t>(음료) 포카리 무라벨*340ml * 40개</t>
  </si>
  <si>
    <t>슈퍼 마리오 타투스티커 20개 1세트 (품절)</t>
  </si>
  <si>
    <t>단체 티 - 하이클럽(추가주문)</t>
  </si>
  <si>
    <t>단체티 - 교환학생(추가주문)</t>
  </si>
  <si>
    <r>
      <rPr>
        <rFont val="Arial"/>
        <color rgb="FF1155CC"/>
        <sz val="11.0"/>
        <u/>
      </rPr>
      <t>한울 촉촉 고구마 스틱, 20g, 10개 - 고구마말랭이 | 쿠팡</t>
    </r>
  </si>
  <si>
    <t>간식 - 에너지바 17개입 * 3set * 3개</t>
  </si>
  <si>
    <r>
      <rPr>
        <rFont val="Arial"/>
        <color rgb="FF1155CC"/>
        <sz val="11.0"/>
        <u/>
      </rPr>
      <t>닥터유 에너지바 투바이트, 468g, 1개 - | 쿠팡</t>
    </r>
  </si>
  <si>
    <t>피드백</t>
  </si>
  <si>
    <t>하클 피드백</t>
  </si>
  <si>
    <t>행사 준비</t>
  </si>
  <si>
    <t>버스타고 이송하는 물품에 대한 확인이 잘 되어야할듯. 림보.. 확실히 천막 업체에서 해주니까 너무 편하긴합니다.
카뉴에 스데가 뭔지를 가시적으로 나타낼 수 있는 사진이 필요해보임. 게임이름만 들었을 땐 뭔지몰라서 뭐하는 행사인지 감을 못잡는 친구들도 있었음.
비건 음식이 늦게 도착했고, 준비물도 율전 버스와 함께 와서 사실상 교환학생들이 도착한 이후에 스데를 준비하는 상황과 다름없었던 것 같습니다. 스데가 토요일인 만큼, 가능하다면 다음부터는 스데 전날 정기회의가 있을 경우 인자셔틀 등을 이용해서 물품이나 필요한 준비물들을 미리 전달해두면 좋을 것 같습니다. 또 명륜 하클 부원들도 일찍 집합했지만, 막상 바로 할 수 있는 업무가 없어 기다리는 시간이 길었던 것 같습니다.
행사 진행 스탭 간에 게임 규칙 이해도의 차이가 있어서 즉석에서 수정해야 하는 경우가 있었음. 각 게임 규칙에 대해서 모의 리허설 또는 사전 회의가 오프라인 회의때 반드시 선행되어야 한다고 생각
최종기획안이 하루 전에 공지되어 업무를 이해할 여유가 부족했다고 합니다.
교환 학생 입장 시 물품 배부 역할의 구체화가 필요해보입니다.</t>
  </si>
  <si>
    <t>교환학생 입장</t>
  </si>
  <si>
    <t xml:space="preserve">조금 더 체계적이게 줄서는 곳이 마련되거나 지시할내용이 전달되었으면 좋았을거같습니다
단체티 천막에서 팀별로 나눠주는게 나은듯
교환학생들이 도착한 이후에도 약 5분 정도 대기하는 시간이 있었고, 음식 배부 과정에서도 비건 음식이 바로 준비되지 않아 추가로 기다리는 상황이 있었습니다. 또한 돗자리가 율전 버스와 함께 도착해서 초반에는 앉을 공간이 부족했던 것 같습니다. 탈의실 안내를 진행했음에도 일부 교환학생들은 야외에서 옷을 갈아입었고, 스데 옷들도 잔디에 놓여 있는 상태라 전체적으로 현장이 조금 혼동스러웠던 것 같습니다. 다음에는 가능하다면 명륜 브룸에 필요한 물품들을 미리 가져다두고 준비해두면 훨씬 수월하게 운영할 수 있을 것 같아요. 
율전 교환들과 명륜 교환들이 모이는 시간이 약간 차이가 있어 시간이 붕 뜨는 느낌이 있어서 아쉬웠음
각 팀마다 입장할 때 노래가 크게 나오고+팀장이 깃발 흔들면서 줄 지어서 입장하면 팀워크도 다질 수 있고 좋을 것 같다 
율전 사람들이 운동장 입장할 때 명확한 가이드라인이 없었어서 중구난방이었던 것이 좀 아쉬웠습니다. 한 명이 책임감을 갖고 확실하게 리드해주었다면 좋았을 것 같아요. 하클사람 중 언제 점심 먹어야 할지를 몰라 대기하는 인원이 꽤 있었습니다.
율전 인원은 율전에서 명륜으로 버스를 타고 이동하였는데 교환 학생 입장 시각과 맞물려 밥을 먹을 여유가 부족하였습니다.
물총이 부러웠을 교환이 많을 것 같다. 한국인이 아니라서 그런지 파워오투를 활용하는 교환이 없었다.
화장실 위치 찾기가 어려웠던 것 같음.
옷을 배부 받거나 갈아입는 과정에서 장소를 잘 못 찾는 교환학생들이 있어서 추가적인 안내를 도와줄 수 있는 인원이 있었으면 좋았을것 같다.
입장 과정도 순탄히 흘러간 것 같긴 한데,  1. 티셔츠가 사전 배부되지 않아 팀 부스에서 사이즈별 분류하는 시간이 따로 없어 교환이들한테 준비과정이 노출되는 점은 개선하면 좋지 않을까 싶습니다. 준비과정이 노출되고 하면 교환이들이 다소 어수선하게 느꼈을 수 있을 것 같습니다.  2. 교환이들 식사 마치고 발생한 쓰레기, 특히 음식물쓰레기 등을 분류할 수 있도록 하클 안내자(?)를 배치하면 어떨까 싶습니다.  3. 티셔츠 등 단체복을 배부하는 행사 시에는 탈의실 등 갈아입을 장소를 마련하거나, 여의치 않다면 화장실 등으로 공지하는 것이 좋을 것 같습니다! 교환이들 중에 티셔츠 받은 자리에서 바로 갈아입는 경우가 있는데 혹시 문제될까 봐서요. </t>
  </si>
  <si>
    <t>점심/음료</t>
  </si>
  <si>
    <t xml:space="preserve">좋았습니다! 그런데 음식물 쓰레기 버릴 곳이 애매해져서 분리수거가 힘들었건 것 같습니다. 
음식물 처리 문제 발생 햄버거나 김밥 등 그런 간단한게 좋을듯합니다
아직 한식이 익숙하지 않거나, 싫어하는 교환학생이 좀 있었던 것 같다. 추후의 행사에서는 전에 주문했던 써브웨이 샌드위치 (15cm) 등을 주문하면 될 것 같다. 비건 샌드위치도 있으니 굳이 주문처를 이원화 하지 않아도 돼서 간편할 듯 하다. 다만, 양이 문제이긴 할 것 같다.
김밥보다 훨씬 나음
음식을 거의 모두 남기는 교환학생들이 종종 있는걸 봐서 다음은 조금 더 호불호 없을 도시락으로 준비하면 좋을 것 같아요
몸을 많이 움직여야 했던 만큼, 제공된 음식과 음료가 매우 만족스러웠습니다.
</t>
  </si>
  <si>
    <t>메인게임/토너먼트</t>
  </si>
  <si>
    <t>메인게임 좋았고, 마지막 계주 하클 팀 따로 나눠서 한 점 좋았다
심판들이 숙지가 잘 안 되어 잇는 느낌을 받았습니다. 자기 역할 타임라인을 전날 받는 것보다는 최소 3일전에 작성하는 게 좋을 것 같습니다. / 줄다리기에서 게임 종료를 명확히 하지 않아서 특정 팀이 진 케이스가 있었습니다. 
모두 간단한 규칙으로 모두가 참여하기 좋았습니다. 
‘무궁화 꽃이 피었습니다’와 ‘짝짓기 게임’이 가장 기억에 남는데 ’무궁화 꽃이 피었습니다‘는  한국의 문화를 체험할 수 있는 종목이라 기억에 남고 ‘짝짓기 게임‘은 모두가 함께 참여할 수 있는 게임이라는 점에서 기억에 남습니다.
규칙 조금만 더 자세히 설명해주시고, 반칙 등을  한다면 패널티도 추가한다 등의 내용도 포함해 설명하는 것이 좋을 것 같습니다.  
다 재밌었습니다! 무궁화 꽃이 피었습니다, 짝짓기 게임 탈락자 선정할 때 뿅망치 이용하면 어떨까 싶습니다. 생각보다 물총 조준이 애매해서 내보내기 어려웠습니다 ㅜㅜ
게임전반적으로 우승시 보상이 살짝 부족했던것같습니다. 
생각보다 교환학생들이 승부에 진심이라, 2부에 승패가 명확한 토너먼트게임의 배점을 늘리면 좋았을듯합니다
게임에서 인원제한이 있는데 대부분 게임에서 남학생들은 고정으로 참여하고 여학생들은 몇명씩 빠지는 경우가 있었는데 게임을 하고싶었지만 남학생들이 참여해야 이길 것 같아서 참여하지 않는것처럼 느껴져서 여학생들이 더 잘 할수있는게임을 추가하거나 어떤 게임은 모든 여학생들이 참여해야한다는 규칙을 추가하면 좋을 것 같습니다.
너무 늦게 업무보고를 해서인지 아니면 업무보고에 특별히 규칙에 대해서 적는 칸은 없어서인지 무언가 게임
룰에 대한 숙지가 아무도 제대로 되어있지는 않은 느낌이었습니다. 딱 이런상황이면 이 팀이 승리에 대한 숙지가 제대로 되어있지 않았던 것 같습니다. 그래서 교환친구들 몇 명이 가위바위보를 1등을 했는데 왜 부전승이 아니라 게임을 3번으로 다른 팀들보다 더 했는지 unfair하다 이런 의견을 냈던걸 들었습니다. 부전승이 맞는지 혹은 그냥이긴순서대로 게임을 하는 거였는지 제대로 틀을 잡고 이걸 제대로 안내해줬으면 좋았겠다고 생각했습니다
토너먼트게임 꼴찌했는데 연속 3번해서 체력이 너무 떨어진 상태에서 게임을 해서 팀에서 불만이 있었습니다
피구 : 인원이 12명이라 생각보다 오래 걸렸던것 같습니다. 초반에 3-4 명 정도는 상대 진영에서 시작하면 더 빨리 끝나지 않을까 싶습니더
교환들이 생각보다 춤추라고 시킨걸 꽤나 좋아한것같아서 담에두 이런거 있으면 좋을것같아요
메인게임에서 짝짓기 게임에서 살짝 루즈해진 것은 살짝 아쉬웠습니다. 그냥 서 있으며 게임 보조만 하면 됐던 저 또한 더위 아래 계속 있느라 힘들기도 하고 이쯤 되면 외칠 타이밍인 거 같은데 안 나온 횟수가 누적됐을 때 텐션이 살짝 떨어지기도 하였습니다. 짝짓기 게임을 할 때 외치는 타이밍을 조금 더 빨리 하거나 노래를 하이라이트부분을 틀어서 텐션이라도 유지할 수 있게끔 하는 것이 좋을 것 같습니다.
여름이라 물총을 활용한 게임들이 재미가 많았습니다, 물총을 메인으로 하는 게임도 있으면 어떨까 싶었습니다.
의도치 않게 모집 인원이 적어졌는데 모두가 잘 즐길 수 있는 게임들 이었던 것 같습니다. 모두가 적절히 즐길 수 있었다는 점에서 잘 짜여졌다고 생각합니다.</t>
  </si>
  <si>
    <t>미니게임부스</t>
  </si>
  <si>
    <t>줄다리기, 피구, 계주가 2부에 몰려 있어서 2부 미니게임 부스가 한적했습니다. 필요하지 않다면 운영을 안해도 될 것 같고, 계속 운영을 하는 방향이 좋을 것 같아면 다같이 응원하는 게임을 1,2 부에 나눠서 분배해도 좋을 것 같습니다
생각보다 상품이나 도장에 별 관심이 없는 것 같기도하다
상주 인원을 확정지으면 좋을듯함. 사람이 없었어서
1부에는 확대, 2부는 축소/삭제해도 괜찮을 듯 합니다
미니게임 중 너무 어려웠던 미션이 있어(제기차기) 많은 교환학생들이 애를 먹었습니다. 또한 2부에 미니게임을 참여한 인원이 거의 없었습니다. 미니게임에 대한 교환학생들의 유입을 이끌 방법이 추가적으로 필요한 것 같습니다.
페이스페인팅이 특히 인기 많았음 꼭 담에도 기기! 은근 지나 외에도 잘하는 하클들 많아서 잘돌아갔음 근데 미니게임 하다가 토머먼투 하러 나오라해서 그리 잘 진행되진않은 것 같음
미니게임 부스 담당 역할이 겹친 일이 있었던 것 같아, 조금의 시간 지연 및 교환학생 대기가 발생했다. 또한, 1부 2부의 미니게임 방문자수가 확연히 차이가 나서, 2부에는 부스에 거의 오지 않았었다. 균형있게 방문할 수 있는 방안이 고안되면 좋을 것 같다.
1부에는 참여도가 높았지만, 2부의 경우 참여도가 상대적으로 낮아보였습니다. 이를 고려하여 향후 행사에서는 미니게임의 비중을 소폭 축소하여도 좋을 것 같습니다.
스탬프 모으는 판이 있었던 것 같은데 보상이 뭔지 잘 몰라서 도장 모으기에 크게 관심이 없었던 것 같습니다
페이스 페인팅이 특히 인기가 많은 것 같습니다. 관련 인원을 증원하면 좋을 것 같습니다
미니게임 종류가 단조로웠던 것 같고 한 부스에 수용할 수 있는 교환 인원이 적었던 것 같다. 
2부행사때는 미니게임 부스가 운영되지 않았던 점이 아쉽다면 아쉽습니다. 차라리 내년에는 1부때 미니게임 부스를 4개 정도 운영하고 2부때는 사람들 잘 안 오니까 아예 안 하거나 페이스페인팅 정도만 해도 괜찮을 것 같네요. 
메인 게임과 토너먼트 게임만 진행했을 때 루즈할 수 있었을 것 같은데 그 공백을 미니게임이 잘 채운 것 같습니다.
다만, 미니게임 운영 방식이 하클 인원에게 조금은 복잡할 수 있어 매뉴얼이나 규칙을 마련하여 지류 형태로 붙여두어 운영에 도움을 주었으면 좋을 것 같습니다.
이건 도장판이 실제로 활용되지 않아서 고생한 것에 비하면 좀 아쉽다고 생각한다. 실제로 도입하기 위해서는 필트처럼 목걸이를 나눠주거나, 처음에 입장할 때 배부하면서 안내해야할 듯 하다. 아 목걸이는 파손 위험 있으니 취소. 
조금 무질서한 느낌이있었다. 부스별로 조금 떨어뜨려 설치하는것도 좋은 방법일듯
전반적으로 넘 재밌고 좋았는데 미니게임 중 줄넘기에 교환이들이 익숙하지 않아 거의 진행되지 않았다는점? 근데 재밌어하긴 했어서 좋았습니다. 
페이스페인팅을 교환이들도 많이 하고싶어하더라고요 다음에는 더 확대해서 해도 좋을 듯 합니다. 
하클 인원끼리 이해한 게임 진행 방식이 서로 조금씩 다른 경우가 있었던 것 같다. 하클 인원과 교환학생 모두를 위해 하드보드에 게임 규칙을 간단히 적고 부스에 배치해 둬도 좋았을 것 같다. 
제기차기 게임의 통과 기준이 좀 어려워서 제기차기에 시간을 조금 많이 쏟게 되고 속상해하는 반응이 있어서 좀 아쉬웠습니다.  그러나 게임에 참여하지 못하는 시간에 미니게임 부스라는 즐길거리가 있는 점은 좋았습니다.
페이스페인팅부스에서 그림을 잘 그려주셔서 좋았습니다. 카드 뒤집기는 크게 사람이 많았던 것 같지 않아 다른 게임을 진행해도 좋을 것 같습니다.
제기차기 등은 교환이들이 사용하지 않는 듯하여 아쉬웠습니다. 다만 림보를 해 보고 싶다는 의견을 조금 들어서 내년에는 이것을 포함한다면 미니게임도 충분히 많은 참여를 이끌 수 있을 것 같습니다. 
미니게임 부스는 진행이 조금 애매했던 것 같습니다.  담당 인원들이 빠르게 오지 못한 것과, 2부 때 빠르게 교체되어 시작되지 못했던 것 같습니다.
미니게임 부스는 약간 전체적으로 따로 노는 분위기였지만 그것도 나름대로 서로 친해질 수 있는 좋은 방안이었덩것 같습니다. 게임 룰에대한 설명이 살짝 부족했건것 같습니다.
생각보다 메인 게임과 토너먼트 게임에 비해 미니게임 부스가 원활하게 이루어지지 않고, 특히 그 뽑기 참여하는 교환학생들이 거의 없었습니다.. 그 도장판에 도장을 받아서 2개당 뽑기 1번으로 했는데 아무도 뽑기판을 들고 다니지 않았던 거 같아요. 이에 대한 개선이 필요할 거 같습니다.</t>
  </si>
  <si>
    <t>구글폼에서 성별 꼭 받아야할 것 같습니다. 스데는 성별이 중요함
이번엔 사회자가 거의 모든 돌발상황에서 스무스하게 대처 잘한것 같아서 앞으로 사회자는 이번처럼 영어가 편한 사람을 해놓는게 역시 좋은것같습니다
음식물쓰레기 처리를 위한 쓰레기통을 따로 마련을 하고, 거기에 더해 무조건 음쓰 여기에 버리라고 사전안내도 같이 행해져야 한다고 생각했습니다 음쓰를 그냥 쓰레기랑 같이 버리는걸 별로 이상하게 여기지 않는 교환학생도 있을 수 있는것같아서
행사 중간에 먹을 수 있는 간식(에너지바, 핫바 등)이 마련되어 있었다면 더 좋았을 것 같습니다!!
율전에서 명륜으로 짐을 가져올 때 두고 온 물건이 있어서 다음에는 준비물을 더 꼼꼼히 확인하면 좋을 것 같다. 
사회자의 역량이 중요한 것 같았습니다. 사회자 분께서 너무 나이스했던 것 같아요!!
물총 같은건 교환학생들이 자유롭게 쓸수있게 제공했으면 좋았을거 같다. 더불어 SG MAPLE들도 챙겨주면 좋겠다. 뻘쭘해보였다.
일정표를 그 도장판 뒤에 넣으면 교환이들이 편하게 볼 수 있을 것 같습니다. 
소규모로 진행됐던 스포츠데이였는데, 소규모여서 모든 교환학생들이 충분히 재밌게 즐겼던 것 같습니다. 다음 스데도 대규모일 필요는 없을 것 같습니다. 
물총싸움 넘넘 재밌었고 메인게임에서 짝맞추기? 게임이 만족도가 특히 높았던 것 같아요 노래도 신나게 틀고 춤도추고 하면서 잘 즐겼던 것 같습니다. 
아주조금 걱정되는 것은 물총싸움 보면서 교환이들이 자기도 하고싶다?? 약간 요런 느낌 들지 않았을까 싶은 부분이었어용 다음에는 물총가지고 놀수있게끔 교환이용 물총 + 충전할 수 있는 물 이렇게 두어도 좋지 않을까 해용  
중간중간 토너먼트 진행상황이나 팀 순위를 잘 알 수 있으면 좋을 것 같습니다.
점심 외에도 계주 전 쯤에 간단한 간식을 나눠주면 어떨까 합니다. 몸을 쓰기도 하고 생각보다 오랫동안 활동해서 끝날 때가 되니까 배가 고팠습니다 ㅜㅜ 미니게임 상품으로 마이쮸 같은 간단한 거 줘도 괜찮을 것 같습니다!</t>
  </si>
  <si>
    <t>교환 피드백</t>
  </si>
  <si>
    <t>"Registration and payment went smoothly on the sports day. If I need to give one point of feedback: maybe the fact that I didn’t have a confirmation that the payment was received, but that is the only thing!"
Food was delicious and enough water for everyone. Loved the water with taste option too!
Unfortunately, I was not aware of the game rules of some games. I hope that the next time., the explanation will be even more clear, providing some examples!
Really fun games and activities!
Unfortunately, the rules were blurry sometimes. E.g. for the relay race, the first runners started at different spots due to the track being a circle, which is correct, but then there was no rule on where the next runners were allowed to take over the stick. That resulted in people receiving the stick at different spots of the track, which caused a slight sense of unfairness. Also cheating was not really punished, which caused some frustration for fair players. 
Maybe teams should have been better mixed, for application one should ask who makes sports regularly and who not, so one team does not end up with people that are really serious about sports or only for fun
Cool t-shirts!!!</t>
  </si>
  <si>
    <t>국제처 지원요청 금액</t>
  </si>
  <si>
    <t>행사 수입(예상)</t>
  </si>
  <si>
    <t>하클 재원 (적자)</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</si>
</sst>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d"/>
    <numFmt numFmtId="165" formatCode="m/d"/>
    <numFmt numFmtId="166" formatCode="[$₩-412]#,##0"/>
  </numFmts>
  <fonts count="65">
    <font>
      <sz val="11.0"/>
      <color theme="1"/>
      <name val="Arial"/>
      <scheme val="minor"/>
    </font>
    <font>
      <sz val="20.0"/>
      <color theme="1"/>
      <name val="휴먼둥근헤드라인"/>
    </font>
    <font/>
    <font>
      <sz val="11.0"/>
      <color theme="1"/>
      <name val="휴먼명조"/>
    </font>
    <font>
      <color theme="1"/>
      <name val="Arial"/>
    </font>
    <font>
      <sz val="11.0"/>
      <color theme="1"/>
      <name val="휴먼둥근헤드라인"/>
    </font>
    <font>
      <color rgb="FF000000"/>
      <name val="Arial"/>
    </font>
    <font>
      <b/>
      <color theme="1"/>
      <name val="Arial"/>
    </font>
    <font>
      <color theme="1"/>
      <name val="Arial"/>
      <scheme val="minor"/>
    </font>
    <font>
      <b/>
      <color rgb="FF000000"/>
      <name val="Arial"/>
    </font>
    <font>
      <sz val="11.0"/>
      <color rgb="FF000000"/>
      <name val="휴먼명조"/>
    </font>
    <font>
      <b/>
      <color rgb="FF0000FF"/>
      <name val="Arial"/>
    </font>
    <font>
      <color rgb="FF0000FF"/>
      <name val="Arial"/>
    </font>
    <font>
      <b/>
      <sz val="11.0"/>
      <color rgb="FF000000"/>
      <name val="Arial"/>
    </font>
    <font>
      <sz val="11.0"/>
      <color rgb="FF000000"/>
      <name val="Arial"/>
    </font>
    <font>
      <b/>
      <color theme="1"/>
      <name val="Arial"/>
      <scheme val="minor"/>
    </font>
    <font>
      <sz val="11.0"/>
      <color theme="1"/>
      <name val="Arial"/>
    </font>
    <font>
      <b/>
      <strike/>
      <sz val="11.0"/>
      <color rgb="FF000000"/>
      <name val="Arial"/>
    </font>
    <font>
      <strike/>
      <sz val="11.0"/>
      <color rgb="FF000000"/>
      <name val="Arial"/>
    </font>
    <font>
      <sz val="11.0"/>
      <color theme="1"/>
      <name val="Malgun Gothic"/>
    </font>
    <font>
      <i/>
      <sz val="11.0"/>
      <color rgb="FF000000"/>
      <name val="Arial"/>
    </font>
    <font>
      <sz val="11.0"/>
      <color rgb="FFFF9900"/>
      <name val="Arial"/>
    </font>
    <font>
      <color rgb="FFFF9900"/>
      <name val="Arial"/>
    </font>
    <font>
      <b/>
      <sz val="11.0"/>
      <color theme="1"/>
      <name val="Arial"/>
    </font>
    <font>
      <b/>
      <sz val="11.0"/>
      <color rgb="FF0000FF"/>
      <name val="Arial"/>
    </font>
    <font>
      <b/>
      <sz val="11.0"/>
      <color theme="1"/>
      <name val="휴먼명조"/>
    </font>
    <font>
      <sz val="11.0"/>
      <color rgb="FFFF0000"/>
      <name val="휴먼명조"/>
    </font>
    <font>
      <sz val="11.0"/>
      <color rgb="FF1F1F1F"/>
      <name val="Arial"/>
    </font>
    <font>
      <b/>
      <sz val="11.0"/>
      <color rgb="FF999999"/>
      <name val="Arial"/>
    </font>
    <font>
      <b/>
      <sz val="11.0"/>
      <color theme="6"/>
      <name val="Arial"/>
    </font>
    <font>
      <color rgb="FF0000FF"/>
      <name val="Arial"/>
      <scheme val="minor"/>
    </font>
    <font>
      <strike/>
      <color theme="1"/>
      <name val="Arial"/>
    </font>
    <font>
      <sz val="11.0"/>
      <color rgb="FFFF0000"/>
      <name val="Arial"/>
    </font>
    <font>
      <b/>
      <sz val="11.0"/>
      <color theme="7"/>
      <name val="Arial"/>
    </font>
    <font>
      <b/>
      <sz val="11.0"/>
      <color rgb="FF9900FF"/>
      <name val="Arial"/>
    </font>
    <font>
      <b/>
      <sz val="11.0"/>
      <color rgb="FFFF0000"/>
      <name val="Arial"/>
    </font>
    <font>
      <sz val="11.0"/>
      <color rgb="FF999999"/>
      <name val="Arial"/>
    </font>
    <font>
      <sz val="20.0"/>
      <color theme="1"/>
      <name val="Arial"/>
    </font>
    <font>
      <b/>
      <u/>
      <color theme="1"/>
      <name val="Arial"/>
    </font>
    <font>
      <sz val="12.0"/>
      <color rgb="FF000000"/>
      <name val="Arial"/>
    </font>
    <font>
      <sz val="10.0"/>
      <color rgb="FF1F1F1F"/>
      <name val="Arial"/>
    </font>
    <font>
      <strike/>
      <sz val="11.0"/>
      <color theme="1"/>
      <name val="Arial"/>
    </font>
    <font>
      <color rgb="FFFF0000"/>
      <name val="Arial"/>
    </font>
    <font>
      <u/>
      <color rgb="FF0000FF"/>
    </font>
    <font>
      <u/>
      <sz val="11.0"/>
      <color rgb="FF1155CC"/>
      <name val="Arial"/>
    </font>
    <font>
      <color rgb="FFFFFF00"/>
      <name val="Arial"/>
    </font>
    <font>
      <u/>
      <sz val="11.0"/>
      <color rgb="FF1155CC"/>
      <name val="Arial"/>
    </font>
    <font>
      <u/>
      <sz val="12.0"/>
      <color rgb="FF1155CC"/>
      <name val="Malgun Gothic"/>
    </font>
    <font>
      <color rgb="FF00FFFF"/>
      <name val="Arial"/>
    </font>
    <font>
      <b/>
      <color rgb="FFFF0000"/>
      <name val="Arial"/>
    </font>
    <font>
      <u/>
      <sz val="11.0"/>
      <color rgb="FF1155CC"/>
      <name val="Arial"/>
    </font>
    <font>
      <u/>
      <sz val="11.0"/>
      <color rgb="FF1155CC"/>
      <name val="Arial"/>
    </font>
    <font>
      <sz val="12.0"/>
      <color rgb="FFFF9900"/>
      <name val="Arial"/>
    </font>
    <font>
      <u/>
      <sz val="11.0"/>
      <color rgb="FF1155CC"/>
      <name val="Arial"/>
    </font>
    <font>
      <sz val="12.0"/>
      <color theme="1"/>
      <name val="Arial"/>
    </font>
    <font>
      <u/>
      <sz val="11.0"/>
      <color rgb="FF000000"/>
      <name val="휴먼명조"/>
    </font>
    <font>
      <u/>
      <sz val="11.0"/>
      <color rgb="FF1155CC"/>
      <name val="Arial"/>
    </font>
    <font>
      <sz val="8.0"/>
      <color theme="1"/>
      <name val="휴먼명조"/>
    </font>
    <font>
      <b/>
      <color theme="0"/>
      <name val="Arial"/>
    </font>
    <font>
      <sz val="11.0"/>
      <color theme="1"/>
      <name val="Calibri"/>
    </font>
    <font>
      <u/>
      <sz val="11.0"/>
      <color rgb="FF1155CC"/>
      <name val="Arial"/>
    </font>
    <font>
      <b/>
      <sz val="12.0"/>
      <color theme="1"/>
      <name val="Arial"/>
    </font>
    <font>
      <b/>
      <sz val="11.0"/>
      <color theme="1"/>
      <name val="Calibri"/>
    </font>
    <font>
      <u/>
      <sz val="11.0"/>
      <color rgb="FF1155CC"/>
      <name val="Arial"/>
    </font>
    <font>
      <u/>
      <sz val="11.0"/>
      <color rgb="FF1155CC"/>
      <name val="Arial"/>
    </font>
  </fonts>
  <fills count="27">
    <fill>
      <patternFill patternType="none"/>
    </fill>
    <fill>
      <patternFill patternType="lightGray"/>
    </fill>
    <fill>
      <patternFill patternType="solid">
        <fgColor rgb="FFE2EFD9"/>
        <bgColor rgb="FFE2EFD9"/>
      </patternFill>
    </fill>
    <fill>
      <patternFill patternType="solid">
        <fgColor rgb="FFEA9999"/>
        <bgColor rgb="FFEA9999"/>
      </patternFill>
    </fill>
    <fill>
      <patternFill patternType="solid">
        <fgColor rgb="FFB6D7A8"/>
        <bgColor rgb="FFB6D7A8"/>
      </patternFill>
    </fill>
    <fill>
      <patternFill patternType="solid">
        <fgColor rgb="FFFFE599"/>
        <bgColor rgb="FFFFE599"/>
      </patternFill>
    </fill>
    <fill>
      <patternFill patternType="solid">
        <fgColor rgb="FFB4A7D6"/>
        <bgColor rgb="FFB4A7D6"/>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4285F4"/>
        <bgColor rgb="FF4285F4"/>
      </patternFill>
    </fill>
    <fill>
      <patternFill patternType="solid">
        <fgColor theme="0"/>
        <bgColor theme="0"/>
      </patternFill>
    </fill>
    <fill>
      <patternFill patternType="solid">
        <fgColor rgb="FFF4CCCC"/>
        <bgColor rgb="FFF4CCCC"/>
      </patternFill>
    </fill>
    <fill>
      <patternFill patternType="solid">
        <fgColor rgb="FFFFFF00"/>
        <bgColor rgb="FFFFFF00"/>
      </patternFill>
    </fill>
    <fill>
      <patternFill patternType="solid">
        <fgColor rgb="FFB7B7B7"/>
        <bgColor rgb="FFB7B7B7"/>
      </patternFill>
    </fill>
    <fill>
      <patternFill patternType="solid">
        <fgColor rgb="FF00FF00"/>
        <bgColor rgb="FF00FF00"/>
      </patternFill>
    </fill>
    <fill>
      <patternFill patternType="solid">
        <fgColor rgb="FFC9DAF8"/>
        <bgColor rgb="FFC9DAF8"/>
      </patternFill>
    </fill>
    <fill>
      <patternFill patternType="solid">
        <fgColor rgb="FFD9D2E9"/>
        <bgColor rgb="FFD9D2E9"/>
      </patternFill>
    </fill>
    <fill>
      <patternFill patternType="solid">
        <fgColor rgb="FFCCCCCC"/>
        <bgColor rgb="FFCCCCCC"/>
      </patternFill>
    </fill>
    <fill>
      <patternFill patternType="solid">
        <fgColor rgb="FFFF0000"/>
        <bgColor rgb="FFFF0000"/>
      </patternFill>
    </fill>
    <fill>
      <patternFill patternType="solid">
        <fgColor rgb="FF00FFFF"/>
        <bgColor rgb="FF00FFFF"/>
      </patternFill>
    </fill>
    <fill>
      <patternFill patternType="solid">
        <fgColor rgb="FF9900FF"/>
        <bgColor rgb="FF9900FF"/>
      </patternFill>
    </fill>
    <fill>
      <patternFill patternType="solid">
        <fgColor rgb="FFFF9900"/>
        <bgColor rgb="FFFF9900"/>
      </patternFill>
    </fill>
    <fill>
      <patternFill patternType="solid">
        <fgColor rgb="FFFCE5CD"/>
        <bgColor rgb="FFFCE5CD"/>
      </patternFill>
    </fill>
    <fill>
      <patternFill patternType="solid">
        <fgColor rgb="FFCFE2F3"/>
        <bgColor rgb="FFCFE2F3"/>
      </patternFill>
    </fill>
    <fill>
      <patternFill patternType="solid">
        <fgColor rgb="FFD0E0E3"/>
        <bgColor rgb="FFD0E0E3"/>
      </patternFill>
    </fill>
  </fills>
  <borders count="114">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rder>
    <border>
      <left style="medium">
        <color rgb="FF000000"/>
      </left>
    </border>
    <border>
      <left style="medium">
        <color rgb="FF000000"/>
      </left>
      <right style="thin">
        <color rgb="FF000000"/>
      </right>
      <top style="medium">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left style="thin">
        <color rgb="FF284E3F"/>
      </left>
      <right style="thin">
        <color rgb="FF356854"/>
      </right>
      <top style="thin">
        <color rgb="FF284E3F"/>
      </top>
    </border>
    <border>
      <left style="thin">
        <color rgb="FF356854"/>
      </left>
      <right style="thin">
        <color rgb="FF356854"/>
      </right>
      <top style="thin">
        <color rgb="FF284E3F"/>
      </top>
    </border>
    <border>
      <left style="thin">
        <color rgb="FF356854"/>
      </left>
      <top style="thin">
        <color rgb="FF284E3F"/>
      </top>
    </border>
    <border>
      <right style="medium">
        <color rgb="FF000000"/>
      </right>
      <top style="medium">
        <color rgb="FF000000"/>
      </top>
      <bottom style="thin">
        <color rgb="FF000000"/>
      </bottom>
    </border>
    <border>
      <left style="medium">
        <color rgb="FF000000"/>
      </left>
      <right style="thin">
        <color rgb="FF000000"/>
      </right>
    </border>
    <border>
      <right style="thin">
        <color rgb="FF000000"/>
      </right>
      <top style="medium">
        <color rgb="FF000000"/>
      </top>
    </border>
    <border>
      <left style="thin">
        <color rgb="FF000000"/>
      </left>
      <bottom style="thin">
        <color rgb="FF000000"/>
      </bottom>
    </border>
    <border>
      <left style="thin">
        <color rgb="FF000000"/>
      </left>
      <right style="thin">
        <color rgb="FF000000"/>
      </right>
      <top style="thin">
        <color rgb="FF000000"/>
      </top>
    </border>
    <border>
      <right style="medium">
        <color rgb="FF000000"/>
      </right>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rder>
    <border>
      <right style="medium">
        <color rgb="FF000000"/>
      </right>
    </border>
    <border>
      <left style="thin">
        <color rgb="FF000000"/>
      </left>
      <right style="thin">
        <color rgb="FF000000"/>
      </right>
      <bottom style="thin">
        <color rgb="FF000000"/>
      </bottom>
    </border>
    <border>
      <right style="thin">
        <color rgb="FF000000"/>
      </right>
    </border>
    <border>
      <left style="medium">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rder>
    <border>
      <top style="thin">
        <color rgb="FF000000"/>
      </top>
    </border>
    <border>
      <left style="thin">
        <color rgb="FF000000"/>
      </left>
      <right style="medium">
        <color rgb="FF000000"/>
      </right>
    </border>
    <border>
      <right style="medium">
        <color rgb="FF000000"/>
      </right>
      <top style="thin">
        <color rgb="FF000000"/>
      </top>
    </border>
    <border>
      <left style="thin">
        <color rgb="FF000000"/>
      </lef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border>
    <border>
      <left style="thin">
        <color rgb="FF000000"/>
      </left>
      <right style="medium">
        <color rgb="FF000000"/>
      </right>
      <top style="medium">
        <color rgb="FF000000"/>
      </top>
    </border>
    <border>
      <right style="medium">
        <color rgb="FF000000"/>
      </right>
      <top style="thin">
        <color rgb="FF000000"/>
      </top>
      <bottom style="thin">
        <color rgb="FF000000"/>
      </bottom>
    </border>
    <border>
      <right style="thin">
        <color rgb="FF000000"/>
      </right>
      <bottom style="thin">
        <color rgb="FF000000"/>
      </bottom>
    </border>
    <border>
      <left style="medium">
        <color rgb="FF000000"/>
      </left>
      <top style="medium">
        <color rgb="FF000000"/>
      </top>
      <bottom style="thin">
        <color rgb="FF000000"/>
      </bottom>
    </border>
    <border>
      <right style="medium">
        <color rgb="FF000000"/>
      </right>
      <top style="thin">
        <color rgb="FF000000"/>
      </top>
      <bottom style="medium">
        <color rgb="FF000000"/>
      </bottom>
    </border>
    <border>
      <left style="thin">
        <color rgb="FF000000"/>
      </left>
      <top style="double">
        <color rgb="FF000000"/>
      </top>
    </border>
    <border>
      <top style="double">
        <color rgb="FF000000"/>
      </top>
    </border>
    <border>
      <right style="thin">
        <color rgb="FF000000"/>
      </right>
      <top style="double">
        <color rgb="FF000000"/>
      </top>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top style="double">
        <color rgb="FF000000"/>
      </top>
      <bottom style="thin">
        <color rgb="FF000000"/>
      </bottom>
    </border>
    <border>
      <right style="medium">
        <color rgb="FF000000"/>
      </right>
      <top style="double">
        <color rgb="FF000000"/>
      </top>
      <bottom style="thin">
        <color rgb="FF000000"/>
      </bottom>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top style="thin">
        <color rgb="FF000000"/>
      </top>
      <bottom style="double">
        <color rgb="FF000000"/>
      </bottom>
    </border>
    <border>
      <right style="medium">
        <color rgb="FF000000"/>
      </right>
      <top style="thin">
        <color rgb="FF000000"/>
      </top>
      <bottom style="double">
        <color rgb="FF000000"/>
      </bottom>
    </border>
    <border>
      <left style="thin">
        <color rgb="FF000000"/>
      </lef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bottom style="thin">
        <color rgb="FF000000"/>
      </bottom>
    </border>
    <border>
      <left style="thin">
        <color rgb="FF000000"/>
      </left>
      <right style="medium">
        <color rgb="FF000000"/>
      </right>
      <bottom style="medium">
        <color rgb="FF000000"/>
      </bottom>
    </border>
    <border>
      <left style="thin">
        <color rgb="FF000000"/>
      </left>
      <right style="thin">
        <color rgb="FF000000"/>
      </right>
      <bottom style="double">
        <color rgb="FF000000"/>
      </bottom>
    </border>
    <border>
      <left style="thin">
        <color rgb="FF356854"/>
      </left>
      <right style="thin">
        <color rgb="FF284E3F"/>
      </right>
      <top style="thin">
        <color rgb="FF284E3F"/>
      </top>
    </border>
    <border>
      <left style="thin">
        <color rgb="FFFF0000"/>
      </left>
      <right style="thin">
        <color rgb="FFFF0000"/>
      </right>
      <top style="thin">
        <color rgb="FFFF0000"/>
      </top>
      <bottom style="thin">
        <color rgb="FFFF0000"/>
      </bottom>
    </border>
    <border>
      <left style="thin">
        <color rgb="FFFF0000"/>
      </left>
      <right style="thin">
        <color rgb="FF000000"/>
      </right>
      <top style="thin">
        <color rgb="FFFF0000"/>
      </top>
      <bottom style="thin">
        <color rgb="FFFF0000"/>
      </bottom>
    </border>
    <border>
      <left style="thin">
        <color rgb="FF000000"/>
      </left>
      <right style="thin">
        <color rgb="FFF6F8F9"/>
      </right>
      <bottom style="thin">
        <color rgb="FFF6F8F9"/>
      </bottom>
    </border>
    <border>
      <left style="thin">
        <color rgb="FFF6F8F9"/>
      </left>
      <bottom style="thin">
        <color rgb="FFF6F8F9"/>
      </bottom>
    </border>
    <border>
      <left style="thin">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000000"/>
      </right>
      <bottom style="thin">
        <color rgb="FFFFFFFF"/>
      </bottom>
    </border>
    <border>
      <left style="thin">
        <color rgb="FF000000"/>
      </left>
      <top style="thin">
        <color rgb="FFD0E0E3"/>
      </top>
      <bottom style="thin">
        <color rgb="FFD0E0E3"/>
      </bottom>
    </border>
    <border>
      <left style="thin">
        <color rgb="FF00FF00"/>
      </left>
      <right style="thin">
        <color rgb="FF00FF00"/>
      </right>
      <top style="thin">
        <color rgb="FF00FF00"/>
      </top>
      <bottom style="thin">
        <color rgb="FF00FF00"/>
      </bottom>
    </border>
    <border>
      <left style="thin">
        <color rgb="FF00FF00"/>
      </left>
      <right style="thin">
        <color rgb="FF000000"/>
      </right>
      <top style="thin">
        <color rgb="FF00FF00"/>
      </top>
      <bottom style="thin">
        <color rgb="FF00FF00"/>
      </bottom>
    </border>
    <border>
      <left style="thin">
        <color rgb="FFFFFFFF"/>
      </left>
      <bottom style="thin">
        <color rgb="FFFFFFFF"/>
      </bottom>
    </border>
    <border>
      <left style="thin">
        <color rgb="FF000000"/>
      </left>
      <right style="thin">
        <color rgb="FFF6F8F9"/>
      </right>
      <top style="thin">
        <color rgb="FFF6F8F9"/>
      </top>
      <bottom style="thin">
        <color rgb="FFF6F8F9"/>
      </bottom>
    </border>
    <border>
      <left style="thin">
        <color rgb="FFF6F8F9"/>
      </left>
      <top style="thin">
        <color rgb="FFF6F8F9"/>
      </top>
      <bottom style="thin">
        <color rgb="FFF6F8F9"/>
      </bottom>
    </border>
    <border>
      <left style="thin">
        <color rgb="FFFFFFFF"/>
      </left>
      <top style="thin">
        <color rgb="FFFFFFFF"/>
      </top>
      <bottom style="thin">
        <color rgb="FFFFFFFF"/>
      </bottom>
    </border>
    <border>
      <left style="thin">
        <color rgb="FFF6F8F9"/>
      </left>
      <right style="thin">
        <color rgb="FFF6F8F9"/>
      </right>
      <top style="thin">
        <color rgb="FFF6F8F9"/>
      </top>
    </border>
    <border>
      <left style="thin">
        <color rgb="FFFFFFFF"/>
      </left>
      <right style="thin">
        <color rgb="FF000000"/>
      </right>
    </border>
    <border>
      <left style="thin">
        <color rgb="FFFFFF00"/>
      </left>
      <right style="thin">
        <color rgb="FFFFFF00"/>
      </right>
      <top style="thin">
        <color rgb="FFFFFF00"/>
      </top>
      <bottom style="thin">
        <color rgb="FFFFFF00"/>
      </bottom>
    </border>
    <border>
      <left style="thin">
        <color rgb="FFFFFF00"/>
      </left>
      <right style="thin">
        <color rgb="FF000000"/>
      </right>
      <top style="thin">
        <color rgb="FFFFFF00"/>
      </top>
      <bottom style="thin">
        <color rgb="FFFFFF00"/>
      </bottom>
    </border>
    <border>
      <left style="thin">
        <color rgb="FFFFFFFF"/>
      </left>
      <right style="thin">
        <color rgb="FFFFFFFF"/>
      </right>
      <top style="thin">
        <color rgb="FFFFFFFF"/>
      </top>
    </border>
    <border>
      <left style="thin">
        <color rgb="FF9900FF"/>
      </left>
      <right style="thin">
        <color rgb="FF9900FF"/>
      </right>
      <top style="thin">
        <color rgb="FF9900FF"/>
      </top>
      <bottom style="thin">
        <color rgb="FF9900FF"/>
      </bottom>
    </border>
    <border>
      <left style="thin">
        <color rgb="FF9900FF"/>
      </left>
      <right style="thin">
        <color rgb="FF000000"/>
      </right>
      <top style="thin">
        <color rgb="FF9900FF"/>
      </top>
      <bottom style="thin">
        <color rgb="FF9900FF"/>
      </bottom>
    </border>
    <border>
      <left style="thin">
        <color rgb="FFF6F8F9"/>
      </left>
      <right style="thin">
        <color rgb="FF000000"/>
      </right>
    </border>
    <border>
      <left style="thin">
        <color rgb="FF000000"/>
      </left>
      <right style="thin">
        <color rgb="FFFFFFFF"/>
      </right>
      <top style="thin">
        <color rgb="FFFFFFFF"/>
      </top>
      <bottom style="thin">
        <color rgb="FF000000"/>
      </bottom>
    </border>
    <border>
      <left style="thin">
        <color rgb="FFFFFFFF"/>
      </left>
      <top style="thin">
        <color rgb="FFFFFFFF"/>
      </top>
      <bottom style="thin">
        <color rgb="FF000000"/>
      </bottom>
    </border>
    <border>
      <left style="thin">
        <color rgb="FF00FF00"/>
      </left>
      <right style="thin">
        <color rgb="FF000000"/>
      </right>
      <top style="thin">
        <color rgb="FF00FF00"/>
      </top>
    </border>
    <border>
      <left style="thin">
        <color rgb="FF00FF00"/>
      </left>
      <right style="thin">
        <color rgb="FF000000"/>
      </right>
      <bottom style="thin">
        <color rgb="FF00FF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806">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3" fillId="0" fontId="2" numFmtId="0" xfId="0" applyAlignment="1" applyBorder="1" applyFont="1">
      <alignment vertical="center"/>
    </xf>
    <xf borderId="0" fillId="0" fontId="1" numFmtId="0" xfId="0" applyAlignment="1" applyFont="1">
      <alignment horizontal="center" vertical="center"/>
    </xf>
    <xf borderId="0" fillId="0" fontId="0" numFmtId="0" xfId="0" applyAlignment="1" applyFont="1">
      <alignment vertical="center"/>
    </xf>
    <xf borderId="4" fillId="2" fontId="3" numFmtId="0" xfId="0" applyAlignment="1" applyBorder="1" applyFont="1">
      <alignment horizontal="center" vertical="center"/>
    </xf>
    <xf borderId="1" fillId="0" fontId="4" numFmtId="0" xfId="0" applyAlignment="1" applyBorder="1" applyFont="1">
      <alignment horizontal="center" readingOrder="0" vertical="center"/>
    </xf>
    <xf borderId="2" fillId="0" fontId="3" numFmtId="0" xfId="0" applyAlignment="1" applyBorder="1" applyFont="1">
      <alignment horizontal="center" readingOrder="0" shrinkToFit="0" vertical="center" wrapText="1"/>
    </xf>
    <xf borderId="2" fillId="3" fontId="4" numFmtId="0" xfId="0" applyAlignment="1" applyBorder="1" applyFill="1" applyFont="1">
      <alignment horizontal="center" readingOrder="0" vertical="center"/>
    </xf>
    <xf borderId="0" fillId="0" fontId="3" numFmtId="0" xfId="0" applyAlignment="1" applyFont="1">
      <alignment horizontal="left" vertical="center"/>
    </xf>
    <xf borderId="1" fillId="4" fontId="4" numFmtId="0" xfId="0" applyAlignment="1" applyBorder="1" applyFill="1" applyFont="1">
      <alignment horizontal="center" readingOrder="0" vertical="center"/>
    </xf>
    <xf borderId="5" fillId="0" fontId="5" numFmtId="0" xfId="0" applyAlignment="1" applyBorder="1" applyFont="1">
      <alignment horizontal="center" shrinkToFit="0" vertical="center" wrapText="1"/>
    </xf>
    <xf borderId="1" fillId="5" fontId="4" numFmtId="0" xfId="0" applyAlignment="1" applyBorder="1" applyFill="1" applyFont="1">
      <alignment horizontal="center" readingOrder="0" vertical="center"/>
    </xf>
    <xf borderId="5" fillId="2" fontId="3" numFmtId="0" xfId="0" applyAlignment="1" applyBorder="1" applyFont="1">
      <alignment horizontal="center" vertical="center"/>
    </xf>
    <xf borderId="6" fillId="0" fontId="5" numFmtId="0" xfId="0" applyAlignment="1" applyBorder="1" applyFont="1">
      <alignment horizontal="center" shrinkToFit="0" vertical="center" wrapText="1"/>
    </xf>
    <xf borderId="1" fillId="6" fontId="4" numFmtId="0" xfId="0" applyAlignment="1" applyBorder="1" applyFill="1" applyFont="1">
      <alignment horizontal="center" readingOrder="0" vertical="center"/>
    </xf>
    <xf borderId="7" fillId="2" fontId="3" numFmtId="0" xfId="0" applyAlignment="1" applyBorder="1" applyFont="1">
      <alignment horizontal="center" vertical="center"/>
    </xf>
    <xf borderId="8" fillId="0" fontId="2" numFmtId="0" xfId="0" applyAlignment="1" applyBorder="1" applyFont="1">
      <alignment vertical="center"/>
    </xf>
    <xf borderId="1" fillId="7" fontId="4" numFmtId="0" xfId="0" applyAlignment="1" applyBorder="1" applyFill="1" applyFont="1">
      <alignment horizontal="center" readingOrder="0" vertical="center"/>
    </xf>
    <xf borderId="9" fillId="0" fontId="2" numFmtId="0" xfId="0" applyAlignment="1" applyBorder="1" applyFont="1">
      <alignment vertical="center"/>
    </xf>
    <xf borderId="6" fillId="2" fontId="3" numFmtId="0" xfId="0" applyAlignment="1" applyBorder="1" applyFont="1">
      <alignment horizontal="center" shrinkToFit="0" vertical="center" wrapText="1"/>
    </xf>
    <xf borderId="0" fillId="0" fontId="4" numFmtId="0" xfId="0" applyAlignment="1" applyFont="1">
      <alignment vertical="center"/>
    </xf>
    <xf borderId="10" fillId="0" fontId="2" numFmtId="0" xfId="0" applyAlignment="1" applyBorder="1" applyFont="1">
      <alignment vertical="center"/>
    </xf>
    <xf borderId="0" fillId="0" fontId="4" numFmtId="0" xfId="0" applyAlignment="1" applyFont="1">
      <alignment horizontal="center" vertical="center"/>
    </xf>
    <xf borderId="11" fillId="0" fontId="2" numFmtId="0" xfId="0" applyAlignment="1" applyBorder="1" applyFont="1">
      <alignment vertical="center"/>
    </xf>
    <xf borderId="12" fillId="0" fontId="2" numFmtId="0" xfId="0" applyAlignment="1" applyBorder="1" applyFont="1">
      <alignment vertical="center"/>
    </xf>
    <xf borderId="0" fillId="0" fontId="6" numFmtId="0" xfId="0" applyAlignment="1" applyFont="1">
      <alignment vertical="center"/>
    </xf>
    <xf borderId="13" fillId="7" fontId="4" numFmtId="0" xfId="0" applyAlignment="1" applyBorder="1" applyFont="1">
      <alignment horizontal="center" vertical="bottom"/>
    </xf>
    <xf borderId="14" fillId="0" fontId="3" numFmtId="164" xfId="0" applyAlignment="1" applyBorder="1" applyFont="1" applyNumberFormat="1">
      <alignment horizontal="center" readingOrder="0" vertical="center"/>
    </xf>
    <xf borderId="2" fillId="7" fontId="4" numFmtId="0" xfId="0" applyAlignment="1" applyBorder="1" applyFont="1">
      <alignment horizontal="center" vertical="bottom"/>
    </xf>
    <xf borderId="15" fillId="0" fontId="3" numFmtId="0" xfId="0" applyAlignment="1" applyBorder="1" applyFont="1">
      <alignment shrinkToFit="0" vertical="center" wrapText="1"/>
    </xf>
    <xf borderId="16" fillId="0" fontId="3" numFmtId="0" xfId="0" applyAlignment="1" applyBorder="1" applyFont="1">
      <alignment horizontal="center" readingOrder="0" shrinkToFit="0" vertical="center" wrapText="1"/>
    </xf>
    <xf borderId="17" fillId="0" fontId="3" numFmtId="0" xfId="0" applyAlignment="1" applyBorder="1" applyFont="1">
      <alignment horizontal="center" shrinkToFit="0" vertical="center" wrapText="1"/>
    </xf>
    <xf borderId="0" fillId="0" fontId="4" numFmtId="0" xfId="0" applyAlignment="1" applyFont="1">
      <alignment vertical="bottom"/>
    </xf>
    <xf borderId="18" fillId="0" fontId="3" numFmtId="0" xfId="0" applyAlignment="1" applyBorder="1" applyFont="1">
      <alignment horizontal="center" readingOrder="0" vertical="center"/>
    </xf>
    <xf borderId="19" fillId="2" fontId="3" numFmtId="0" xfId="0" applyAlignment="1" applyBorder="1" applyFont="1">
      <alignment horizontal="center" vertical="center"/>
    </xf>
    <xf borderId="13" fillId="7" fontId="4" numFmtId="0" xfId="0" applyAlignment="1" applyBorder="1" applyFont="1">
      <alignment horizontal="center" readingOrder="0" vertical="bottom"/>
    </xf>
    <xf borderId="20" fillId="0" fontId="4" numFmtId="0" xfId="0" applyAlignment="1" applyBorder="1" applyFont="1">
      <alignment vertical="bottom"/>
    </xf>
    <xf borderId="3" fillId="7" fontId="4" numFmtId="0" xfId="0" applyAlignment="1" applyBorder="1" applyFont="1">
      <alignment horizontal="center" readingOrder="0" vertical="bottom"/>
    </xf>
    <xf borderId="21" fillId="0" fontId="3" numFmtId="0" xfId="0" applyAlignment="1" applyBorder="1" applyFont="1">
      <alignment horizontal="center" vertical="center"/>
    </xf>
    <xf borderId="22" fillId="0" fontId="2" numFmtId="0" xfId="0" applyAlignment="1" applyBorder="1" applyFont="1">
      <alignment vertical="center"/>
    </xf>
    <xf borderId="5" fillId="0" fontId="2" numFmtId="0" xfId="0" applyAlignment="1" applyBorder="1" applyFont="1">
      <alignment vertical="center"/>
    </xf>
    <xf borderId="15" fillId="0" fontId="3" numFmtId="164" xfId="0" applyAlignment="1" applyBorder="1" applyFont="1" applyNumberFormat="1">
      <alignment horizontal="center" readingOrder="0" vertical="center"/>
    </xf>
    <xf borderId="23" fillId="8" fontId="7" numFmtId="0" xfId="0" applyAlignment="1" applyBorder="1" applyFill="1" applyFont="1">
      <alignment horizontal="left" shrinkToFit="0" vertical="center" wrapText="0"/>
    </xf>
    <xf borderId="0" fillId="0" fontId="8" numFmtId="0" xfId="0" applyAlignment="1" applyFont="1">
      <alignment horizontal="center" readingOrder="0" vertical="center"/>
    </xf>
    <xf borderId="21" fillId="2" fontId="3" numFmtId="0" xfId="0" applyAlignment="1" applyBorder="1" applyFont="1">
      <alignment horizontal="center" vertical="center"/>
    </xf>
    <xf borderId="24" fillId="8" fontId="7" numFmtId="0" xfId="0" applyAlignment="1" applyBorder="1" applyFont="1">
      <alignment horizontal="left" readingOrder="0" shrinkToFit="0" vertical="center" wrapText="0"/>
    </xf>
    <xf borderId="13" fillId="0" fontId="9" numFmtId="0" xfId="0" applyAlignment="1" applyBorder="1" applyFont="1">
      <alignment vertical="bottom"/>
    </xf>
    <xf borderId="21" fillId="0" fontId="10" numFmtId="0" xfId="0" applyAlignment="1" applyBorder="1" applyFont="1">
      <alignment horizontal="center" shrinkToFit="0" vertical="center" wrapText="1"/>
    </xf>
    <xf borderId="25" fillId="8" fontId="7" numFmtId="0" xfId="0" applyAlignment="1" applyBorder="1" applyFont="1">
      <alignment horizontal="left" shrinkToFit="0" vertical="center" wrapText="0"/>
    </xf>
    <xf borderId="26" fillId="0" fontId="2" numFmtId="0" xfId="0" applyAlignment="1" applyBorder="1" applyFont="1">
      <alignment vertical="center"/>
    </xf>
    <xf borderId="3" fillId="0" fontId="9" numFmtId="0" xfId="0" applyAlignment="1" applyBorder="1" applyFont="1">
      <alignment readingOrder="0" vertical="bottom"/>
    </xf>
    <xf borderId="27" fillId="2" fontId="3" numFmtId="0" xfId="0" applyAlignment="1" applyBorder="1" applyFont="1">
      <alignment horizontal="center" vertical="center"/>
    </xf>
    <xf borderId="16" fillId="8" fontId="7" numFmtId="0" xfId="0" applyAlignment="1" applyBorder="1" applyFont="1">
      <alignment horizontal="left" readingOrder="0" shrinkToFit="0" vertical="center" wrapText="0"/>
    </xf>
    <xf borderId="28" fillId="0" fontId="9" numFmtId="0" xfId="0" applyAlignment="1" applyBorder="1" applyFont="1">
      <alignment readingOrder="0" vertical="bottom"/>
    </xf>
    <xf borderId="0" fillId="8" fontId="7" numFmtId="0" xfId="0" applyAlignment="1" applyFont="1">
      <alignment horizontal="left" readingOrder="0" shrinkToFit="0" vertical="center" wrapText="0"/>
    </xf>
    <xf borderId="3" fillId="0" fontId="6" numFmtId="0" xfId="0" applyAlignment="1" applyBorder="1" applyFont="1">
      <alignment readingOrder="0" vertical="bottom"/>
    </xf>
    <xf borderId="18" fillId="0" fontId="8" numFmtId="0" xfId="0" applyAlignment="1" applyBorder="1" applyFont="1">
      <alignment horizontal="center" readingOrder="0" vertical="center"/>
    </xf>
    <xf borderId="28" fillId="0" fontId="4" numFmtId="0" xfId="0" applyAlignment="1" applyBorder="1" applyFont="1">
      <alignment vertical="bottom"/>
    </xf>
    <xf borderId="29" fillId="0" fontId="3" numFmtId="0" xfId="0" applyAlignment="1" applyBorder="1" applyFont="1">
      <alignment horizontal="center" readingOrder="0" vertical="center"/>
    </xf>
    <xf borderId="3" fillId="0" fontId="7" numFmtId="0" xfId="0" applyAlignment="1" applyBorder="1" applyFont="1">
      <alignment readingOrder="0" vertical="bottom"/>
    </xf>
    <xf borderId="20" fillId="0" fontId="2" numFmtId="0" xfId="0" applyAlignment="1" applyBorder="1" applyFont="1">
      <alignment vertical="center"/>
    </xf>
    <xf borderId="30" fillId="8" fontId="4" numFmtId="0" xfId="0" applyAlignment="1" applyBorder="1" applyFont="1">
      <alignment vertical="center"/>
    </xf>
    <xf borderId="28" fillId="0" fontId="11" numFmtId="0" xfId="0" applyAlignment="1" applyBorder="1" applyFont="1">
      <alignment readingOrder="0" vertical="bottom"/>
    </xf>
    <xf borderId="31" fillId="0" fontId="2" numFmtId="0" xfId="0" applyAlignment="1" applyBorder="1" applyFont="1">
      <alignment vertical="center"/>
    </xf>
    <xf borderId="32" fillId="8" fontId="4" numFmtId="0" xfId="0" applyAlignment="1" applyBorder="1" applyFont="1">
      <alignment vertical="bottom"/>
    </xf>
    <xf borderId="33" fillId="2" fontId="3" numFmtId="0" xfId="0" applyAlignment="1" applyBorder="1" applyFont="1">
      <alignment horizontal="center" vertical="center"/>
    </xf>
    <xf borderId="27" fillId="0" fontId="12" numFmtId="0" xfId="0" applyAlignment="1" applyBorder="1" applyFont="1">
      <alignment readingOrder="0" vertical="bottom"/>
    </xf>
    <xf borderId="14" fillId="0" fontId="2" numFmtId="0" xfId="0" applyAlignment="1" applyBorder="1" applyFont="1">
      <alignment vertical="center"/>
    </xf>
    <xf borderId="30" fillId="0" fontId="3" numFmtId="0" xfId="0" applyAlignment="1" applyBorder="1" applyFont="1">
      <alignment horizontal="center" readingOrder="0" vertical="center"/>
    </xf>
    <xf borderId="34" fillId="0" fontId="6" numFmtId="0" xfId="0" applyAlignment="1" applyBorder="1" applyFont="1">
      <alignment readingOrder="0" vertical="bottom"/>
    </xf>
    <xf borderId="35" fillId="8" fontId="4" numFmtId="0" xfId="0" applyAlignment="1" applyBorder="1" applyFont="1">
      <alignment vertical="bottom"/>
    </xf>
    <xf borderId="17" fillId="0" fontId="3" numFmtId="0" xfId="0" applyAlignment="1" applyBorder="1" applyFont="1">
      <alignment horizontal="center" readingOrder="0" shrinkToFit="0" vertical="center" wrapText="1"/>
    </xf>
    <xf borderId="36" fillId="0" fontId="6" numFmtId="0" xfId="0" applyAlignment="1" applyBorder="1" applyFont="1">
      <alignment readingOrder="0" vertical="bottom"/>
    </xf>
    <xf borderId="15" fillId="8" fontId="4" numFmtId="0" xfId="0" applyAlignment="1" applyBorder="1" applyFont="1">
      <alignment vertical="center"/>
    </xf>
    <xf borderId="37" fillId="0" fontId="2" numFmtId="0" xfId="0" applyAlignment="1" applyBorder="1" applyFont="1">
      <alignment vertical="center"/>
    </xf>
    <xf borderId="36" fillId="0" fontId="4" numFmtId="0" xfId="0" applyAlignment="1" applyBorder="1" applyFont="1">
      <alignment readingOrder="0" vertical="bottom"/>
    </xf>
    <xf borderId="38" fillId="0" fontId="3" numFmtId="165" xfId="0" applyAlignment="1" applyBorder="1" applyFont="1" applyNumberFormat="1">
      <alignment horizontal="center" vertical="center"/>
    </xf>
    <xf borderId="34" fillId="0" fontId="4" numFmtId="0" xfId="0" applyAlignment="1" applyBorder="1" applyFont="1">
      <alignment readingOrder="0" vertical="bottom"/>
    </xf>
    <xf borderId="39" fillId="8" fontId="4" numFmtId="0" xfId="0" applyAlignment="1" applyBorder="1" applyFont="1">
      <alignment vertical="center"/>
    </xf>
    <xf borderId="40" fillId="0" fontId="3" numFmtId="0" xfId="0" applyAlignment="1" applyBorder="1" applyFont="1">
      <alignment horizontal="center" vertical="center"/>
    </xf>
    <xf borderId="39" fillId="0" fontId="2" numFmtId="0" xfId="0" applyAlignment="1" applyBorder="1" applyFont="1">
      <alignment vertical="center"/>
    </xf>
    <xf borderId="34" fillId="0" fontId="12" numFmtId="0" xfId="0" applyAlignment="1" applyBorder="1" applyFont="1">
      <alignment readingOrder="0" vertical="bottom"/>
    </xf>
    <xf borderId="41" fillId="0" fontId="3" numFmtId="0" xfId="0" applyAlignment="1" applyBorder="1" applyFont="1">
      <alignment horizontal="center" vertical="center"/>
    </xf>
    <xf borderId="36" fillId="0" fontId="12" numFmtId="0" xfId="0" applyAlignment="1" applyBorder="1" applyFont="1">
      <alignment readingOrder="0" vertical="bottom"/>
    </xf>
    <xf borderId="0" fillId="0" fontId="3" numFmtId="0" xfId="0" applyAlignment="1" applyFont="1">
      <alignment horizontal="center" vertical="center"/>
    </xf>
    <xf borderId="16" fillId="0" fontId="3" numFmtId="0" xfId="0" applyAlignment="1" applyBorder="1" applyFont="1">
      <alignment horizontal="center" vertical="center"/>
    </xf>
    <xf borderId="0" fillId="8" fontId="4" numFmtId="0" xfId="0" applyAlignment="1" applyFont="1">
      <alignment vertical="center"/>
    </xf>
    <xf borderId="27" fillId="0" fontId="6" numFmtId="0" xfId="0" applyAlignment="1" applyBorder="1" applyFont="1">
      <alignment readingOrder="0" vertical="bottom"/>
    </xf>
    <xf borderId="32" fillId="0" fontId="3" numFmtId="165" xfId="0" applyAlignment="1" applyBorder="1" applyFont="1" applyNumberFormat="1">
      <alignment horizontal="center" readingOrder="0" vertical="center"/>
    </xf>
    <xf borderId="16" fillId="9" fontId="13" numFmtId="0" xfId="0" applyAlignment="1" applyBorder="1" applyFill="1" applyFont="1">
      <alignment horizontal="center" readingOrder="0" shrinkToFit="0" vertical="center" wrapText="0"/>
    </xf>
    <xf borderId="42" fillId="2" fontId="3" numFmtId="0" xfId="0" applyAlignment="1" applyBorder="1" applyFont="1">
      <alignment horizontal="center" vertical="center"/>
    </xf>
    <xf borderId="16" fillId="9" fontId="14" numFmtId="0" xfId="0" applyAlignment="1" applyBorder="1" applyFont="1">
      <alignment shrinkToFit="0" vertical="bottom" wrapText="0"/>
    </xf>
    <xf borderId="15" fillId="0" fontId="2" numFmtId="0" xfId="0" applyAlignment="1" applyBorder="1" applyFont="1">
      <alignment vertical="center"/>
    </xf>
    <xf borderId="16" fillId="9" fontId="13" numFmtId="0" xfId="0" applyAlignment="1" applyBorder="1" applyFont="1">
      <alignment shrinkToFit="0" vertical="bottom" wrapText="0"/>
    </xf>
    <xf borderId="42" fillId="0" fontId="3" numFmtId="0" xfId="0" applyAlignment="1" applyBorder="1" applyFont="1">
      <alignment horizontal="center" vertical="center"/>
    </xf>
    <xf borderId="0" fillId="9" fontId="13" numFmtId="0" xfId="0" applyAlignment="1" applyFont="1">
      <alignment horizontal="center" shrinkToFit="0" vertical="bottom" wrapText="0"/>
    </xf>
    <xf borderId="43" fillId="0" fontId="2" numFmtId="0" xfId="0" applyAlignment="1" applyBorder="1" applyFont="1">
      <alignment vertical="center"/>
    </xf>
    <xf borderId="0" fillId="0" fontId="8" numFmtId="0" xfId="0" applyAlignment="1" applyFont="1">
      <alignment readingOrder="0" vertical="center"/>
    </xf>
    <xf borderId="30" fillId="0" fontId="4" numFmtId="0" xfId="0" applyAlignment="1" applyBorder="1" applyFont="1">
      <alignment horizontal="center" vertical="center"/>
    </xf>
    <xf borderId="44" fillId="0" fontId="6" numFmtId="0" xfId="0" applyAlignment="1" applyBorder="1" applyFont="1">
      <alignment readingOrder="0" vertical="bottom"/>
    </xf>
    <xf borderId="0" fillId="10" fontId="4" numFmtId="0" xfId="0" applyAlignment="1" applyFill="1" applyFont="1">
      <alignment horizontal="center" readingOrder="0" vertical="center"/>
    </xf>
    <xf borderId="42" fillId="0" fontId="3" numFmtId="0" xfId="0" applyAlignment="1" applyBorder="1" applyFont="1">
      <alignment horizontal="center" readingOrder="0" shrinkToFit="0" vertical="center" wrapText="1"/>
    </xf>
    <xf borderId="36" fillId="0" fontId="2" numFmtId="0" xfId="0" applyAlignment="1" applyBorder="1" applyFont="1">
      <alignment vertical="center"/>
    </xf>
    <xf borderId="45" fillId="0" fontId="2" numFmtId="0" xfId="0" applyAlignment="1" applyBorder="1" applyFont="1">
      <alignment vertical="center"/>
    </xf>
    <xf borderId="46" fillId="0" fontId="4" numFmtId="0" xfId="0" applyAlignment="1" applyBorder="1" applyFont="1">
      <alignment readingOrder="0" vertical="bottom"/>
    </xf>
    <xf borderId="30" fillId="7" fontId="4" numFmtId="0" xfId="0" applyAlignment="1" applyBorder="1" applyFont="1">
      <alignment readingOrder="0" vertical="center"/>
    </xf>
    <xf borderId="0" fillId="0" fontId="15" numFmtId="0" xfId="0" applyAlignment="1" applyFont="1">
      <alignment readingOrder="0" vertical="center"/>
    </xf>
    <xf borderId="0" fillId="0" fontId="16" numFmtId="0" xfId="0" applyAlignment="1" applyFont="1">
      <alignment vertical="center"/>
    </xf>
    <xf borderId="36" fillId="0" fontId="6" numFmtId="0" xfId="0" applyAlignment="1" applyBorder="1" applyFont="1">
      <alignment vertical="bottom"/>
    </xf>
    <xf borderId="36" fillId="0" fontId="8" numFmtId="0" xfId="0" applyAlignment="1" applyBorder="1" applyFont="1">
      <alignment readingOrder="0" vertical="center"/>
    </xf>
    <xf borderId="47" fillId="0" fontId="2" numFmtId="0" xfId="0" applyAlignment="1" applyBorder="1" applyFont="1">
      <alignment vertical="center"/>
    </xf>
    <xf borderId="36" fillId="0" fontId="4" numFmtId="0" xfId="0" applyAlignment="1" applyBorder="1" applyFont="1">
      <alignment vertical="bottom"/>
    </xf>
    <xf borderId="16" fillId="11" fontId="17" numFmtId="0" xfId="0" applyAlignment="1" applyBorder="1" applyFill="1" applyFont="1">
      <alignment horizontal="center" shrinkToFit="0" vertical="center" wrapText="0"/>
    </xf>
    <xf borderId="48" fillId="0" fontId="3" numFmtId="0" xfId="0" applyAlignment="1" applyBorder="1" applyFont="1">
      <alignment horizontal="center" vertical="center"/>
    </xf>
    <xf borderId="16" fillId="11" fontId="18" numFmtId="0" xfId="0" applyAlignment="1" applyBorder="1" applyFont="1">
      <alignment readingOrder="0" shrinkToFit="0" vertical="bottom" wrapText="0"/>
    </xf>
    <xf borderId="49" fillId="0" fontId="10" numFmtId="0" xfId="0" applyAlignment="1" applyBorder="1" applyFont="1">
      <alignment horizontal="center" readingOrder="0" vertical="center"/>
    </xf>
    <xf borderId="16" fillId="10" fontId="18" numFmtId="0" xfId="0" applyAlignment="1" applyBorder="1" applyFont="1">
      <alignment shrinkToFit="0" vertical="bottom" wrapText="0"/>
    </xf>
    <xf borderId="50" fillId="0" fontId="2" numFmtId="0" xfId="0" applyAlignment="1" applyBorder="1" applyFont="1">
      <alignment vertical="center"/>
    </xf>
    <xf borderId="51" fillId="0" fontId="2" numFmtId="0" xfId="0" applyAlignment="1" applyBorder="1" applyFont="1">
      <alignment vertical="center"/>
    </xf>
    <xf borderId="44" fillId="0" fontId="4" numFmtId="0" xfId="0" applyAlignment="1" applyBorder="1" applyFont="1">
      <alignment readingOrder="0" vertical="bottom"/>
    </xf>
    <xf borderId="52" fillId="0" fontId="2" numFmtId="0" xfId="0" applyAlignment="1" applyBorder="1" applyFont="1">
      <alignment vertical="center"/>
    </xf>
    <xf borderId="53" fillId="0" fontId="2" numFmtId="0" xfId="0" applyAlignment="1" applyBorder="1" applyFont="1">
      <alignment vertical="center"/>
    </xf>
    <xf borderId="16" fillId="0" fontId="18" numFmtId="0" xfId="0" applyAlignment="1" applyBorder="1" applyFont="1">
      <alignment readingOrder="0" shrinkToFit="0" vertical="bottom" wrapText="0"/>
    </xf>
    <xf borderId="0" fillId="12" fontId="18" numFmtId="0" xfId="0" applyAlignment="1" applyFill="1" applyFont="1">
      <alignment horizontal="center" readingOrder="0" shrinkToFit="0" vertical="bottom" wrapText="0"/>
    </xf>
    <xf borderId="54" fillId="0" fontId="2" numFmtId="0" xfId="0" applyAlignment="1" applyBorder="1" applyFont="1">
      <alignment vertical="center"/>
    </xf>
    <xf borderId="44" fillId="7" fontId="4" numFmtId="0" xfId="0" applyAlignment="1" applyBorder="1" applyFont="1">
      <alignment readingOrder="0" vertical="bottom"/>
    </xf>
    <xf borderId="54" fillId="0" fontId="4" numFmtId="0" xfId="0" applyAlignment="1" applyBorder="1" applyFont="1">
      <alignment readingOrder="0" vertical="bottom"/>
    </xf>
    <xf borderId="10" fillId="0" fontId="6" numFmtId="0" xfId="0" applyAlignment="1" applyBorder="1" applyFont="1">
      <alignment vertical="bottom"/>
    </xf>
    <xf borderId="4" fillId="2" fontId="3" numFmtId="0" xfId="0" applyAlignment="1" applyBorder="1" applyFont="1">
      <alignment horizontal="center" vertical="top"/>
    </xf>
    <xf borderId="54" fillId="7" fontId="4" numFmtId="0" xfId="0" applyAlignment="1" applyBorder="1" applyFont="1">
      <alignment readingOrder="0" vertical="center"/>
    </xf>
    <xf borderId="0" fillId="0" fontId="13" numFmtId="0" xfId="0" applyAlignment="1" applyFont="1">
      <alignment readingOrder="0" vertical="center"/>
    </xf>
    <xf borderId="20" fillId="12" fontId="3" numFmtId="0" xfId="0" applyAlignment="1" applyBorder="1" applyFont="1">
      <alignment horizontal="center" shrinkToFit="0" vertical="center" wrapText="1"/>
    </xf>
    <xf borderId="4" fillId="0" fontId="4" numFmtId="0" xfId="0" applyAlignment="1" applyBorder="1" applyFont="1">
      <alignment horizontal="center" vertical="center"/>
    </xf>
    <xf borderId="0" fillId="0" fontId="16" numFmtId="0" xfId="0" applyAlignment="1" applyFont="1">
      <alignment readingOrder="0" vertical="center"/>
    </xf>
    <xf borderId="28" fillId="0" fontId="19" numFmtId="0" xfId="0" applyAlignment="1" applyBorder="1" applyFont="1">
      <alignment readingOrder="0" shrinkToFit="0" vertical="center" wrapText="0"/>
    </xf>
    <xf borderId="16" fillId="13" fontId="13" numFmtId="0" xfId="0" applyAlignment="1" applyBorder="1" applyFill="1" applyFont="1">
      <alignment horizontal="center" shrinkToFit="0" vertical="center" wrapText="0"/>
    </xf>
    <xf borderId="55" fillId="7" fontId="14" numFmtId="0" xfId="0" applyAlignment="1" applyBorder="1" applyFont="1">
      <alignment readingOrder="0" shrinkToFit="0" vertical="bottom" wrapText="0"/>
    </xf>
    <xf borderId="16" fillId="6" fontId="14" numFmtId="0" xfId="0" applyAlignment="1" applyBorder="1" applyFont="1">
      <alignment readingOrder="0" shrinkToFit="0" vertical="bottom" wrapText="0"/>
    </xf>
    <xf borderId="28" fillId="0" fontId="19" numFmtId="0" xfId="0" applyAlignment="1" applyBorder="1" applyFont="1">
      <alignment readingOrder="0" shrinkToFit="0" vertical="center" wrapText="0"/>
    </xf>
    <xf borderId="16" fillId="10" fontId="13" numFmtId="0" xfId="0" applyAlignment="1" applyBorder="1" applyFont="1">
      <alignment shrinkToFit="0" vertical="bottom" wrapText="0"/>
    </xf>
    <xf borderId="3" fillId="0" fontId="19" numFmtId="0" xfId="0" applyAlignment="1" applyBorder="1" applyFont="1">
      <alignment readingOrder="0" shrinkToFit="0" vertical="center" wrapText="0"/>
    </xf>
    <xf borderId="39" fillId="12" fontId="3" numFmtId="0" xfId="0" applyAlignment="1" applyBorder="1" applyFont="1">
      <alignment horizontal="center" shrinkToFit="0" vertical="center" wrapText="1"/>
    </xf>
    <xf borderId="16" fillId="0" fontId="14" numFmtId="0" xfId="0" applyAlignment="1" applyBorder="1" applyFont="1">
      <alignment readingOrder="0" shrinkToFit="0" vertical="bottom" wrapText="0"/>
    </xf>
    <xf borderId="3" fillId="0" fontId="19" numFmtId="0" xfId="0" applyAlignment="1" applyBorder="1" applyFont="1">
      <alignment readingOrder="0" shrinkToFit="0" vertical="center" wrapText="0"/>
    </xf>
    <xf borderId="0" fillId="12" fontId="14" numFmtId="0" xfId="0" applyAlignment="1" applyFont="1">
      <alignment horizontal="center" readingOrder="0" shrinkToFit="0" vertical="bottom" wrapText="0"/>
    </xf>
    <xf borderId="35" fillId="0" fontId="2" numFmtId="0" xfId="0" applyAlignment="1" applyBorder="1" applyFont="1">
      <alignment vertical="center"/>
    </xf>
    <xf borderId="32" fillId="12" fontId="3" numFmtId="0" xfId="0" applyAlignment="1" applyBorder="1" applyFont="1">
      <alignment horizontal="center" shrinkToFit="0" vertical="center" wrapText="1"/>
    </xf>
    <xf borderId="54" fillId="0" fontId="4" numFmtId="0" xfId="0" applyAlignment="1" applyBorder="1" applyFont="1">
      <alignment vertical="bottom"/>
    </xf>
    <xf borderId="54" fillId="7" fontId="4" numFmtId="0" xfId="0" applyAlignment="1" applyBorder="1" applyFont="1">
      <alignment vertical="center"/>
    </xf>
    <xf borderId="34" fillId="0" fontId="19" numFmtId="0" xfId="0" applyAlignment="1" applyBorder="1" applyFont="1">
      <alignment readingOrder="0" shrinkToFit="0" vertical="center" wrapText="0"/>
    </xf>
    <xf borderId="0" fillId="0" fontId="9" numFmtId="0" xfId="0" applyAlignment="1" applyFont="1">
      <alignment readingOrder="0" vertical="center"/>
    </xf>
    <xf borderId="0" fillId="0" fontId="4" numFmtId="0" xfId="0" applyAlignment="1" applyFont="1">
      <alignment readingOrder="0" vertical="center"/>
    </xf>
    <xf borderId="36" fillId="0" fontId="19" numFmtId="0" xfId="0" applyAlignment="1" applyBorder="1" applyFont="1">
      <alignment readingOrder="0" shrinkToFit="0" vertical="center" wrapText="0"/>
    </xf>
    <xf borderId="44" fillId="0" fontId="14" numFmtId="0" xfId="0" applyAlignment="1" applyBorder="1" applyFont="1">
      <alignment readingOrder="0" shrinkToFit="0" vertical="bottom" wrapText="0"/>
    </xf>
    <xf borderId="36" fillId="0" fontId="19" numFmtId="0" xfId="0" applyAlignment="1" applyBorder="1" applyFont="1">
      <alignment readingOrder="0" shrinkToFit="0" vertical="center" wrapText="0"/>
    </xf>
    <xf borderId="16" fillId="14" fontId="13" numFmtId="0" xfId="0" applyAlignment="1" applyBorder="1" applyFill="1" applyFont="1">
      <alignment horizontal="center" shrinkToFit="0" vertical="center" wrapText="0"/>
    </xf>
    <xf borderId="34" fillId="7" fontId="14" numFmtId="0" xfId="0" applyAlignment="1" applyBorder="1" applyFont="1">
      <alignment readingOrder="0" shrinkToFit="0" vertical="bottom" wrapText="0"/>
    </xf>
    <xf borderId="16" fillId="11" fontId="14" numFmtId="0" xfId="0" applyAlignment="1" applyBorder="1" applyFont="1">
      <alignment readingOrder="0" shrinkToFit="0" vertical="bottom" wrapText="0"/>
    </xf>
    <xf borderId="56" fillId="0" fontId="2" numFmtId="0" xfId="0" applyAlignment="1" applyBorder="1" applyFont="1">
      <alignment vertical="center"/>
    </xf>
    <xf borderId="39" fillId="0" fontId="3" numFmtId="0" xfId="0" applyAlignment="1" applyBorder="1" applyFont="1">
      <alignment horizontal="center" shrinkToFit="0" vertical="center" wrapText="1"/>
    </xf>
    <xf borderId="44" fillId="13" fontId="14" numFmtId="0" xfId="0" applyAlignment="1" applyBorder="1" applyFont="1">
      <alignment readingOrder="0" shrinkToFit="0" vertical="bottom" wrapText="0"/>
    </xf>
    <xf borderId="32" fillId="0" fontId="3" numFmtId="0" xfId="0" applyAlignment="1" applyBorder="1" applyFont="1">
      <alignment horizontal="center" shrinkToFit="0" vertical="center" wrapText="1"/>
    </xf>
    <xf borderId="34" fillId="0" fontId="19" numFmtId="0" xfId="0" applyAlignment="1" applyBorder="1" applyFont="1">
      <alignment readingOrder="0" shrinkToFit="0" vertical="center" wrapText="0"/>
    </xf>
    <xf borderId="54" fillId="0" fontId="4" numFmtId="0" xfId="0" applyAlignment="1" applyBorder="1" applyFont="1">
      <alignment horizontal="center" vertical="center"/>
    </xf>
    <xf borderId="36" fillId="0" fontId="14" numFmtId="0" xfId="0" applyAlignment="1" applyBorder="1" applyFont="1">
      <alignment readingOrder="0" shrinkToFit="0" vertical="bottom" wrapText="0"/>
    </xf>
    <xf borderId="57" fillId="0" fontId="2" numFmtId="0" xfId="0" applyAlignment="1" applyBorder="1" applyFont="1">
      <alignment vertical="center"/>
    </xf>
    <xf borderId="32" fillId="0" fontId="3" numFmtId="0" xfId="0" applyAlignment="1" applyBorder="1" applyFont="1">
      <alignment horizontal="left" readingOrder="0" shrinkToFit="0" vertical="center" wrapText="1"/>
    </xf>
    <xf borderId="46" fillId="0" fontId="16" numFmtId="0" xfId="0" applyAlignment="1" applyBorder="1" applyFont="1">
      <alignment readingOrder="0" shrinkToFit="0" vertical="bottom" wrapText="0"/>
    </xf>
    <xf borderId="3" fillId="7" fontId="4" numFmtId="0" xfId="0" applyAlignment="1" applyBorder="1" applyFont="1">
      <alignment horizontal="center" vertical="bottom"/>
    </xf>
    <xf borderId="27" fillId="13" fontId="19" numFmtId="0" xfId="0" applyAlignment="1" applyBorder="1" applyFont="1">
      <alignment readingOrder="0" shrinkToFit="0" vertical="center" wrapText="0"/>
    </xf>
    <xf borderId="43" fillId="0" fontId="3" numFmtId="0" xfId="0" applyAlignment="1" applyBorder="1" applyFont="1">
      <alignment horizontal="center" shrinkToFit="0" vertical="center" wrapText="1"/>
    </xf>
    <xf borderId="16" fillId="14" fontId="13" numFmtId="0" xfId="0" applyAlignment="1" applyBorder="1" applyFont="1">
      <alignment horizontal="center" readingOrder="0" shrinkToFit="0" vertical="center" wrapText="0"/>
    </xf>
    <xf borderId="34" fillId="7" fontId="14" numFmtId="0" xfId="0" applyAlignment="1" applyBorder="1" applyFont="1">
      <alignment shrinkToFit="0" vertical="bottom" wrapText="0"/>
    </xf>
    <xf borderId="16" fillId="0" fontId="14" numFmtId="0" xfId="0" applyAlignment="1" applyBorder="1" applyFont="1">
      <alignment readingOrder="0" shrinkToFit="0" vertical="bottom" wrapText="0"/>
    </xf>
    <xf borderId="42" fillId="0" fontId="3" numFmtId="0" xfId="0" applyAlignment="1" applyBorder="1" applyFont="1">
      <alignment horizontal="center" shrinkToFit="0" vertical="center" wrapText="1"/>
    </xf>
    <xf borderId="16" fillId="15" fontId="14" numFmtId="0" xfId="0" applyAlignment="1" applyBorder="1" applyFill="1" applyFont="1">
      <alignment shrinkToFit="0" vertical="bottom" wrapText="0"/>
    </xf>
    <xf borderId="36" fillId="0" fontId="20" numFmtId="0" xfId="0" applyAlignment="1" applyBorder="1" applyFont="1">
      <alignment readingOrder="0" shrinkToFit="0" vertical="bottom" wrapText="0"/>
    </xf>
    <xf borderId="13" fillId="0" fontId="4" numFmtId="0" xfId="0" applyAlignment="1" applyBorder="1" applyFont="1">
      <alignment vertical="bottom"/>
    </xf>
    <xf borderId="34" fillId="0" fontId="21" numFmtId="0" xfId="0" applyAlignment="1" applyBorder="1" applyFont="1">
      <alignment shrinkToFit="0" vertical="bottom" wrapText="0"/>
    </xf>
    <xf borderId="46" fillId="9" fontId="4" numFmtId="0" xfId="0" applyAlignment="1" applyBorder="1" applyFont="1">
      <alignment horizontal="center" vertical="center"/>
    </xf>
    <xf borderId="42" fillId="0" fontId="3" numFmtId="0" xfId="0" applyAlignment="1" applyBorder="1" applyFont="1">
      <alignment horizontal="left" shrinkToFit="0" vertical="center" wrapText="1"/>
    </xf>
    <xf borderId="3" fillId="0" fontId="22" numFmtId="0" xfId="0" applyAlignment="1" applyBorder="1" applyFont="1">
      <alignment vertical="bottom"/>
    </xf>
    <xf borderId="30" fillId="0" fontId="4" numFmtId="0" xfId="0" applyAlignment="1" applyBorder="1" applyFont="1">
      <alignment readingOrder="0" vertical="bottom"/>
    </xf>
    <xf borderId="27" fillId="0" fontId="16" numFmtId="0" xfId="0" applyAlignment="1" applyBorder="1" applyFont="1">
      <alignment readingOrder="0" shrinkToFit="0" vertical="bottom" wrapText="0"/>
    </xf>
    <xf borderId="3" fillId="0" fontId="4" numFmtId="0" xfId="0" applyAlignment="1" applyBorder="1" applyFont="1">
      <alignment vertical="bottom"/>
    </xf>
    <xf borderId="15" fillId="7" fontId="4" numFmtId="0" xfId="0" applyAlignment="1" applyBorder="1" applyFont="1">
      <alignment readingOrder="0" vertical="center"/>
    </xf>
    <xf borderId="34" fillId="0" fontId="16" numFmtId="0" xfId="0" applyAlignment="1" applyBorder="1" applyFont="1">
      <alignment shrinkToFit="0" vertical="bottom" wrapText="0"/>
    </xf>
    <xf borderId="0" fillId="0" fontId="23" numFmtId="0" xfId="0" applyAlignment="1" applyFont="1">
      <alignment readingOrder="0" vertical="center"/>
    </xf>
    <xf borderId="28" fillId="0" fontId="22" numFmtId="0" xfId="0" applyAlignment="1" applyBorder="1" applyFont="1">
      <alignment vertical="bottom"/>
    </xf>
    <xf borderId="36" fillId="7" fontId="14" numFmtId="0" xfId="0" applyAlignment="1" applyBorder="1" applyFont="1">
      <alignment shrinkToFit="0" vertical="bottom" wrapText="0"/>
    </xf>
    <xf borderId="27" fillId="0" fontId="4" numFmtId="0" xfId="0" applyAlignment="1" applyBorder="1" applyFont="1">
      <alignment vertical="bottom"/>
    </xf>
    <xf borderId="32" fillId="0" fontId="3" numFmtId="0" xfId="0" applyAlignment="1" applyBorder="1" applyFont="1">
      <alignment horizontal="left" shrinkToFit="0" vertical="center" wrapText="1"/>
    </xf>
    <xf borderId="34" fillId="0" fontId="19" numFmtId="0" xfId="0" applyAlignment="1" applyBorder="1" applyFont="1">
      <alignment shrinkToFit="0" vertical="center" wrapText="0"/>
    </xf>
    <xf borderId="34" fillId="0" fontId="22" numFmtId="0" xfId="0" applyAlignment="1" applyBorder="1" applyFont="1">
      <alignment vertical="bottom"/>
    </xf>
    <xf borderId="36" fillId="0" fontId="19" numFmtId="0" xfId="0" applyAlignment="1" applyBorder="1" applyFont="1">
      <alignment shrinkToFit="0" vertical="center" wrapText="0"/>
    </xf>
    <xf borderId="0" fillId="0" fontId="3" numFmtId="0" xfId="0" applyAlignment="1" applyFont="1">
      <alignment horizontal="center" readingOrder="0" shrinkToFit="0" vertical="center" wrapText="1"/>
    </xf>
    <xf borderId="36" fillId="0" fontId="21" numFmtId="0" xfId="0" applyAlignment="1" applyBorder="1" applyFont="1">
      <alignment shrinkToFit="0" vertical="bottom" wrapText="0"/>
    </xf>
    <xf borderId="34" fillId="0" fontId="4" numFmtId="0" xfId="0" applyAlignment="1" applyBorder="1" applyFont="1">
      <alignment vertical="bottom"/>
    </xf>
    <xf borderId="34" fillId="0" fontId="2" numFmtId="0" xfId="0" applyAlignment="1" applyBorder="1" applyFont="1">
      <alignment vertical="center"/>
    </xf>
    <xf borderId="34" fillId="7" fontId="16" numFmtId="0" xfId="0" applyAlignment="1" applyBorder="1" applyFont="1">
      <alignment shrinkToFit="0" vertical="bottom" wrapText="0"/>
    </xf>
    <xf borderId="58" fillId="0" fontId="3" numFmtId="0" xfId="0" applyAlignment="1" applyBorder="1" applyFont="1">
      <alignment horizontal="center" shrinkToFit="0" vertical="center" wrapText="1"/>
    </xf>
    <xf borderId="16" fillId="11" fontId="24" numFmtId="0" xfId="0" applyAlignment="1" applyBorder="1" applyFont="1">
      <alignment readingOrder="0" shrinkToFit="0" vertical="bottom" wrapText="0"/>
    </xf>
    <xf borderId="36" fillId="0" fontId="22" numFmtId="0" xfId="0" applyAlignment="1" applyBorder="1" applyFont="1">
      <alignment vertical="bottom"/>
    </xf>
    <xf borderId="21" fillId="0" fontId="3" numFmtId="0" xfId="0" applyAlignment="1" applyBorder="1" applyFont="1">
      <alignment horizontal="center" shrinkToFit="0" vertical="center" wrapText="1"/>
    </xf>
    <xf borderId="44" fillId="0" fontId="14" numFmtId="0" xfId="0" applyAlignment="1" applyBorder="1" applyFont="1">
      <alignment shrinkToFit="0" vertical="bottom" wrapText="0"/>
    </xf>
    <xf borderId="34" fillId="0" fontId="14" numFmtId="0" xfId="0" applyAlignment="1" applyBorder="1" applyFont="1">
      <alignment shrinkToFit="0" vertical="bottom" wrapText="0"/>
    </xf>
    <xf borderId="0" fillId="0" fontId="14" numFmtId="0" xfId="0" applyAlignment="1" applyFont="1">
      <alignment readingOrder="0" shrinkToFit="0" vertical="bottom" wrapText="0"/>
    </xf>
    <xf borderId="36" fillId="0" fontId="16" numFmtId="0" xfId="0" applyAlignment="1" applyBorder="1" applyFont="1">
      <alignment shrinkToFit="0" vertical="bottom" wrapText="0"/>
    </xf>
    <xf borderId="46" fillId="0" fontId="2" numFmtId="0" xfId="0" applyAlignment="1" applyBorder="1" applyFont="1">
      <alignment vertical="center"/>
    </xf>
    <xf borderId="27" fillId="0" fontId="16" numFmtId="0" xfId="0" applyAlignment="1" applyBorder="1" applyFont="1">
      <alignment shrinkToFit="0" vertical="bottom" wrapText="0"/>
    </xf>
    <xf borderId="36" fillId="0" fontId="14" numFmtId="0" xfId="0" applyAlignment="1" applyBorder="1" applyFont="1">
      <alignment shrinkToFit="0" vertical="bottom" wrapText="0"/>
    </xf>
    <xf borderId="44" fillId="7" fontId="14" numFmtId="0" xfId="0" applyAlignment="1" applyBorder="1" applyFont="1">
      <alignment shrinkToFit="0" vertical="bottom" wrapText="0"/>
    </xf>
    <xf borderId="0" fillId="0" fontId="7" numFmtId="0" xfId="0" applyAlignment="1" applyFont="1">
      <alignment readingOrder="0" vertical="center"/>
    </xf>
    <xf borderId="0" fillId="13" fontId="25" numFmtId="0" xfId="0" applyAlignment="1" applyFont="1">
      <alignment horizontal="center" readingOrder="0" shrinkToFit="0" vertical="center" wrapText="1"/>
    </xf>
    <xf borderId="46" fillId="0" fontId="14" numFmtId="0" xfId="0" applyAlignment="1" applyBorder="1" applyFont="1">
      <alignment shrinkToFit="0" vertical="bottom" wrapText="0"/>
    </xf>
    <xf borderId="27" fillId="0" fontId="14" numFmtId="0" xfId="0" applyAlignment="1" applyBorder="1" applyFont="1">
      <alignment shrinkToFit="0" vertical="bottom" wrapText="0"/>
    </xf>
    <xf borderId="32" fillId="0" fontId="3" numFmtId="0" xfId="0" applyAlignment="1" applyBorder="1" applyFont="1">
      <alignment horizontal="center" readingOrder="0" shrinkToFit="0" vertical="center" wrapText="1"/>
    </xf>
    <xf borderId="44" fillId="7" fontId="4" numFmtId="0" xfId="0" applyAlignment="1" applyBorder="1" applyFont="1">
      <alignment vertical="bottom"/>
    </xf>
    <xf borderId="0" fillId="0" fontId="6" numFmtId="0" xfId="0" applyAlignment="1" applyFont="1">
      <alignment readingOrder="0" vertical="center"/>
    </xf>
    <xf borderId="32" fillId="0" fontId="26" numFmtId="0" xfId="0" applyAlignment="1" applyBorder="1" applyFont="1">
      <alignment horizontal="center" readingOrder="0" shrinkToFit="0" vertical="center" wrapText="1"/>
    </xf>
    <xf borderId="10" fillId="0" fontId="4" numFmtId="0" xfId="0" applyAlignment="1" applyBorder="1" applyFont="1">
      <alignment vertical="bottom"/>
    </xf>
    <xf borderId="9" fillId="0" fontId="14" numFmtId="0" xfId="0" applyAlignment="1" applyBorder="1" applyFont="1">
      <alignment readingOrder="0" shrinkToFit="0" vertical="bottom" wrapText="0"/>
    </xf>
    <xf borderId="52" fillId="0" fontId="14" numFmtId="0" xfId="0" applyAlignment="1" applyBorder="1" applyFont="1">
      <alignment shrinkToFit="0" vertical="bottom" wrapText="0"/>
    </xf>
    <xf borderId="47" fillId="7" fontId="14" numFmtId="0" xfId="0" applyAlignment="1" applyBorder="1" applyFont="1">
      <alignment shrinkToFit="0" vertical="bottom" wrapText="0"/>
    </xf>
    <xf borderId="55" fillId="7" fontId="27" numFmtId="0" xfId="0" applyAlignment="1" applyBorder="1" applyFont="1">
      <alignment vertical="bottom"/>
    </xf>
    <xf borderId="10" fillId="7" fontId="14" numFmtId="0" xfId="0" applyAlignment="1" applyBorder="1" applyFont="1">
      <alignment shrinkToFit="0" vertical="bottom" wrapText="0"/>
    </xf>
    <xf borderId="16" fillId="0" fontId="13" numFmtId="0" xfId="0" applyAlignment="1" applyBorder="1" applyFont="1">
      <alignment horizontal="center" readingOrder="0" shrinkToFit="0" vertical="center" wrapText="0"/>
    </xf>
    <xf borderId="53" fillId="0" fontId="16" numFmtId="0" xfId="0" applyAlignment="1" applyBorder="1" applyFont="1">
      <alignment shrinkToFit="0" vertical="bottom" wrapText="0"/>
    </xf>
    <xf borderId="10" fillId="7" fontId="16" numFmtId="0" xfId="0" applyAlignment="1" applyBorder="1" applyFont="1">
      <alignment readingOrder="0" shrinkToFit="0" vertical="bottom" wrapText="0"/>
    </xf>
    <xf borderId="29" fillId="0" fontId="2" numFmtId="0" xfId="0" applyAlignment="1" applyBorder="1" applyFont="1">
      <alignment vertical="center"/>
    </xf>
    <xf borderId="16" fillId="11" fontId="28" numFmtId="0" xfId="0" applyAlignment="1" applyBorder="1" applyFont="1">
      <alignment readingOrder="0" shrinkToFit="0" vertical="bottom" wrapText="0"/>
    </xf>
    <xf borderId="12" fillId="0" fontId="4" numFmtId="0" xfId="0" applyAlignment="1" applyBorder="1" applyFont="1">
      <alignment vertical="bottom"/>
    </xf>
    <xf borderId="47" fillId="0" fontId="16" numFmtId="0" xfId="0" applyAlignment="1" applyBorder="1" applyFont="1">
      <alignment readingOrder="0" shrinkToFit="0" vertical="bottom" wrapText="0"/>
    </xf>
    <xf borderId="44" fillId="0" fontId="4" numFmtId="0" xfId="0" applyAlignment="1" applyBorder="1" applyFont="1">
      <alignment vertical="bottom"/>
    </xf>
    <xf borderId="16" fillId="0" fontId="28" numFmtId="0" xfId="0" applyAlignment="1" applyBorder="1" applyFont="1">
      <alignment readingOrder="0" shrinkToFit="0" vertical="bottom" wrapText="0"/>
    </xf>
    <xf borderId="10" fillId="7" fontId="16" numFmtId="0" xfId="0" applyAlignment="1" applyBorder="1" applyFont="1">
      <alignment shrinkToFit="0" vertical="bottom" wrapText="0"/>
    </xf>
    <xf borderId="34" fillId="7" fontId="4" numFmtId="0" xfId="0" applyAlignment="1" applyBorder="1" applyFont="1">
      <alignment vertical="bottom"/>
    </xf>
    <xf borderId="53" fillId="0" fontId="14" numFmtId="0" xfId="0" applyAlignment="1" applyBorder="1" applyFont="1">
      <alignment shrinkToFit="0" vertical="bottom" wrapText="0"/>
    </xf>
    <xf borderId="29" fillId="0" fontId="3" numFmtId="0" xfId="0" applyAlignment="1" applyBorder="1" applyFont="1">
      <alignment horizontal="center" shrinkToFit="0" vertical="center" wrapText="1"/>
    </xf>
    <xf borderId="27" fillId="7" fontId="22" numFmtId="0" xfId="0" applyAlignment="1" applyBorder="1" applyFont="1">
      <alignment vertical="bottom"/>
    </xf>
    <xf borderId="10" fillId="7" fontId="14" numFmtId="0" xfId="0" applyAlignment="1" applyBorder="1" applyFont="1">
      <alignment readingOrder="0" shrinkToFit="0" vertical="bottom" wrapText="0"/>
    </xf>
    <xf borderId="27" fillId="7" fontId="4" numFmtId="0" xfId="0" applyAlignment="1" applyBorder="1" applyFont="1">
      <alignment vertical="bottom"/>
    </xf>
    <xf borderId="16" fillId="16" fontId="13" numFmtId="0" xfId="0" applyAlignment="1" applyBorder="1" applyFill="1" applyFont="1">
      <alignment horizontal="center" readingOrder="0" shrinkToFit="0" vertical="center" wrapText="0"/>
    </xf>
    <xf borderId="16" fillId="11" fontId="29" numFmtId="0" xfId="0" applyAlignment="1" applyBorder="1" applyFont="1">
      <alignment readingOrder="0" shrinkToFit="0" vertical="bottom" wrapText="0"/>
    </xf>
    <xf borderId="29" fillId="0" fontId="26" numFmtId="0" xfId="0" applyAlignment="1" applyBorder="1" applyFont="1">
      <alignment horizontal="center" shrinkToFit="0" vertical="center" wrapText="1"/>
    </xf>
    <xf borderId="0" fillId="7" fontId="22" numFmtId="0" xfId="0" applyAlignment="1" applyFont="1">
      <alignment horizontal="left" vertical="center"/>
    </xf>
    <xf borderId="36" fillId="7" fontId="4" numFmtId="0" xfId="0" applyAlignment="1" applyBorder="1" applyFont="1">
      <alignment vertical="bottom"/>
    </xf>
    <xf borderId="16" fillId="7" fontId="29" numFmtId="0" xfId="0" applyAlignment="1" applyBorder="1" applyFont="1">
      <alignment readingOrder="0" shrinkToFit="0" vertical="bottom" wrapText="0"/>
    </xf>
    <xf borderId="0" fillId="0" fontId="30" numFmtId="0" xfId="0" applyAlignment="1" applyFont="1">
      <alignment readingOrder="0" vertical="center"/>
    </xf>
    <xf borderId="29" fillId="0" fontId="3" numFmtId="0" xfId="0" applyAlignment="1" applyBorder="1" applyFont="1">
      <alignment horizontal="left" readingOrder="0" shrinkToFit="0" vertical="center" wrapText="1"/>
    </xf>
    <xf borderId="0" fillId="0" fontId="22" numFmtId="0" xfId="0" applyAlignment="1" applyFont="1">
      <alignment vertical="bottom"/>
    </xf>
    <xf borderId="34" fillId="7" fontId="22" numFmtId="0" xfId="0" applyAlignment="1" applyBorder="1" applyFont="1">
      <alignment vertical="bottom"/>
    </xf>
    <xf borderId="0" fillId="7" fontId="4" numFmtId="0" xfId="0" applyAlignment="1" applyFont="1">
      <alignment vertical="bottom"/>
    </xf>
    <xf borderId="32" fillId="0" fontId="26" numFmtId="0" xfId="0" applyAlignment="1" applyBorder="1" applyFont="1">
      <alignment horizontal="center" shrinkToFit="0" vertical="center" wrapText="1"/>
    </xf>
    <xf borderId="29" fillId="17" fontId="25" numFmtId="0" xfId="0" applyAlignment="1" applyBorder="1" applyFill="1" applyFont="1">
      <alignment horizontal="center" readingOrder="0" shrinkToFit="0" vertical="center" wrapText="1"/>
    </xf>
    <xf borderId="0" fillId="0" fontId="31" numFmtId="0" xfId="0" applyAlignment="1" applyFont="1">
      <alignment vertical="center"/>
    </xf>
    <xf borderId="0" fillId="7" fontId="4" numFmtId="0" xfId="0" applyAlignment="1" applyFont="1">
      <alignment vertical="center"/>
    </xf>
    <xf borderId="29" fillId="0" fontId="3" numFmtId="20" xfId="0" applyAlignment="1" applyBorder="1" applyFont="1" applyNumberFormat="1">
      <alignment horizontal="center" readingOrder="0" shrinkToFit="0" vertical="center" wrapText="1"/>
    </xf>
    <xf borderId="20" fillId="0" fontId="16" numFmtId="0" xfId="0" applyAlignment="1" applyBorder="1" applyFont="1">
      <alignment horizontal="center" readingOrder="0" shrinkToFit="0" vertical="center" wrapText="1"/>
    </xf>
    <xf borderId="46" fillId="0" fontId="4" numFmtId="0" xfId="0" applyAlignment="1" applyBorder="1" applyFont="1">
      <alignment vertical="bottom"/>
    </xf>
    <xf borderId="29" fillId="0" fontId="16" numFmtId="0" xfId="0" applyAlignment="1" applyBorder="1" applyFont="1">
      <alignment horizontal="center" readingOrder="0" shrinkToFit="0" vertical="center" wrapText="1"/>
    </xf>
    <xf borderId="16" fillId="11" fontId="13" numFmtId="0" xfId="0" applyAlignment="1" applyBorder="1" applyFont="1">
      <alignment horizontal="center" readingOrder="0" shrinkToFit="0" vertical="center" wrapText="0"/>
    </xf>
    <xf borderId="29" fillId="0" fontId="32" numFmtId="0" xfId="0" applyAlignment="1" applyBorder="1" applyFont="1">
      <alignment horizontal="center" readingOrder="0" shrinkToFit="0" vertical="center" wrapText="1"/>
    </xf>
    <xf borderId="9" fillId="0" fontId="4" numFmtId="0" xfId="0" applyAlignment="1" applyBorder="1" applyFont="1">
      <alignment vertical="bottom"/>
    </xf>
    <xf borderId="16" fillId="18" fontId="14" numFmtId="0" xfId="0" applyAlignment="1" applyBorder="1" applyFill="1" applyFont="1">
      <alignment readingOrder="0" shrinkToFit="0" vertical="bottom" wrapText="0"/>
    </xf>
    <xf borderId="52" fillId="0" fontId="4" numFmtId="0" xfId="0" applyAlignment="1" applyBorder="1" applyFont="1">
      <alignment vertical="bottom"/>
    </xf>
    <xf borderId="29" fillId="14" fontId="16" numFmtId="0" xfId="0" applyAlignment="1" applyBorder="1" applyFont="1">
      <alignment readingOrder="0" shrinkToFit="0" vertical="center" wrapText="1"/>
    </xf>
    <xf borderId="16" fillId="11" fontId="14" numFmtId="0" xfId="0" applyAlignment="1" applyBorder="1" applyFont="1">
      <alignment shrinkToFit="0" vertical="bottom" wrapText="0"/>
    </xf>
    <xf borderId="47" fillId="7" fontId="4" numFmtId="0" xfId="0" applyAlignment="1" applyBorder="1" applyFont="1">
      <alignment vertical="bottom"/>
    </xf>
    <xf borderId="10" fillId="7" fontId="4" numFmtId="0" xfId="0" applyAlignment="1" applyBorder="1" applyFont="1">
      <alignment vertical="bottom"/>
    </xf>
    <xf borderId="46" fillId="0" fontId="3" numFmtId="0" xfId="0" applyAlignment="1" applyBorder="1" applyFont="1">
      <alignment horizontal="center" shrinkToFit="0" vertical="center" wrapText="1"/>
    </xf>
    <xf borderId="53" fillId="0" fontId="4" numFmtId="0" xfId="0" applyAlignment="1" applyBorder="1" applyFont="1">
      <alignment vertical="bottom"/>
    </xf>
    <xf borderId="47" fillId="0" fontId="4" numFmtId="0" xfId="0" applyAlignment="1" applyBorder="1" applyFont="1">
      <alignment vertical="bottom"/>
    </xf>
    <xf borderId="39" fillId="0" fontId="16" numFmtId="0" xfId="0" applyAlignment="1" applyBorder="1" applyFont="1">
      <alignment horizontal="center" readingOrder="0" shrinkToFit="0" vertical="center" wrapText="1"/>
    </xf>
    <xf borderId="32" fillId="0" fontId="16" numFmtId="0" xfId="0" applyAlignment="1" applyBorder="1" applyFont="1">
      <alignment horizontal="center" readingOrder="0" vertical="center"/>
    </xf>
    <xf borderId="16" fillId="11" fontId="33" numFmtId="0" xfId="0" applyAlignment="1" applyBorder="1" applyFont="1">
      <alignment readingOrder="0" shrinkToFit="0" vertical="bottom" wrapText="0"/>
    </xf>
    <xf borderId="32" fillId="0" fontId="32" numFmtId="0" xfId="0" applyAlignment="1" applyBorder="1" applyFont="1">
      <alignment horizontal="center" readingOrder="0" shrinkToFit="0" vertical="center" wrapText="1"/>
    </xf>
    <xf borderId="16" fillId="7" fontId="33" numFmtId="0" xfId="0" applyAlignment="1" applyBorder="1" applyFont="1">
      <alignment readingOrder="0" shrinkToFit="0" vertical="bottom" wrapText="0"/>
    </xf>
    <xf borderId="32" fillId="0" fontId="16" numFmtId="0" xfId="0" applyAlignment="1" applyBorder="1" applyFont="1">
      <alignment readingOrder="0" shrinkToFit="0" vertical="center" wrapText="1"/>
    </xf>
    <xf borderId="35" fillId="0" fontId="4" numFmtId="0" xfId="0" applyAlignment="1" applyBorder="1" applyFont="1">
      <alignment vertical="bottom"/>
    </xf>
    <xf borderId="35" fillId="7" fontId="4" numFmtId="0" xfId="0" applyAlignment="1" applyBorder="1" applyFont="1">
      <alignment vertical="center"/>
    </xf>
    <xf borderId="0" fillId="7" fontId="6" numFmtId="0" xfId="0" applyAlignment="1" applyFont="1">
      <alignment readingOrder="0" vertical="center"/>
    </xf>
    <xf borderId="0" fillId="7" fontId="12" numFmtId="0" xfId="0" applyAlignment="1" applyFont="1">
      <alignment vertical="center"/>
    </xf>
    <xf borderId="42" fillId="0" fontId="26" numFmtId="0" xfId="0" applyAlignment="1" applyBorder="1" applyFont="1">
      <alignment horizontal="center" shrinkToFit="0" vertical="center" wrapText="1"/>
    </xf>
    <xf borderId="16" fillId="9" fontId="14" numFmtId="0" xfId="0" applyAlignment="1" applyBorder="1" applyFont="1">
      <alignment readingOrder="0" shrinkToFit="0" vertical="bottom" wrapText="0"/>
    </xf>
    <xf quotePrefix="1" borderId="42" fillId="14" fontId="3" numFmtId="0" xfId="0" applyAlignment="1" applyBorder="1" applyFont="1">
      <alignment horizontal="left" shrinkToFit="0" vertical="center" wrapText="1"/>
    </xf>
    <xf borderId="0" fillId="0" fontId="4" numFmtId="0" xfId="0" applyAlignment="1" applyFont="1">
      <alignment horizontal="center" readingOrder="0" vertical="center"/>
    </xf>
    <xf borderId="30" fillId="0" fontId="4" numFmtId="0" xfId="0" applyAlignment="1" applyBorder="1" applyFont="1">
      <alignment vertical="bottom"/>
    </xf>
    <xf borderId="39" fillId="0" fontId="3" numFmtId="0" xfId="0" applyAlignment="1" applyBorder="1" applyFont="1">
      <alignment horizontal="center" readingOrder="0" shrinkToFit="0" vertical="center" wrapText="1"/>
    </xf>
    <xf borderId="36" fillId="7" fontId="4" numFmtId="0" xfId="0" applyAlignment="1" applyBorder="1" applyFont="1">
      <alignment vertical="center"/>
    </xf>
    <xf borderId="0" fillId="7" fontId="7" numFmtId="0" xfId="0" applyAlignment="1" applyFont="1">
      <alignment readingOrder="0" vertical="center"/>
    </xf>
    <xf borderId="16" fillId="11" fontId="13" numFmtId="0" xfId="0" applyAlignment="1" applyBorder="1" applyFont="1">
      <alignment readingOrder="0" shrinkToFit="0" vertical="bottom" wrapText="0"/>
    </xf>
    <xf borderId="32" fillId="14" fontId="3" numFmtId="0" xfId="0" applyAlignment="1" applyBorder="1" applyFont="1">
      <alignment horizontal="left" readingOrder="0" shrinkToFit="0" vertical="center" wrapText="1"/>
    </xf>
    <xf borderId="57" fillId="7" fontId="4" numFmtId="0" xfId="0" applyAlignment="1" applyBorder="1" applyFont="1">
      <alignment vertical="center"/>
    </xf>
    <xf borderId="0" fillId="7" fontId="11" numFmtId="0" xfId="0" applyAlignment="1" applyFont="1">
      <alignment readingOrder="0" vertical="center"/>
    </xf>
    <xf borderId="0" fillId="7" fontId="6" numFmtId="0" xfId="0" applyAlignment="1" applyFont="1">
      <alignment horizontal="center" vertical="center"/>
    </xf>
    <xf borderId="46" fillId="0" fontId="3" numFmtId="0" xfId="0" applyAlignment="1" applyBorder="1" applyFont="1">
      <alignment horizontal="center" readingOrder="0" shrinkToFit="0" vertical="center" wrapText="1"/>
    </xf>
    <xf borderId="16" fillId="13" fontId="13" numFmtId="0" xfId="0" applyAlignment="1" applyBorder="1" applyFont="1">
      <alignment horizontal="center" readingOrder="0" shrinkToFit="0" vertical="center" wrapText="0"/>
    </xf>
    <xf borderId="16" fillId="13" fontId="24" numFmtId="0" xfId="0" applyAlignment="1" applyBorder="1" applyFont="1">
      <alignment readingOrder="0" shrinkToFit="0" vertical="bottom" wrapText="0"/>
    </xf>
    <xf borderId="0" fillId="0" fontId="11" numFmtId="0" xfId="0" applyAlignment="1" applyFont="1">
      <alignment readingOrder="0" vertical="center"/>
    </xf>
    <xf borderId="0" fillId="12" fontId="4" numFmtId="0" xfId="0" applyAlignment="1" applyFont="1">
      <alignment vertical="center"/>
    </xf>
    <xf borderId="16" fillId="6" fontId="13" numFmtId="0" xfId="0" applyAlignment="1" applyBorder="1" applyFont="1">
      <alignment horizontal="center" readingOrder="0" shrinkToFit="0" vertical="center" wrapText="0"/>
    </xf>
    <xf borderId="16" fillId="6" fontId="34" numFmtId="0" xfId="0" applyAlignment="1" applyBorder="1" applyFont="1">
      <alignment readingOrder="0" shrinkToFit="0" vertical="bottom" wrapText="0"/>
    </xf>
    <xf borderId="16" fillId="13" fontId="21" numFmtId="0" xfId="0" applyAlignment="1" applyBorder="1" applyFont="1">
      <alignment readingOrder="0" shrinkToFit="0" vertical="bottom" wrapText="0"/>
    </xf>
    <xf borderId="36" fillId="7" fontId="4" numFmtId="0" xfId="0" applyAlignment="1" applyBorder="1" applyFont="1">
      <alignment readingOrder="0" vertical="center"/>
    </xf>
    <xf borderId="42" fillId="0" fontId="3" numFmtId="0" xfId="0" applyAlignment="1" applyBorder="1" applyFont="1">
      <alignment horizontal="left" readingOrder="0" shrinkToFit="0" vertical="center" wrapText="1"/>
    </xf>
    <xf borderId="49" fillId="0" fontId="26" numFmtId="0" xfId="0" applyAlignment="1" applyBorder="1" applyFont="1">
      <alignment horizontal="center" shrinkToFit="0" vertical="center" wrapText="1"/>
    </xf>
    <xf borderId="16" fillId="16" fontId="13" numFmtId="0" xfId="0" applyAlignment="1" applyBorder="1" applyFont="1">
      <alignment shrinkToFit="0" vertical="bottom" wrapText="0"/>
    </xf>
    <xf borderId="49" fillId="0" fontId="3" numFmtId="0" xfId="0" applyAlignment="1" applyBorder="1" applyFont="1">
      <alignment horizontal="left" readingOrder="0" shrinkToFit="0" vertical="center" wrapText="1"/>
    </xf>
    <xf borderId="59" fillId="0" fontId="2" numFmtId="0" xfId="0" applyAlignment="1" applyBorder="1" applyFont="1">
      <alignment vertical="center"/>
    </xf>
    <xf borderId="20" fillId="9" fontId="25" numFmtId="0" xfId="0" applyAlignment="1" applyBorder="1" applyFont="1">
      <alignment horizontal="center" readingOrder="0" shrinkToFit="0" vertical="center" wrapText="1"/>
    </xf>
    <xf borderId="16" fillId="0" fontId="9" numFmtId="0" xfId="0" applyAlignment="1" applyBorder="1" applyFont="1">
      <alignment readingOrder="0" shrinkToFit="0" vertical="bottom" wrapText="0"/>
    </xf>
    <xf borderId="0" fillId="0" fontId="3" numFmtId="0" xfId="0" applyAlignment="1" applyFont="1">
      <alignment horizontal="center" shrinkToFit="0" vertical="center" wrapText="1"/>
    </xf>
    <xf borderId="46" fillId="0" fontId="26" numFmtId="0" xfId="0" applyAlignment="1" applyBorder="1" applyFont="1">
      <alignment horizontal="center" shrinkToFit="0" vertical="center" wrapText="1"/>
    </xf>
    <xf borderId="46" fillId="0" fontId="3" numFmtId="0" xfId="0" applyAlignment="1" applyBorder="1" applyFont="1">
      <alignment horizontal="left" shrinkToFit="0" vertical="center" wrapText="1"/>
    </xf>
    <xf borderId="16" fillId="0" fontId="35" numFmtId="0" xfId="0" applyAlignment="1" applyBorder="1" applyFont="1">
      <alignment readingOrder="0" shrinkToFit="0" vertical="bottom" wrapText="0"/>
    </xf>
    <xf borderId="16" fillId="18" fontId="14" numFmtId="0" xfId="0" applyAlignment="1" applyBorder="1" applyFont="1">
      <alignment shrinkToFit="0" vertical="bottom" wrapText="0"/>
    </xf>
    <xf borderId="16" fillId="11" fontId="14" numFmtId="0" xfId="0" applyAlignment="1" applyBorder="1" applyFont="1">
      <alignment readingOrder="0" shrinkToFit="0" vertical="center" wrapText="0"/>
    </xf>
    <xf borderId="46" fillId="0" fontId="11" numFmtId="0" xfId="0" applyAlignment="1" applyBorder="1" applyFont="1">
      <alignment readingOrder="0" vertical="center"/>
    </xf>
    <xf borderId="32" fillId="0" fontId="32" numFmtId="0" xfId="0" applyAlignment="1" applyBorder="1" applyFont="1">
      <alignment horizontal="center" shrinkToFit="0" vertical="center" wrapText="1"/>
    </xf>
    <xf borderId="16" fillId="11" fontId="14" numFmtId="0" xfId="0" applyAlignment="1" applyBorder="1" applyFont="1">
      <alignment horizontal="center" readingOrder="0" shrinkToFit="0" vertical="center" wrapText="0"/>
    </xf>
    <xf borderId="16" fillId="0" fontId="14" numFmtId="0" xfId="0" applyAlignment="1" applyBorder="1" applyFont="1">
      <alignment shrinkToFit="0" vertical="bottom" wrapText="0"/>
    </xf>
    <xf borderId="49" fillId="0" fontId="32" numFmtId="0" xfId="0" applyAlignment="1" applyBorder="1" applyFont="1">
      <alignment horizontal="center" shrinkToFit="0" vertical="center" wrapText="1"/>
    </xf>
    <xf borderId="32" fillId="0" fontId="4" numFmtId="0" xfId="0" applyAlignment="1" applyBorder="1" applyFont="1">
      <alignment vertical="bottom"/>
    </xf>
    <xf borderId="49" fillId="0" fontId="16" numFmtId="0" xfId="0" applyAlignment="1" applyBorder="1" applyFont="1">
      <alignment readingOrder="0" shrinkToFit="0" vertical="center" wrapText="1"/>
    </xf>
    <xf borderId="16" fillId="7" fontId="4" numFmtId="0" xfId="0" applyAlignment="1" applyBorder="1" applyFont="1">
      <alignment vertical="center"/>
    </xf>
    <xf borderId="0" fillId="7" fontId="4" numFmtId="0" xfId="0" applyAlignment="1" applyFont="1">
      <alignment readingOrder="0" vertical="center"/>
    </xf>
    <xf borderId="16" fillId="0" fontId="14" numFmtId="0" xfId="0" applyAlignment="1" applyBorder="1" applyFont="1">
      <alignment horizontal="center" readingOrder="0" shrinkToFit="0" vertical="center" wrapText="0"/>
    </xf>
    <xf borderId="16" fillId="15" fontId="36" numFmtId="0" xfId="0" applyAlignment="1" applyBorder="1" applyFont="1">
      <alignment readingOrder="0" shrinkToFit="0" vertical="bottom" wrapText="0"/>
    </xf>
    <xf borderId="49" fillId="0" fontId="3" numFmtId="0" xfId="0" applyAlignment="1" applyBorder="1" applyFont="1">
      <alignment horizontal="left" shrinkToFit="0" vertical="center" wrapText="1"/>
    </xf>
    <xf borderId="16" fillId="12" fontId="14" numFmtId="0" xfId="0" applyAlignment="1" applyBorder="1" applyFont="1">
      <alignment horizontal="center" readingOrder="0" shrinkToFit="0" vertical="bottom" wrapText="0"/>
    </xf>
    <xf borderId="16" fillId="0" fontId="8" numFmtId="0" xfId="0" applyAlignment="1" applyBorder="1" applyFont="1">
      <alignment readingOrder="0" vertical="center"/>
    </xf>
    <xf borderId="46" fillId="0" fontId="4" numFmtId="0" xfId="0" applyAlignment="1" applyBorder="1" applyFont="1">
      <alignment horizontal="center" vertical="center"/>
    </xf>
    <xf borderId="29" fillId="0" fontId="3" numFmtId="0" xfId="0" applyAlignment="1" applyBorder="1" applyFont="1">
      <alignment horizontal="left" shrinkToFit="0" vertical="center" wrapText="1"/>
    </xf>
    <xf borderId="42" fillId="0" fontId="4" numFmtId="0" xfId="0" applyAlignment="1" applyBorder="1" applyFont="1">
      <alignment readingOrder="0" vertical="bottom"/>
    </xf>
    <xf borderId="30" fillId="7" fontId="4" numFmtId="0" xfId="0" applyAlignment="1" applyBorder="1" applyFont="1">
      <alignment vertical="center"/>
    </xf>
    <xf borderId="0" fillId="7" fontId="9" numFmtId="0" xfId="0" applyAlignment="1" applyFont="1">
      <alignment readingOrder="0" vertical="center"/>
    </xf>
    <xf borderId="16" fillId="10" fontId="14" numFmtId="0" xfId="0" applyAlignment="1" applyBorder="1" applyFont="1">
      <alignment readingOrder="0" shrinkToFit="0" vertical="bottom" wrapText="0"/>
    </xf>
    <xf borderId="0" fillId="12" fontId="7" numFmtId="0" xfId="0" applyAlignment="1" applyFont="1">
      <alignment readingOrder="0" vertical="center"/>
    </xf>
    <xf borderId="0" fillId="12" fontId="4" numFmtId="0" xfId="0" applyAlignment="1" applyFont="1">
      <alignment readingOrder="0" vertical="center"/>
    </xf>
    <xf borderId="0" fillId="12" fontId="16" numFmtId="0" xfId="0" applyAlignment="1" applyFont="1">
      <alignment vertical="center"/>
    </xf>
    <xf borderId="16" fillId="6" fontId="14" numFmtId="0" xfId="0" applyAlignment="1" applyBorder="1" applyFont="1">
      <alignment horizontal="center" readingOrder="0" shrinkToFit="0" vertical="center" wrapText="0"/>
    </xf>
    <xf borderId="16" fillId="14" fontId="14" numFmtId="0" xfId="0" applyAlignment="1" applyBorder="1" applyFont="1">
      <alignment readingOrder="0" shrinkToFit="0" vertical="bottom" wrapText="0"/>
    </xf>
    <xf borderId="0" fillId="0" fontId="14" numFmtId="0" xfId="0" applyAlignment="1" applyFont="1">
      <alignment readingOrder="0" shrinkToFit="0" vertical="bottom" wrapText="0"/>
    </xf>
    <xf borderId="60" fillId="0" fontId="3" numFmtId="0" xfId="0" applyAlignment="1" applyBorder="1" applyFont="1">
      <alignment horizontal="center" shrinkToFit="0" vertical="center" wrapText="1"/>
    </xf>
    <xf borderId="61" fillId="0" fontId="2" numFmtId="0" xfId="0" applyAlignment="1" applyBorder="1" applyFont="1">
      <alignment vertical="center"/>
    </xf>
    <xf borderId="62" fillId="0" fontId="2" numFmtId="0" xfId="0" applyAlignment="1" applyBorder="1" applyFont="1">
      <alignment vertical="center"/>
    </xf>
    <xf borderId="16" fillId="16" fontId="16" numFmtId="0" xfId="0" applyAlignment="1" applyBorder="1" applyFont="1">
      <alignment horizontal="center" readingOrder="0" shrinkToFit="0" vertical="center" wrapText="0"/>
    </xf>
    <xf borderId="16" fillId="18" fontId="21" numFmtId="0" xfId="0" applyAlignment="1" applyBorder="1" applyFont="1">
      <alignment readingOrder="0" shrinkToFit="0" vertical="bottom" wrapText="0"/>
    </xf>
    <xf borderId="63" fillId="0" fontId="26" numFmtId="0" xfId="0" applyAlignment="1" applyBorder="1" applyFont="1">
      <alignment horizontal="center" shrinkToFit="0" vertical="center" wrapText="1"/>
    </xf>
    <xf borderId="64" fillId="0" fontId="2" numFmtId="0" xfId="0" applyAlignment="1" applyBorder="1" applyFont="1">
      <alignment vertical="center"/>
    </xf>
    <xf borderId="63" fillId="0" fontId="3" numFmtId="0" xfId="0" applyAlignment="1" applyBorder="1" applyFont="1">
      <alignment horizontal="left" readingOrder="0" shrinkToFit="0" vertical="center" wrapText="1"/>
    </xf>
    <xf borderId="65" fillId="0" fontId="2" numFmtId="0" xfId="0" applyAlignment="1" applyBorder="1" applyFont="1">
      <alignment vertical="center"/>
    </xf>
    <xf borderId="66" fillId="0" fontId="2" numFmtId="0" xfId="0" applyAlignment="1" applyBorder="1" applyFont="1">
      <alignment vertical="center"/>
    </xf>
    <xf borderId="16" fillId="6" fontId="16" numFmtId="0" xfId="0" applyAlignment="1" applyBorder="1" applyFont="1">
      <alignment horizontal="center" readingOrder="0" shrinkToFit="0" vertical="center" wrapText="0"/>
    </xf>
    <xf borderId="16" fillId="13" fontId="14" numFmtId="0" xfId="0" applyAlignment="1" applyBorder="1" applyFont="1">
      <alignment readingOrder="0" shrinkToFit="0" vertical="center" wrapText="0"/>
    </xf>
    <xf borderId="16" fillId="7" fontId="14" numFmtId="0" xfId="0" applyAlignment="1" applyBorder="1" applyFont="1">
      <alignment shrinkToFit="0" vertical="bottom" wrapText="0"/>
    </xf>
    <xf borderId="16" fillId="11" fontId="16" numFmtId="0" xfId="0" applyAlignment="1" applyBorder="1" applyFont="1">
      <alignment horizontal="center" readingOrder="0" shrinkToFit="0" vertical="center" wrapText="0"/>
    </xf>
    <xf borderId="16" fillId="0" fontId="14" numFmtId="0" xfId="0" applyAlignment="1" applyBorder="1" applyFont="1">
      <alignment shrinkToFit="0" vertical="bottom" wrapText="0"/>
    </xf>
    <xf borderId="16" fillId="13" fontId="16" numFmtId="0" xfId="0" applyAlignment="1" applyBorder="1" applyFont="1">
      <alignment horizontal="center" readingOrder="0" shrinkToFit="0" vertical="center" wrapText="0"/>
    </xf>
    <xf borderId="16" fillId="13" fontId="14" numFmtId="0" xfId="0" applyAlignment="1" applyBorder="1" applyFont="1">
      <alignment shrinkToFit="0" vertical="bottom" wrapText="0"/>
    </xf>
    <xf borderId="46" fillId="19" fontId="16" numFmtId="0" xfId="0" applyAlignment="1" applyBorder="1" applyFill="1" applyFont="1">
      <alignment horizontal="center" shrinkToFit="0" vertical="center" wrapText="1"/>
    </xf>
    <xf borderId="29" fillId="0" fontId="4" numFmtId="0" xfId="0" applyAlignment="1" applyBorder="1" applyFont="1">
      <alignment vertical="bottom"/>
    </xf>
    <xf borderId="29" fillId="0" fontId="3" numFmtId="0" xfId="0" applyAlignment="1" applyBorder="1" applyFont="1">
      <alignment horizontal="left" shrinkToFit="0" vertical="center" wrapText="1"/>
    </xf>
    <xf borderId="35" fillId="7" fontId="4" numFmtId="0" xfId="0" applyAlignment="1" applyBorder="1" applyFont="1">
      <alignment readingOrder="0" vertical="center"/>
    </xf>
    <xf borderId="46" fillId="0" fontId="3" numFmtId="0" xfId="0" applyAlignment="1" applyBorder="1" applyFont="1">
      <alignment horizontal="left" readingOrder="0" shrinkToFit="0" vertical="center" wrapText="1"/>
    </xf>
    <xf borderId="16" fillId="14" fontId="14" numFmtId="0" xfId="0" applyAlignment="1" applyBorder="1" applyFont="1">
      <alignment shrinkToFit="0" vertical="bottom" wrapText="0"/>
    </xf>
    <xf borderId="67" fillId="0" fontId="2" numFmtId="0" xfId="0" applyAlignment="1" applyBorder="1" applyFont="1">
      <alignment vertical="center"/>
    </xf>
    <xf borderId="68" fillId="0" fontId="2" numFmtId="0" xfId="0" applyAlignment="1" applyBorder="1" applyFont="1">
      <alignment vertical="center"/>
    </xf>
    <xf borderId="69" fillId="0" fontId="2" numFmtId="0" xfId="0" applyAlignment="1" applyBorder="1" applyFont="1">
      <alignment vertical="center"/>
    </xf>
    <xf borderId="46" fillId="7" fontId="16" numFmtId="0" xfId="0" applyAlignment="1" applyBorder="1" applyFont="1">
      <alignment horizontal="right" vertical="center"/>
    </xf>
    <xf borderId="70" fillId="0" fontId="26" numFmtId="0" xfId="0" applyAlignment="1" applyBorder="1" applyFont="1">
      <alignment horizontal="center" readingOrder="0" shrinkToFit="0" vertical="center" wrapText="1"/>
    </xf>
    <xf borderId="46" fillId="7" fontId="16" numFmtId="0" xfId="0" applyAlignment="1" applyBorder="1" applyFont="1">
      <alignment readingOrder="0" vertical="center"/>
    </xf>
    <xf borderId="71" fillId="0" fontId="2" numFmtId="0" xfId="0" applyAlignment="1" applyBorder="1" applyFont="1">
      <alignment vertical="center"/>
    </xf>
    <xf borderId="0" fillId="7" fontId="16" numFmtId="0" xfId="0" applyAlignment="1" applyFont="1">
      <alignment readingOrder="0" vertical="center"/>
    </xf>
    <xf borderId="70" fillId="0" fontId="3" numFmtId="0" xfId="0" applyAlignment="1" applyBorder="1" applyFont="1">
      <alignment horizontal="left" readingOrder="0" shrinkToFit="0" vertical="center" wrapText="1"/>
    </xf>
    <xf borderId="0" fillId="7" fontId="16" numFmtId="0" xfId="0" applyAlignment="1" applyFont="1">
      <alignment vertical="center"/>
    </xf>
    <xf borderId="72" fillId="0" fontId="2" numFmtId="0" xfId="0" applyAlignment="1" applyBorder="1" applyFont="1">
      <alignment vertical="center"/>
    </xf>
    <xf borderId="73" fillId="0" fontId="2" numFmtId="0" xfId="0" applyAlignment="1" applyBorder="1" applyFont="1">
      <alignment vertical="center"/>
    </xf>
    <xf borderId="16" fillId="20" fontId="16" numFmtId="0" xfId="0" applyAlignment="1" applyBorder="1" applyFill="1" applyFont="1">
      <alignment horizontal="center" readingOrder="0" shrinkToFit="0" vertical="center" wrapText="0"/>
    </xf>
    <xf borderId="46" fillId="5" fontId="4" numFmtId="0" xfId="0" applyAlignment="1" applyBorder="1" applyFont="1">
      <alignment horizontal="center" readingOrder="0" shrinkToFit="0" vertical="center" wrapText="1"/>
    </xf>
    <xf borderId="16" fillId="6" fontId="14" numFmtId="0" xfId="0" applyAlignment="1" applyBorder="1" applyFont="1">
      <alignment shrinkToFit="0" vertical="bottom" wrapText="0"/>
    </xf>
    <xf borderId="0" fillId="21" fontId="4" numFmtId="0" xfId="0" applyAlignment="1" applyFill="1" applyFont="1">
      <alignment vertical="bottom"/>
    </xf>
    <xf borderId="70" fillId="0" fontId="26" numFmtId="0" xfId="0" applyAlignment="1" applyBorder="1" applyFont="1">
      <alignment horizontal="center" shrinkToFit="0" vertical="center" wrapText="1"/>
    </xf>
    <xf borderId="0" fillId="12" fontId="7" numFmtId="0" xfId="0" applyAlignment="1" applyFont="1">
      <alignment horizontal="center" vertical="center"/>
    </xf>
    <xf borderId="54" fillId="0" fontId="16" numFmtId="0" xfId="0" applyAlignment="1" applyBorder="1" applyFont="1">
      <alignment vertical="bottom"/>
    </xf>
    <xf borderId="1" fillId="2" fontId="37" numFmtId="0" xfId="0" applyAlignment="1" applyBorder="1" applyFont="1">
      <alignment horizontal="center" vertical="bottom"/>
    </xf>
    <xf borderId="36" fillId="7" fontId="16" numFmtId="0" xfId="0" applyAlignment="1" applyBorder="1" applyFont="1">
      <alignment horizontal="right" vertical="center"/>
    </xf>
    <xf borderId="28" fillId="0" fontId="2" numFmtId="0" xfId="0" applyAlignment="1" applyBorder="1" applyFont="1">
      <alignment vertical="center"/>
    </xf>
    <xf borderId="0" fillId="13" fontId="4" numFmtId="0" xfId="0" applyAlignment="1" applyFont="1">
      <alignment readingOrder="0" vertical="center"/>
    </xf>
    <xf borderId="5" fillId="2" fontId="16" numFmtId="0" xfId="0" applyAlignment="1" applyBorder="1" applyFont="1">
      <alignment horizontal="center" shrinkToFit="0" vertical="bottom" wrapText="1"/>
    </xf>
    <xf borderId="0" fillId="16" fontId="4" numFmtId="0" xfId="0" applyAlignment="1" applyFont="1">
      <alignment readingOrder="0" vertical="center"/>
    </xf>
    <xf borderId="0" fillId="12" fontId="38" numFmtId="0" xfId="0" applyAlignment="1" applyFont="1">
      <alignment horizontal="center" vertical="center"/>
    </xf>
    <xf borderId="7" fillId="2" fontId="16" numFmtId="0" xfId="0" applyAlignment="1" applyBorder="1" applyFont="1">
      <alignment horizontal="center" shrinkToFit="0" vertical="bottom" wrapText="1"/>
    </xf>
    <xf borderId="0" fillId="14" fontId="4" numFmtId="0" xfId="0" applyAlignment="1" applyFont="1">
      <alignment readingOrder="0" vertical="center"/>
    </xf>
    <xf borderId="26" fillId="2" fontId="16" numFmtId="0" xfId="0" applyAlignment="1" applyBorder="1" applyFont="1">
      <alignment horizontal="center" vertical="bottom"/>
    </xf>
    <xf borderId="0" fillId="6" fontId="4" numFmtId="0" xfId="0" applyAlignment="1" applyFont="1">
      <alignment readingOrder="0" vertical="center"/>
    </xf>
    <xf borderId="0" fillId="14" fontId="4" numFmtId="0" xfId="0" applyAlignment="1" applyFont="1">
      <alignment vertical="center"/>
    </xf>
    <xf borderId="0" fillId="19" fontId="4" numFmtId="0" xfId="0" applyAlignment="1" applyFont="1">
      <alignment readingOrder="0" vertical="center"/>
    </xf>
    <xf borderId="15" fillId="0" fontId="4" numFmtId="0" xfId="0" applyAlignment="1" applyBorder="1" applyFont="1">
      <alignment vertical="bottom"/>
    </xf>
    <xf borderId="59" fillId="0" fontId="4" numFmtId="0" xfId="0" applyAlignment="1" applyBorder="1" applyFont="1">
      <alignment vertical="bottom"/>
    </xf>
    <xf borderId="13" fillId="2" fontId="16" numFmtId="0" xfId="0" applyAlignment="1" applyBorder="1" applyFont="1">
      <alignment horizontal="center" vertical="bottom"/>
    </xf>
    <xf borderId="0" fillId="12" fontId="4" numFmtId="0" xfId="0" applyAlignment="1" applyFont="1">
      <alignment horizontal="left" vertical="center"/>
    </xf>
    <xf borderId="21" fillId="0" fontId="16" numFmtId="0" xfId="0" applyAlignment="1" applyBorder="1" applyFont="1">
      <alignment horizontal="center" vertical="bottom"/>
    </xf>
    <xf borderId="0" fillId="22" fontId="4" numFmtId="0" xfId="0" applyAlignment="1" applyFill="1" applyFont="1">
      <alignment horizontal="left" vertical="center"/>
    </xf>
    <xf borderId="16" fillId="13" fontId="14" numFmtId="0" xfId="0" applyAlignment="1" applyBorder="1" applyFont="1">
      <alignment shrinkToFit="0" vertical="bottom" wrapText="0"/>
    </xf>
    <xf borderId="0" fillId="0" fontId="6" numFmtId="0" xfId="0" applyAlignment="1" applyFont="1">
      <alignment readingOrder="0" vertical="center"/>
    </xf>
    <xf borderId="2" fillId="2" fontId="16" numFmtId="0" xfId="0" applyAlignment="1" applyBorder="1" applyFont="1">
      <alignment horizontal="center" vertical="bottom"/>
    </xf>
    <xf borderId="0" fillId="23" fontId="4" numFmtId="0" xfId="0" applyAlignment="1" applyFill="1" applyFont="1">
      <alignment horizontal="left" vertical="center"/>
    </xf>
    <xf borderId="74" fillId="0" fontId="16" numFmtId="0" xfId="0" applyAlignment="1" applyBorder="1" applyFont="1">
      <alignment horizontal="center" shrinkToFit="0" vertical="bottom" wrapText="1"/>
    </xf>
    <xf borderId="75" fillId="2" fontId="4" numFmtId="0" xfId="0" applyAlignment="1" applyBorder="1" applyFont="1">
      <alignment horizontal="center" vertical="center"/>
    </xf>
    <xf borderId="35" fillId="0" fontId="16" numFmtId="0" xfId="0" applyAlignment="1" applyBorder="1" applyFont="1">
      <alignment vertical="bottom"/>
    </xf>
    <xf borderId="76" fillId="0" fontId="16" numFmtId="165" xfId="0" applyAlignment="1" applyBorder="1" applyFont="1" applyNumberFormat="1">
      <alignment horizontal="center" readingOrder="0" vertical="bottom"/>
    </xf>
    <xf borderId="77" fillId="2" fontId="39" numFmtId="0" xfId="0" applyAlignment="1" applyBorder="1" applyFont="1">
      <alignment horizontal="center" vertical="center"/>
    </xf>
    <xf borderId="29" fillId="7" fontId="16" numFmtId="0" xfId="0" applyAlignment="1" applyBorder="1" applyFont="1">
      <alignment vertical="center"/>
    </xf>
    <xf borderId="76" fillId="2" fontId="16" numFmtId="0" xfId="0" applyAlignment="1" applyBorder="1" applyFont="1">
      <alignment horizontal="center" vertical="bottom"/>
    </xf>
    <xf borderId="77" fillId="2" fontId="4" numFmtId="0" xfId="0" applyAlignment="1" applyBorder="1" applyFont="1">
      <alignment horizontal="center" vertical="center"/>
    </xf>
    <xf borderId="46" fillId="7" fontId="16" numFmtId="0" xfId="0" applyAlignment="1" applyBorder="1" applyFont="1">
      <alignment vertical="center"/>
    </xf>
    <xf borderId="76" fillId="0" fontId="16" numFmtId="0" xfId="0" applyAlignment="1" applyBorder="1" applyFont="1">
      <alignment horizontal="center" vertical="bottom"/>
    </xf>
    <xf borderId="78" fillId="2" fontId="4" numFmtId="0" xfId="0" applyAlignment="1" applyBorder="1" applyFont="1">
      <alignment horizontal="center" vertical="center"/>
    </xf>
    <xf borderId="60" fillId="4" fontId="4" numFmtId="0" xfId="0" applyAlignment="1" applyBorder="1" applyFont="1">
      <alignment horizontal="center" shrinkToFit="0" vertical="center" wrapText="1"/>
    </xf>
    <xf borderId="79" fillId="2" fontId="4" numFmtId="0" xfId="0" applyAlignment="1" applyBorder="1" applyFont="1">
      <alignment horizontal="center" vertical="center"/>
    </xf>
    <xf borderId="74" fillId="0" fontId="16" numFmtId="0" xfId="0" applyAlignment="1" applyBorder="1" applyFont="1">
      <alignment horizontal="center" shrinkToFit="0" vertical="bottom" wrapText="1"/>
    </xf>
    <xf borderId="27" fillId="0" fontId="4" numFmtId="0" xfId="0" applyAlignment="1" applyBorder="1" applyFont="1">
      <alignment horizontal="center" vertical="bottom"/>
    </xf>
    <xf borderId="48" fillId="0" fontId="2" numFmtId="0" xfId="0" applyAlignment="1" applyBorder="1" applyFont="1">
      <alignment vertical="center"/>
    </xf>
    <xf borderId="16" fillId="10" fontId="9" numFmtId="0" xfId="0" applyAlignment="1" applyBorder="1" applyFont="1">
      <alignment shrinkToFit="0" vertical="bottom" wrapText="0"/>
    </xf>
    <xf borderId="54" fillId="21" fontId="4" numFmtId="0" xfId="0" applyAlignment="1" applyBorder="1" applyFont="1">
      <alignment horizontal="center" vertical="bottom"/>
    </xf>
    <xf borderId="0" fillId="12" fontId="14" numFmtId="0" xfId="0" applyAlignment="1" applyFont="1">
      <alignment horizontal="center" readingOrder="0" shrinkToFit="0" vertical="bottom" wrapText="0"/>
    </xf>
    <xf borderId="54" fillId="0" fontId="4" numFmtId="0" xfId="0" applyAlignment="1" applyBorder="1" applyFont="1">
      <alignment horizontal="center" vertical="bottom"/>
    </xf>
    <xf borderId="80" fillId="2" fontId="16" numFmtId="0" xfId="0" applyAlignment="1" applyBorder="1" applyFont="1">
      <alignment horizontal="center" vertical="bottom"/>
    </xf>
    <xf borderId="0" fillId="0" fontId="4" numFmtId="0" xfId="0" applyAlignment="1" applyFont="1">
      <alignment horizontal="center" vertical="bottom"/>
    </xf>
    <xf borderId="35" fillId="2" fontId="16" numFmtId="0" xfId="0" applyAlignment="1" applyBorder="1" applyFont="1">
      <alignment horizontal="center" vertical="bottom"/>
    </xf>
    <xf borderId="46" fillId="0" fontId="4" numFmtId="0" xfId="0" applyAlignment="1" applyBorder="1" applyFont="1">
      <alignment vertical="center"/>
    </xf>
    <xf borderId="57" fillId="2" fontId="16" numFmtId="0" xfId="0" applyAlignment="1" applyBorder="1" applyFont="1">
      <alignment horizontal="center" vertical="bottom"/>
    </xf>
    <xf borderId="34" fillId="7" fontId="40" numFmtId="0" xfId="0" applyAlignment="1" applyBorder="1" applyFont="1">
      <alignment vertical="center"/>
    </xf>
    <xf borderId="20" fillId="2" fontId="16" numFmtId="0" xfId="0" applyAlignment="1" applyBorder="1" applyFont="1">
      <alignment horizontal="center" vertical="bottom"/>
    </xf>
    <xf borderId="27" fillId="0" fontId="4" numFmtId="0" xfId="0" applyAlignment="1" applyBorder="1" applyFont="1">
      <alignment horizontal="center" vertical="center"/>
    </xf>
    <xf borderId="36" fillId="0" fontId="4" numFmtId="0" xfId="0" applyAlignment="1" applyBorder="1" applyFont="1">
      <alignment vertical="center"/>
    </xf>
    <xf borderId="29" fillId="2" fontId="16" numFmtId="0" xfId="0" applyAlignment="1" applyBorder="1" applyFont="1">
      <alignment horizontal="center" vertical="bottom"/>
    </xf>
    <xf borderId="54" fillId="21" fontId="4" numFmtId="0" xfId="0" applyAlignment="1" applyBorder="1" applyFont="1">
      <alignment horizontal="center" vertical="center"/>
    </xf>
    <xf borderId="63" fillId="0" fontId="3" numFmtId="0" xfId="0" applyAlignment="1" applyBorder="1" applyFont="1">
      <alignment horizontal="left" readingOrder="0" shrinkToFit="0" vertical="center" wrapText="1"/>
    </xf>
    <xf borderId="27" fillId="12" fontId="16" numFmtId="0" xfId="0" applyAlignment="1" applyBorder="1" applyFont="1">
      <alignment readingOrder="0" vertical="bottom"/>
    </xf>
    <xf borderId="36" fillId="12" fontId="16" numFmtId="0" xfId="0" applyAlignment="1" applyBorder="1" applyFont="1">
      <alignment horizontal="right" readingOrder="0" vertical="bottom"/>
    </xf>
    <xf borderId="16" fillId="6" fontId="41" numFmtId="0" xfId="0" applyAlignment="1" applyBorder="1" applyFont="1">
      <alignment horizontal="center" readingOrder="0" shrinkToFit="0" vertical="center" wrapText="0"/>
    </xf>
    <xf borderId="36" fillId="12" fontId="16" numFmtId="166" xfId="0" applyAlignment="1" applyBorder="1" applyFont="1" applyNumberFormat="1">
      <alignment horizontal="right" readingOrder="0" vertical="bottom"/>
    </xf>
    <xf borderId="16" fillId="0" fontId="18" numFmtId="0" xfId="0" applyAlignment="1" applyBorder="1" applyFont="1">
      <alignment shrinkToFit="0" vertical="bottom" wrapText="0"/>
    </xf>
    <xf borderId="44" fillId="0" fontId="4" numFmtId="0" xfId="0" applyAlignment="1" applyBorder="1" applyFont="1">
      <alignment vertical="center"/>
    </xf>
    <xf borderId="16" fillId="11" fontId="18" numFmtId="0" xfId="0" applyAlignment="1" applyBorder="1" applyFont="1">
      <alignment shrinkToFit="0" vertical="bottom" wrapText="0"/>
    </xf>
    <xf borderId="32" fillId="0" fontId="3" numFmtId="0" xfId="0" applyAlignment="1" applyBorder="1" applyFont="1">
      <alignment horizontal="left" readingOrder="0" shrinkToFit="0" vertical="center" wrapText="1"/>
    </xf>
    <xf borderId="0" fillId="0" fontId="18" numFmtId="0" xfId="0" applyAlignment="1" applyFont="1">
      <alignment readingOrder="0" shrinkToFit="0" vertical="bottom" wrapText="0"/>
    </xf>
    <xf borderId="60" fillId="7" fontId="7" numFmtId="0" xfId="0" applyAlignment="1" applyBorder="1" applyFont="1">
      <alignment horizontal="center" shrinkToFit="0" vertical="center" wrapText="1"/>
    </xf>
    <xf borderId="46" fillId="0" fontId="4" numFmtId="0" xfId="0" applyAlignment="1" applyBorder="1" applyFont="1">
      <alignment readingOrder="0" vertical="center"/>
    </xf>
    <xf borderId="60" fillId="5" fontId="4" numFmtId="0" xfId="0" applyAlignment="1" applyBorder="1" applyFont="1">
      <alignment horizontal="center" shrinkToFit="0" vertical="center" wrapText="1"/>
    </xf>
    <xf borderId="63" fillId="0" fontId="42" numFmtId="0" xfId="0" applyAlignment="1" applyBorder="1" applyFont="1">
      <alignment horizontal="center" shrinkToFit="0" vertical="center" wrapText="1"/>
    </xf>
    <xf borderId="16" fillId="15" fontId="14" numFmtId="0" xfId="0" applyAlignment="1" applyBorder="1" applyFont="1">
      <alignment readingOrder="0" shrinkToFit="0" vertical="bottom" wrapText="0"/>
    </xf>
    <xf borderId="36" fillId="12" fontId="16" numFmtId="166" xfId="0" applyAlignment="1" applyBorder="1" applyFont="1" applyNumberFormat="1">
      <alignment horizontal="right" vertical="bottom"/>
    </xf>
    <xf borderId="36" fillId="12" fontId="16" numFmtId="0" xfId="0" applyAlignment="1" applyBorder="1" applyFont="1">
      <alignment vertical="bottom"/>
    </xf>
    <xf borderId="0" fillId="12" fontId="4" numFmtId="0" xfId="0" applyAlignment="1" applyFont="1">
      <alignment vertical="bottom"/>
    </xf>
    <xf borderId="16" fillId="14" fontId="16" numFmtId="0" xfId="0" applyAlignment="1" applyBorder="1" applyFont="1">
      <alignment horizontal="center" readingOrder="0" shrinkToFit="0" vertical="center" wrapText="0"/>
    </xf>
    <xf borderId="16" fillId="16" fontId="14" numFmtId="0" xfId="0" applyAlignment="1" applyBorder="1" applyFont="1">
      <alignment readingOrder="0" shrinkToFit="0" vertical="bottom" wrapText="0"/>
    </xf>
    <xf borderId="27" fillId="14" fontId="16" numFmtId="0" xfId="0" applyAlignment="1" applyBorder="1" applyFont="1">
      <alignment readingOrder="0" vertical="bottom"/>
    </xf>
    <xf borderId="16" fillId="18" fontId="14" numFmtId="0" xfId="0" applyAlignment="1" applyBorder="1" applyFont="1">
      <alignment readingOrder="0" shrinkToFit="0" vertical="center" wrapText="0"/>
    </xf>
    <xf borderId="36" fillId="14" fontId="16" numFmtId="0" xfId="0" applyAlignment="1" applyBorder="1" applyFont="1">
      <alignment horizontal="right" readingOrder="0" vertical="bottom"/>
    </xf>
    <xf borderId="32" fillId="0" fontId="42" numFmtId="0" xfId="0" applyAlignment="1" applyBorder="1" applyFont="1">
      <alignment horizontal="center" shrinkToFit="0" vertical="center" wrapText="1"/>
    </xf>
    <xf borderId="36" fillId="14" fontId="16" numFmtId="166" xfId="0" applyAlignment="1" applyBorder="1" applyFont="1" applyNumberFormat="1">
      <alignment horizontal="right" readingOrder="0" vertical="bottom"/>
    </xf>
    <xf borderId="36" fillId="0" fontId="4" numFmtId="0" xfId="0" applyAlignment="1" applyBorder="1" applyFont="1">
      <alignment readingOrder="0" vertical="center"/>
    </xf>
    <xf borderId="36" fillId="14" fontId="16" numFmtId="166" xfId="0" applyAlignment="1" applyBorder="1" applyFont="1" applyNumberFormat="1">
      <alignment horizontal="right" vertical="bottom"/>
    </xf>
    <xf borderId="44" fillId="0" fontId="43" numFmtId="0" xfId="0" applyAlignment="1" applyBorder="1" applyFont="1">
      <alignment vertical="center"/>
    </xf>
    <xf borderId="36" fillId="14" fontId="16" numFmtId="0" xfId="0" applyAlignment="1" applyBorder="1" applyFont="1">
      <alignment vertical="bottom"/>
    </xf>
    <xf borderId="0" fillId="14" fontId="4" numFmtId="0" xfId="0" applyAlignment="1" applyFont="1">
      <alignment vertical="bottom"/>
    </xf>
    <xf borderId="54" fillId="14" fontId="4" numFmtId="0" xfId="0" applyAlignment="1" applyBorder="1" applyFont="1">
      <alignment horizontal="center" vertical="center"/>
    </xf>
    <xf borderId="27" fillId="12" fontId="16" numFmtId="0" xfId="0" applyAlignment="1" applyBorder="1" applyFont="1">
      <alignment vertical="bottom"/>
    </xf>
    <xf borderId="16" fillId="13" fontId="14" numFmtId="0" xfId="0" applyAlignment="1" applyBorder="1" applyFont="1">
      <alignment readingOrder="0" shrinkToFit="0" vertical="bottom" wrapText="0"/>
    </xf>
    <xf borderId="46" fillId="12" fontId="4" numFmtId="0" xfId="0" applyAlignment="1" applyBorder="1" applyFont="1">
      <alignment vertical="center"/>
    </xf>
    <xf borderId="0" fillId="0" fontId="42" numFmtId="0" xfId="0" applyAlignment="1" applyFont="1">
      <alignment vertical="center"/>
    </xf>
    <xf borderId="42" fillId="0" fontId="42" numFmtId="0" xfId="0" applyAlignment="1" applyBorder="1" applyFont="1">
      <alignment horizontal="center" shrinkToFit="0" vertical="center" wrapText="1"/>
    </xf>
    <xf borderId="46" fillId="0" fontId="6" numFmtId="0" xfId="0" applyAlignment="1" applyBorder="1" applyFont="1">
      <alignment vertical="center"/>
    </xf>
    <xf borderId="36" fillId="14" fontId="16" numFmtId="0" xfId="0" applyAlignment="1" applyBorder="1" applyFont="1">
      <alignment readingOrder="0" vertical="bottom"/>
    </xf>
    <xf borderId="0" fillId="14" fontId="44" numFmtId="0" xfId="0" applyAlignment="1" applyFont="1">
      <alignment vertical="bottom"/>
    </xf>
    <xf borderId="74" fillId="0" fontId="3" numFmtId="0" xfId="0" applyAlignment="1" applyBorder="1" applyFont="1">
      <alignment horizontal="center" shrinkToFit="0" vertical="center" wrapText="1"/>
    </xf>
    <xf borderId="46" fillId="12" fontId="7" numFmtId="0" xfId="0" applyAlignment="1" applyBorder="1" applyFont="1">
      <alignment readingOrder="0" vertical="center"/>
    </xf>
    <xf borderId="27" fillId="7" fontId="16" numFmtId="0" xfId="0" applyAlignment="1" applyBorder="1" applyFont="1">
      <alignment vertical="bottom"/>
    </xf>
    <xf borderId="36" fillId="7" fontId="16" numFmtId="0" xfId="0" applyAlignment="1" applyBorder="1" applyFont="1">
      <alignment horizontal="right" vertical="bottom"/>
    </xf>
    <xf borderId="36" fillId="7" fontId="16" numFmtId="166" xfId="0" applyAlignment="1" applyBorder="1" applyFont="1" applyNumberFormat="1">
      <alignment horizontal="right" vertical="bottom"/>
    </xf>
    <xf borderId="0" fillId="12" fontId="4" numFmtId="0" xfId="0" applyAlignment="1" applyFont="1">
      <alignment horizontal="center" vertical="center"/>
    </xf>
    <xf borderId="21" fillId="0" fontId="26" numFmtId="0" xfId="0" applyAlignment="1" applyBorder="1" applyFont="1">
      <alignment horizontal="center" shrinkToFit="0" vertical="center" wrapText="1"/>
    </xf>
    <xf borderId="36" fillId="0" fontId="16" numFmtId="0" xfId="0" applyAlignment="1" applyBorder="1" applyFont="1">
      <alignment vertical="bottom"/>
    </xf>
    <xf borderId="21" fillId="0" fontId="3" numFmtId="0" xfId="0" applyAlignment="1" applyBorder="1" applyFont="1">
      <alignment horizontal="left" shrinkToFit="0" vertical="center" wrapText="1"/>
    </xf>
    <xf borderId="0" fillId="12" fontId="7" numFmtId="0" xfId="0" applyAlignment="1" applyFont="1">
      <alignment vertical="center"/>
    </xf>
    <xf borderId="16" fillId="10" fontId="23" numFmtId="0" xfId="0" applyAlignment="1" applyBorder="1" applyFont="1">
      <alignment horizontal="center" readingOrder="0" shrinkToFit="0" vertical="center" wrapText="0"/>
    </xf>
    <xf borderId="16" fillId="10" fontId="14" numFmtId="0" xfId="0" applyAlignment="1" applyBorder="1" applyFont="1">
      <alignment shrinkToFit="0" vertical="bottom" wrapText="0"/>
    </xf>
    <xf borderId="27" fillId="0" fontId="2" numFmtId="0" xfId="0" applyAlignment="1" applyBorder="1" applyFont="1">
      <alignment vertical="center"/>
    </xf>
    <xf borderId="0" fillId="10" fontId="14" numFmtId="0" xfId="0" applyAlignment="1" applyFont="1">
      <alignment horizontal="center" readingOrder="0" shrinkToFit="0" vertical="bottom" wrapText="0"/>
    </xf>
    <xf borderId="54" fillId="22" fontId="45" numFmtId="0" xfId="0" applyAlignment="1" applyBorder="1" applyFont="1">
      <alignment horizontal="center" vertical="center"/>
    </xf>
    <xf borderId="49" fillId="0" fontId="3" numFmtId="0" xfId="0" applyAlignment="1" applyBorder="1" applyFont="1">
      <alignment horizontal="center" shrinkToFit="0" vertical="center" wrapText="1"/>
    </xf>
    <xf borderId="0" fillId="0" fontId="46" numFmtId="0" xfId="0" applyAlignment="1" applyFont="1">
      <alignment vertical="bottom"/>
    </xf>
    <xf borderId="36" fillId="7" fontId="16" numFmtId="0" xfId="0" applyAlignment="1" applyBorder="1" applyFont="1">
      <alignment horizontal="right" readingOrder="0" vertical="bottom"/>
    </xf>
    <xf borderId="54" fillId="21" fontId="22" numFmtId="0" xfId="0" applyAlignment="1" applyBorder="1" applyFont="1">
      <alignment horizontal="center" vertical="center"/>
    </xf>
    <xf borderId="16" fillId="13" fontId="23" numFmtId="0" xfId="0" applyAlignment="1" applyBorder="1" applyFont="1">
      <alignment horizontal="center" readingOrder="0" shrinkToFit="0" vertical="center" wrapText="0"/>
    </xf>
    <xf borderId="36" fillId="7" fontId="16" numFmtId="0" xfId="0" applyAlignment="1" applyBorder="1" applyFont="1">
      <alignment vertical="bottom"/>
    </xf>
    <xf borderId="46" fillId="0" fontId="16" numFmtId="0" xfId="0" applyAlignment="1" applyBorder="1" applyFont="1">
      <alignment horizontal="center" shrinkToFit="0" vertical="center" wrapText="1"/>
    </xf>
    <xf borderId="46" fillId="19" fontId="4" numFmtId="0" xfId="0" applyAlignment="1" applyBorder="1" applyFont="1">
      <alignment horizontal="center" shrinkToFit="0" vertical="center" wrapText="1"/>
    </xf>
    <xf borderId="20" fillId="0" fontId="4" numFmtId="0" xfId="0" applyAlignment="1" applyBorder="1" applyFont="1">
      <alignment vertical="center"/>
    </xf>
    <xf borderId="20" fillId="7" fontId="4" numFmtId="0" xfId="0" applyAlignment="1" applyBorder="1" applyFont="1">
      <alignment vertical="center"/>
    </xf>
    <xf borderId="0" fillId="7" fontId="47" numFmtId="0" xfId="0" applyAlignment="1" applyFont="1">
      <alignment vertical="bottom"/>
    </xf>
    <xf borderId="54" fillId="23" fontId="4" numFmtId="0" xfId="0" applyAlignment="1" applyBorder="1" applyFont="1">
      <alignment horizontal="center" vertical="center"/>
    </xf>
    <xf borderId="27" fillId="7" fontId="16" numFmtId="0" xfId="0" applyAlignment="1" applyBorder="1" applyFont="1">
      <alignment readingOrder="0" vertical="bottom"/>
    </xf>
    <xf borderId="36" fillId="7" fontId="16" numFmtId="166" xfId="0" applyAlignment="1" applyBorder="1" applyFont="1" applyNumberFormat="1">
      <alignment horizontal="right" readingOrder="0" vertical="bottom"/>
    </xf>
    <xf borderId="16" fillId="20" fontId="23" numFmtId="0" xfId="0" applyAlignment="1" applyBorder="1" applyFont="1">
      <alignment horizontal="center" readingOrder="0" shrinkToFit="0" vertical="center" wrapText="0"/>
    </xf>
    <xf borderId="54" fillId="23" fontId="48" numFmtId="0" xfId="0" applyAlignment="1" applyBorder="1" applyFont="1">
      <alignment horizontal="center" vertical="center"/>
    </xf>
    <xf borderId="46" fillId="19" fontId="16" numFmtId="0" xfId="0" applyAlignment="1" applyBorder="1" applyFont="1">
      <alignment horizontal="center" readingOrder="0" shrinkToFit="0" vertical="center" wrapText="1"/>
    </xf>
    <xf borderId="60" fillId="0" fontId="3" numFmtId="0" xfId="0" applyAlignment="1" applyBorder="1" applyFont="1">
      <alignment horizontal="center" readingOrder="0" shrinkToFit="0" vertical="center" wrapText="1"/>
    </xf>
    <xf borderId="46" fillId="0" fontId="49" numFmtId="0" xfId="0" applyAlignment="1" applyBorder="1" applyFont="1">
      <alignment vertical="center"/>
    </xf>
    <xf borderId="39" fillId="0" fontId="7" numFmtId="0" xfId="0" applyAlignment="1" applyBorder="1" applyFont="1">
      <alignment shrinkToFit="0" vertical="center" wrapText="1"/>
    </xf>
    <xf borderId="0" fillId="7" fontId="50" numFmtId="0" xfId="0" applyAlignment="1" applyFont="1">
      <alignment vertical="bottom"/>
    </xf>
    <xf borderId="63" fillId="0" fontId="3" numFmtId="0" xfId="0" applyAlignment="1" applyBorder="1" applyFont="1">
      <alignment horizontal="left" shrinkToFit="0" vertical="center" wrapText="1"/>
    </xf>
    <xf borderId="0" fillId="0" fontId="6" numFmtId="0" xfId="0" applyAlignment="1" applyFont="1">
      <alignment readingOrder="0" vertical="bottom"/>
    </xf>
    <xf borderId="54" fillId="0" fontId="7" numFmtId="0" xfId="0" applyAlignment="1" applyBorder="1" applyFont="1">
      <alignment readingOrder="0" vertical="center"/>
    </xf>
    <xf borderId="54" fillId="0" fontId="49" numFmtId="0" xfId="0" applyAlignment="1" applyBorder="1" applyFont="1">
      <alignment horizontal="center" vertical="center"/>
    </xf>
    <xf borderId="46" fillId="0" fontId="49" numFmtId="0" xfId="0" applyAlignment="1" applyBorder="1" applyFont="1">
      <alignment horizontal="center" vertical="center"/>
    </xf>
    <xf borderId="54" fillId="0" fontId="6" numFmtId="0" xfId="0" applyAlignment="1" applyBorder="1" applyFont="1">
      <alignment vertical="bottom"/>
    </xf>
    <xf borderId="54" fillId="22" fontId="4" numFmtId="0" xfId="0" applyAlignment="1" applyBorder="1" applyFont="1">
      <alignment horizontal="center" vertical="center"/>
    </xf>
    <xf borderId="36" fillId="0" fontId="7" numFmtId="0" xfId="0" applyAlignment="1" applyBorder="1" applyFont="1">
      <alignment vertical="center"/>
    </xf>
    <xf borderId="0" fillId="0" fontId="51" numFmtId="0" xfId="0" applyAlignment="1" applyFont="1">
      <alignment readingOrder="0" vertical="bottom"/>
    </xf>
    <xf borderId="16" fillId="13" fontId="21" numFmtId="0" xfId="0" applyAlignment="1" applyBorder="1" applyFont="1">
      <alignment readingOrder="0" shrinkToFit="0" vertical="bottom" wrapText="0"/>
    </xf>
    <xf borderId="54" fillId="21" fontId="45" numFmtId="0" xfId="0" applyAlignment="1" applyBorder="1" applyFont="1">
      <alignment horizontal="center" vertical="center"/>
    </xf>
    <xf borderId="36" fillId="0" fontId="7" numFmtId="0" xfId="0" applyAlignment="1" applyBorder="1" applyFont="1">
      <alignment readingOrder="0" vertical="center"/>
    </xf>
    <xf borderId="54" fillId="21" fontId="52" numFmtId="0" xfId="0" applyAlignment="1" applyBorder="1" applyFont="1">
      <alignment horizontal="center" vertical="center"/>
    </xf>
    <xf borderId="16" fillId="16" fontId="23" numFmtId="0" xfId="0" applyAlignment="1" applyBorder="1" applyFont="1">
      <alignment horizontal="center" readingOrder="0" shrinkToFit="0" vertical="center" wrapText="0"/>
    </xf>
    <xf borderId="16" fillId="16" fontId="14" numFmtId="0" xfId="0" applyAlignment="1" applyBorder="1" applyFont="1">
      <alignment shrinkToFit="0" vertical="bottom" wrapText="0"/>
    </xf>
    <xf borderId="0" fillId="0" fontId="7" numFmtId="0" xfId="0" applyAlignment="1" applyFont="1">
      <alignment horizontal="center" vertical="center"/>
    </xf>
    <xf quotePrefix="1" borderId="44" fillId="0" fontId="4" numFmtId="0" xfId="0" applyAlignment="1" applyBorder="1" applyFont="1">
      <alignment vertical="center"/>
    </xf>
    <xf borderId="16" fillId="16" fontId="23" numFmtId="0" xfId="0" applyAlignment="1" applyBorder="1" applyFont="1">
      <alignment horizontal="center" shrinkToFit="0" vertical="center" wrapText="0"/>
    </xf>
    <xf borderId="46" fillId="4" fontId="4" numFmtId="0" xfId="0" applyAlignment="1" applyBorder="1" applyFont="1">
      <alignment horizontal="center" readingOrder="0" shrinkToFit="0" vertical="center" wrapText="1"/>
    </xf>
    <xf borderId="16" fillId="11" fontId="23" numFmtId="0" xfId="0" applyAlignment="1" applyBorder="1" applyFont="1">
      <alignment horizontal="center" readingOrder="0" shrinkToFit="0" vertical="center" wrapText="0"/>
    </xf>
    <xf borderId="0" fillId="7" fontId="53" numFmtId="3" xfId="0" applyAlignment="1" applyFont="1" applyNumberFormat="1">
      <alignment vertical="bottom"/>
    </xf>
    <xf borderId="29" fillId="0" fontId="3" numFmtId="0" xfId="0" applyAlignment="1" applyBorder="1" applyFont="1">
      <alignment horizontal="left" readingOrder="0" shrinkToFit="0" vertical="center" wrapText="1"/>
    </xf>
    <xf borderId="35" fillId="24" fontId="4" numFmtId="0" xfId="0" applyAlignment="1" applyBorder="1" applyFill="1" applyFont="1">
      <alignment readingOrder="0" vertical="bottom"/>
    </xf>
    <xf borderId="57" fillId="0" fontId="7" numFmtId="0" xfId="0" applyAlignment="1" applyBorder="1" applyFont="1">
      <alignment vertical="center"/>
    </xf>
    <xf borderId="20" fillId="0" fontId="4" numFmtId="0" xfId="0" applyAlignment="1" applyBorder="1" applyFont="1">
      <alignment readingOrder="0" vertical="center"/>
    </xf>
    <xf borderId="0" fillId="0" fontId="23" numFmtId="0" xfId="0" applyAlignment="1" applyFont="1">
      <alignment vertical="bottom"/>
    </xf>
    <xf borderId="70" fillId="0" fontId="3" numFmtId="0" xfId="0" applyAlignment="1" applyBorder="1" applyFont="1">
      <alignment horizontal="left" readingOrder="0" shrinkToFit="0" vertical="center" wrapText="1"/>
    </xf>
    <xf borderId="54" fillId="21" fontId="6" numFmtId="0" xfId="0" applyAlignment="1" applyBorder="1" applyFont="1">
      <alignment horizontal="center" vertical="center"/>
    </xf>
    <xf borderId="46" fillId="7" fontId="16" numFmtId="0" xfId="0" applyAlignment="1" applyBorder="1" applyFont="1">
      <alignment horizontal="center" readingOrder="0" shrinkToFit="0" vertical="center" wrapText="1"/>
    </xf>
    <xf borderId="16" fillId="14" fontId="23" numFmtId="0" xfId="0" applyAlignment="1" applyBorder="1" applyFont="1">
      <alignment horizontal="center" readingOrder="0" shrinkToFit="0" vertical="center" wrapText="0"/>
    </xf>
    <xf borderId="46" fillId="5" fontId="4" numFmtId="0" xfId="0" applyAlignment="1" applyBorder="1" applyFont="1">
      <alignment horizontal="center" shrinkToFit="0" vertical="center" wrapText="1"/>
    </xf>
    <xf borderId="46" fillId="7" fontId="4" numFmtId="0" xfId="0" applyAlignment="1" applyBorder="1" applyFont="1">
      <alignment horizontal="center" shrinkToFit="0" vertical="center" wrapText="1"/>
    </xf>
    <xf borderId="54" fillId="5" fontId="4" numFmtId="0" xfId="0" applyAlignment="1" applyBorder="1" applyFont="1">
      <alignment horizontal="center" readingOrder="0" shrinkToFit="0" vertical="center" wrapText="1"/>
    </xf>
    <xf borderId="43" fillId="0" fontId="4" numFmtId="0" xfId="0" applyAlignment="1" applyBorder="1" applyFont="1">
      <alignment vertical="center"/>
    </xf>
    <xf borderId="48" fillId="21" fontId="4" numFmtId="0" xfId="0" applyAlignment="1" applyBorder="1" applyFont="1">
      <alignment horizontal="center" vertical="center"/>
    </xf>
    <xf borderId="16" fillId="19" fontId="21" numFmtId="0" xfId="0" applyAlignment="1" applyBorder="1" applyFont="1">
      <alignment readingOrder="0" shrinkToFit="0" vertical="bottom" wrapText="0"/>
    </xf>
    <xf borderId="48" fillId="0" fontId="4" numFmtId="0" xfId="0" applyAlignment="1" applyBorder="1" applyFont="1">
      <alignment horizontal="center" vertical="center"/>
    </xf>
    <xf borderId="52" fillId="0" fontId="4" numFmtId="0" xfId="0" applyAlignment="1" applyBorder="1" applyFont="1">
      <alignment horizontal="center" vertical="center"/>
    </xf>
    <xf borderId="52" fillId="0" fontId="4" numFmtId="0" xfId="0" applyAlignment="1" applyBorder="1" applyFont="1">
      <alignment vertical="center"/>
    </xf>
    <xf borderId="81" fillId="0" fontId="4" numFmtId="0" xfId="0" applyAlignment="1" applyBorder="1" applyFont="1">
      <alignment vertical="center"/>
    </xf>
    <xf borderId="76" fillId="2" fontId="54" numFmtId="0" xfId="0" applyAlignment="1" applyBorder="1" applyFont="1">
      <alignment horizontal="center" vertical="bottom"/>
    </xf>
    <xf borderId="74" fillId="2" fontId="16" numFmtId="0" xfId="0" applyAlignment="1" applyBorder="1" applyFont="1">
      <alignment horizontal="center" vertical="bottom"/>
    </xf>
    <xf borderId="55" fillId="2" fontId="16" numFmtId="0" xfId="0" applyAlignment="1" applyBorder="1" applyFont="1">
      <alignment horizontal="center" vertical="bottom"/>
    </xf>
    <xf borderId="52" fillId="0" fontId="16" numFmtId="0" xfId="0" applyAlignment="1" applyBorder="1" applyFont="1">
      <alignment horizontal="center" shrinkToFit="0" vertical="center" wrapText="1"/>
    </xf>
    <xf borderId="16" fillId="19" fontId="14" numFmtId="0" xfId="0" applyAlignment="1" applyBorder="1" applyFont="1">
      <alignment shrinkToFit="0" vertical="bottom" wrapText="0"/>
    </xf>
    <xf borderId="52" fillId="0" fontId="3" numFmtId="0" xfId="0" applyAlignment="1" applyBorder="1" applyFont="1">
      <alignment horizontal="center" shrinkToFit="0" vertical="center" wrapText="1"/>
    </xf>
    <xf borderId="52" fillId="0" fontId="4" numFmtId="0" xfId="0" applyAlignment="1" applyBorder="1" applyFont="1">
      <alignment horizontal="center" shrinkToFit="0" vertical="center" wrapText="1"/>
    </xf>
    <xf borderId="52" fillId="0" fontId="26" numFmtId="0" xfId="0" applyAlignment="1" applyBorder="1" applyFont="1">
      <alignment horizontal="center" shrinkToFit="0" vertical="center" wrapText="1"/>
    </xf>
    <xf borderId="30" fillId="0" fontId="23" numFmtId="0" xfId="0" applyAlignment="1" applyBorder="1" applyFont="1">
      <alignment horizontal="center" vertical="center"/>
    </xf>
    <xf borderId="30" fillId="0" fontId="16" numFmtId="0" xfId="0" applyAlignment="1" applyBorder="1" applyFont="1">
      <alignment horizontal="center" readingOrder="0" vertical="bottom"/>
    </xf>
    <xf borderId="52" fillId="0" fontId="3" numFmtId="0" xfId="0" applyAlignment="1" applyBorder="1" applyFont="1">
      <alignment horizontal="left" readingOrder="0" shrinkToFit="0" vertical="center" wrapText="1"/>
    </xf>
    <xf borderId="30" fillId="0" fontId="16" numFmtId="0" xfId="0" applyAlignment="1" applyBorder="1" applyFont="1">
      <alignment horizontal="center" vertical="bottom"/>
    </xf>
    <xf borderId="0" fillId="0" fontId="3" numFmtId="0" xfId="0" applyAlignment="1" applyFont="1">
      <alignment vertical="center"/>
    </xf>
    <xf borderId="82" fillId="0" fontId="2" numFmtId="0" xfId="0" applyAlignment="1" applyBorder="1" applyFont="1">
      <alignment vertical="center"/>
    </xf>
    <xf borderId="36" fillId="7" fontId="4" numFmtId="0" xfId="0" applyAlignment="1" applyBorder="1" applyFont="1">
      <alignment horizontal="right" vertical="bottom"/>
    </xf>
    <xf borderId="4" fillId="2" fontId="4" numFmtId="0" xfId="0" applyAlignment="1" applyBorder="1" applyFont="1">
      <alignment horizontal="center" vertical="top"/>
    </xf>
    <xf borderId="54" fillId="0" fontId="16" numFmtId="0" xfId="0" applyAlignment="1" applyBorder="1" applyFont="1">
      <alignment horizontal="center" vertical="bottom"/>
    </xf>
    <xf borderId="12" fillId="0" fontId="55" numFmtId="0" xfId="0" applyAlignment="1" applyBorder="1" applyFont="1">
      <alignment horizontal="left" readingOrder="0" shrinkToFit="0" vertical="top" wrapText="1"/>
    </xf>
    <xf borderId="0" fillId="0" fontId="13" numFmtId="0" xfId="0" applyAlignment="1" applyFont="1">
      <alignment vertical="center"/>
    </xf>
    <xf borderId="54" fillId="0" fontId="4" numFmtId="0" xfId="0" applyAlignment="1" applyBorder="1" applyFont="1">
      <alignment horizontal="center" readingOrder="0" vertical="bottom"/>
    </xf>
    <xf borderId="54" fillId="25" fontId="16" numFmtId="0" xfId="0" applyAlignment="1" applyBorder="1" applyFill="1" applyFont="1">
      <alignment horizontal="center" readingOrder="0" vertical="bottom"/>
    </xf>
    <xf borderId="1" fillId="0" fontId="4" numFmtId="0" xfId="0" applyAlignment="1" applyBorder="1" applyFont="1">
      <alignment shrinkToFit="0" vertical="center" wrapText="1"/>
    </xf>
    <xf borderId="36" fillId="7" fontId="4" numFmtId="166" xfId="0" applyAlignment="1" applyBorder="1" applyFont="1" applyNumberFormat="1">
      <alignment vertical="bottom"/>
    </xf>
    <xf borderId="30" fillId="5" fontId="4" numFmtId="0" xfId="0" applyAlignment="1" applyBorder="1" applyFont="1">
      <alignment horizontal="center" readingOrder="0" shrinkToFit="0" vertical="center" wrapText="1"/>
    </xf>
    <xf borderId="54" fillId="0" fontId="4" numFmtId="0" xfId="0" applyAlignment="1" applyBorder="1" applyFont="1">
      <alignment readingOrder="0" shrinkToFit="0" vertical="bottom" wrapText="1"/>
    </xf>
    <xf borderId="2" fillId="0" fontId="3" numFmtId="164" xfId="0" applyAlignment="1" applyBorder="1" applyFont="1" applyNumberFormat="1">
      <alignment vertical="center"/>
    </xf>
    <xf borderId="15" fillId="0" fontId="4" numFmtId="0" xfId="0" applyAlignment="1" applyBorder="1" applyFont="1">
      <alignment vertical="center"/>
    </xf>
    <xf borderId="2" fillId="0" fontId="3" numFmtId="0" xfId="0" applyAlignment="1" applyBorder="1" applyFont="1">
      <alignment vertical="center"/>
    </xf>
    <xf borderId="36" fillId="7" fontId="16" numFmtId="0" xfId="0" applyAlignment="1" applyBorder="1" applyFont="1">
      <alignment readingOrder="0" vertical="bottom"/>
    </xf>
    <xf borderId="43" fillId="0" fontId="4" numFmtId="0" xfId="0" applyAlignment="1" applyBorder="1" applyFont="1">
      <alignment readingOrder="0" vertical="center"/>
    </xf>
    <xf borderId="34" fillId="7" fontId="56" numFmtId="0" xfId="0" applyAlignment="1" applyBorder="1" applyFont="1">
      <alignment vertical="bottom"/>
    </xf>
    <xf borderId="43" fillId="0" fontId="8" numFmtId="0" xfId="0" applyAlignment="1" applyBorder="1" applyFont="1">
      <alignment vertical="center"/>
    </xf>
    <xf borderId="2" fillId="0" fontId="3" numFmtId="0" xfId="0" applyAlignment="1" applyBorder="1" applyFont="1">
      <alignment shrinkToFit="0" vertical="center" wrapText="1"/>
    </xf>
    <xf borderId="2" fillId="0" fontId="57" numFmtId="0" xfId="0" applyAlignment="1" applyBorder="1" applyFont="1">
      <alignment shrinkToFit="0" vertical="center" wrapText="1"/>
    </xf>
    <xf borderId="54" fillId="10" fontId="16" numFmtId="0" xfId="0" applyAlignment="1" applyBorder="1" applyFont="1">
      <alignment horizontal="center" vertical="bottom"/>
    </xf>
    <xf borderId="2" fillId="0" fontId="16" numFmtId="0" xfId="0" applyAlignment="1" applyBorder="1" applyFont="1">
      <alignment vertical="center"/>
    </xf>
    <xf borderId="0" fillId="0" fontId="58" numFmtId="0" xfId="0" applyAlignment="1" applyFont="1">
      <alignment horizontal="right" vertical="center"/>
    </xf>
    <xf borderId="0" fillId="0" fontId="23" numFmtId="0" xfId="0" applyAlignment="1" applyFont="1">
      <alignment horizontal="center" vertical="center"/>
    </xf>
    <xf borderId="30" fillId="0" fontId="23" numFmtId="0" xfId="0" applyAlignment="1" applyBorder="1" applyFont="1">
      <alignment horizontal="center" vertical="bottom"/>
    </xf>
    <xf borderId="16" fillId="10" fontId="14" numFmtId="0" xfId="0" applyAlignment="1" applyBorder="1" applyFont="1">
      <alignment readingOrder="0" shrinkToFit="0" vertical="center" wrapText="0"/>
    </xf>
    <xf borderId="0" fillId="0" fontId="4" numFmtId="0" xfId="0" applyAlignment="1" applyFont="1">
      <alignment horizontal="right" vertical="center"/>
    </xf>
    <xf borderId="0" fillId="0" fontId="59" numFmtId="0" xfId="0" applyAlignment="1" applyFont="1">
      <alignment vertical="center"/>
    </xf>
    <xf borderId="0" fillId="0" fontId="16" numFmtId="0" xfId="0" applyAlignment="1" applyFont="1">
      <alignment horizontal="center" shrinkToFit="0" vertical="center" wrapText="1"/>
    </xf>
    <xf borderId="0" fillId="12" fontId="14" numFmtId="0" xfId="0" applyAlignment="1" applyFont="1">
      <alignment horizontal="left" readingOrder="0" shrinkToFit="0" vertical="bottom" wrapText="0"/>
    </xf>
    <xf borderId="57" fillId="0" fontId="4" numFmtId="0" xfId="0" applyAlignment="1" applyBorder="1" applyFont="1">
      <alignment readingOrder="0" vertical="bottom"/>
    </xf>
    <xf borderId="57" fillId="0" fontId="4" numFmtId="0" xfId="0" applyAlignment="1" applyBorder="1" applyFont="1">
      <alignment vertical="center"/>
    </xf>
    <xf borderId="20" fillId="0" fontId="11" numFmtId="0" xfId="0" applyAlignment="1" applyBorder="1" applyFont="1">
      <alignment readingOrder="0" vertical="center"/>
    </xf>
    <xf borderId="20" fillId="0" fontId="8" numFmtId="0" xfId="0" applyAlignment="1" applyBorder="1" applyFont="1">
      <alignment vertical="center"/>
    </xf>
    <xf borderId="0" fillId="0" fontId="60" numFmtId="3" xfId="0" applyAlignment="1" applyFont="1" applyNumberFormat="1">
      <alignment vertical="bottom"/>
    </xf>
    <xf borderId="54" fillId="4" fontId="4" numFmtId="0" xfId="0" applyAlignment="1" applyBorder="1" applyFont="1">
      <alignment horizontal="center" readingOrder="0" shrinkToFit="0" vertical="center" wrapText="1"/>
    </xf>
    <xf borderId="54" fillId="0" fontId="4" numFmtId="0" xfId="0" applyAlignment="1" applyBorder="1" applyFont="1">
      <alignment vertical="center"/>
    </xf>
    <xf borderId="16" fillId="0" fontId="16" numFmtId="0" xfId="0" applyAlignment="1" applyBorder="1" applyFont="1">
      <alignment horizontal="center" readingOrder="0" shrinkToFit="0" vertical="center" wrapText="0"/>
    </xf>
    <xf borderId="30" fillId="0" fontId="14" numFmtId="0" xfId="0" applyAlignment="1" applyBorder="1" applyFont="1">
      <alignment readingOrder="0" shrinkToFit="0" vertical="bottom" wrapText="0"/>
    </xf>
    <xf borderId="54" fillId="0" fontId="16" numFmtId="0" xfId="0" applyAlignment="1" applyBorder="1" applyFont="1">
      <alignment horizontal="center" readingOrder="0" vertical="bottom"/>
    </xf>
    <xf borderId="0" fillId="12" fontId="14" numFmtId="0" xfId="0" applyAlignment="1" applyFont="1">
      <alignment readingOrder="0" shrinkToFit="0" vertical="bottom" wrapText="0"/>
    </xf>
    <xf borderId="0" fillId="0" fontId="61" numFmtId="0" xfId="0" applyAlignment="1" applyFont="1">
      <alignment vertical="center"/>
    </xf>
    <xf borderId="35" fillId="7" fontId="4" numFmtId="0" xfId="0" applyAlignment="1" applyBorder="1" applyFont="1">
      <alignment readingOrder="0" vertical="bottom"/>
    </xf>
    <xf borderId="0" fillId="0" fontId="16" numFmtId="0" xfId="0" applyAlignment="1" applyFont="1">
      <alignment horizontal="center" readingOrder="0" shrinkToFit="0" vertical="center" wrapText="0"/>
    </xf>
    <xf borderId="54" fillId="10" fontId="16" numFmtId="0" xfId="0" applyAlignment="1" applyBorder="1" applyFont="1">
      <alignment horizontal="center" readingOrder="0" vertical="bottom"/>
    </xf>
    <xf borderId="0" fillId="0" fontId="14" numFmtId="0" xfId="0" applyAlignment="1" applyFont="1">
      <alignment shrinkToFit="0" vertical="bottom" wrapText="0"/>
    </xf>
    <xf borderId="0" fillId="0" fontId="19" numFmtId="0" xfId="0" applyAlignment="1" applyFont="1">
      <alignment shrinkToFit="0" vertical="center" wrapText="1"/>
    </xf>
    <xf borderId="0" fillId="11" fontId="16" numFmtId="0" xfId="0" applyAlignment="1" applyFont="1">
      <alignment horizontal="center" readingOrder="0" shrinkToFit="0" vertical="center" wrapText="0"/>
    </xf>
    <xf borderId="0" fillId="11" fontId="14" numFmtId="0" xfId="0" applyAlignment="1" applyFont="1">
      <alignment shrinkToFit="0" vertical="bottom" wrapText="0"/>
    </xf>
    <xf borderId="54" fillId="7" fontId="16" numFmtId="0" xfId="0" applyAlignment="1" applyBorder="1" applyFont="1">
      <alignment horizontal="center" readingOrder="0" vertical="bottom"/>
    </xf>
    <xf borderId="30" fillId="0" fontId="62" numFmtId="0" xfId="0" applyAlignment="1" applyBorder="1" applyFont="1">
      <alignment horizontal="center" readingOrder="0" vertical="center"/>
    </xf>
    <xf borderId="54" fillId="7" fontId="4" numFmtId="0" xfId="0" applyAlignment="1" applyBorder="1" applyFont="1">
      <alignment readingOrder="0" vertical="bottom"/>
    </xf>
    <xf borderId="54" fillId="18" fontId="16" numFmtId="0" xfId="0" applyAlignment="1" applyBorder="1" applyFont="1">
      <alignment horizontal="center" readingOrder="0" vertical="bottom"/>
    </xf>
    <xf borderId="36" fillId="0" fontId="16" numFmtId="0" xfId="0" applyAlignment="1" applyBorder="1" applyFont="1">
      <alignment horizontal="right" readingOrder="0" vertical="bottom"/>
    </xf>
    <xf borderId="30" fillId="0" fontId="62" numFmtId="0" xfId="0" applyAlignment="1" applyBorder="1" applyFont="1">
      <alignment horizontal="center" vertical="bottom"/>
    </xf>
    <xf borderId="30" fillId="0" fontId="4" numFmtId="0" xfId="0" applyAlignment="1" applyBorder="1" applyFont="1">
      <alignment horizontal="center" vertical="bottom"/>
    </xf>
    <xf borderId="30" fillId="0" fontId="4" numFmtId="0" xfId="0" applyAlignment="1" applyBorder="1" applyFont="1">
      <alignment vertical="bottom"/>
    </xf>
    <xf borderId="54" fillId="0" fontId="59" numFmtId="0" xfId="0" applyAlignment="1" applyBorder="1" applyFont="1">
      <alignment horizontal="center" vertical="bottom"/>
    </xf>
    <xf borderId="46" fillId="7" fontId="7" numFmtId="0" xfId="0" applyAlignment="1" applyBorder="1" applyFont="1">
      <alignment horizontal="center" shrinkToFit="0" vertical="center" wrapText="1"/>
    </xf>
    <xf borderId="54" fillId="5" fontId="4" numFmtId="0" xfId="0" applyAlignment="1" applyBorder="1" applyFont="1">
      <alignment horizontal="center" shrinkToFit="0" vertical="center" wrapText="1"/>
    </xf>
    <xf borderId="54" fillId="18" fontId="16" numFmtId="0" xfId="0" applyAlignment="1" applyBorder="1" applyFont="1">
      <alignment horizontal="center" vertical="bottom"/>
    </xf>
    <xf borderId="54" fillId="25" fontId="16" numFmtId="0" xfId="0" applyAlignment="1" applyBorder="1" applyFont="1">
      <alignment horizontal="center" vertical="bottom"/>
    </xf>
    <xf borderId="0" fillId="0" fontId="16" numFmtId="0" xfId="0" applyAlignment="1" applyFont="1">
      <alignment horizontal="left" shrinkToFit="0" vertical="bottom" wrapText="0"/>
    </xf>
    <xf borderId="54" fillId="7" fontId="4" numFmtId="0" xfId="0" applyAlignment="1" applyBorder="1" applyFont="1">
      <alignment horizontal="center" readingOrder="0" vertical="bottom"/>
    </xf>
    <xf borderId="23" fillId="0" fontId="16" numFmtId="0" xfId="0" applyAlignment="1" applyBorder="1" applyFont="1">
      <alignment horizontal="left" shrinkToFit="0" vertical="bottom" wrapText="0"/>
    </xf>
    <xf borderId="24" fillId="0" fontId="16" numFmtId="0" xfId="0" applyAlignment="1" applyBorder="1" applyFont="1">
      <alignment horizontal="left" shrinkToFit="0" vertical="bottom" wrapText="0"/>
    </xf>
    <xf borderId="54" fillId="25" fontId="4" numFmtId="0" xfId="0" applyAlignment="1" applyBorder="1" applyFont="1">
      <alignment horizontal="center" readingOrder="0" vertical="bottom"/>
    </xf>
    <xf borderId="83" fillId="0" fontId="16" numFmtId="0" xfId="0" applyAlignment="1" applyBorder="1" applyFont="1">
      <alignment horizontal="left" shrinkToFit="0" vertical="bottom" wrapText="0"/>
    </xf>
    <xf borderId="15" fillId="0" fontId="16" numFmtId="0" xfId="0" applyAlignment="1" applyBorder="1" applyFont="1">
      <alignment horizontal="center" vertical="bottom"/>
    </xf>
    <xf borderId="42" fillId="25" fontId="4" numFmtId="0" xfId="0" applyAlignment="1" applyBorder="1" applyFont="1">
      <alignment horizontal="center" vertical="center"/>
    </xf>
    <xf borderId="15" fillId="25" fontId="4" numFmtId="0" xfId="0" applyAlignment="1" applyBorder="1" applyFont="1">
      <alignment horizontal="center" vertical="center"/>
    </xf>
    <xf borderId="36" fillId="0" fontId="16" numFmtId="0" xfId="0" applyAlignment="1" applyBorder="1" applyFont="1">
      <alignment horizontal="center" vertical="bottom"/>
    </xf>
    <xf borderId="36" fillId="0" fontId="16" numFmtId="0" xfId="0" applyAlignment="1" applyBorder="1" applyFont="1">
      <alignment horizontal="center" readingOrder="0" vertical="bottom"/>
    </xf>
    <xf borderId="46" fillId="26" fontId="16" numFmtId="0" xfId="0" applyAlignment="1" applyBorder="1" applyFill="1" applyFont="1">
      <alignment shrinkToFit="0" vertical="bottom" wrapText="0"/>
    </xf>
    <xf borderId="57" fillId="0" fontId="16" numFmtId="0" xfId="0" applyAlignment="1" applyBorder="1" applyFont="1">
      <alignment horizontal="center" vertical="bottom"/>
    </xf>
    <xf borderId="84" fillId="14" fontId="13" numFmtId="0" xfId="0" applyAlignment="1" applyBorder="1" applyFont="1">
      <alignment readingOrder="0" shrinkToFit="0" vertical="bottom" wrapText="0"/>
    </xf>
    <xf borderId="35" fillId="0" fontId="16" numFmtId="0" xfId="0" applyAlignment="1" applyBorder="1" applyFont="1">
      <alignment horizontal="center" vertical="bottom"/>
    </xf>
    <xf borderId="85" fillId="14" fontId="13" numFmtId="0" xfId="0" applyAlignment="1" applyBorder="1" applyFont="1">
      <alignment readingOrder="0" shrinkToFit="0" vertical="bottom" wrapText="0"/>
    </xf>
    <xf borderId="0" fillId="14" fontId="13" numFmtId="0" xfId="0" applyAlignment="1" applyFont="1">
      <alignment readingOrder="0" shrinkToFit="0" vertical="bottom" wrapText="0"/>
    </xf>
    <xf borderId="35" fillId="0" fontId="16" numFmtId="0" xfId="0" applyAlignment="1" applyBorder="1" applyFont="1">
      <alignment horizontal="center" readingOrder="0" vertical="bottom"/>
    </xf>
    <xf borderId="36" fillId="25" fontId="4" numFmtId="0" xfId="0" applyAlignment="1" applyBorder="1" applyFont="1">
      <alignment horizontal="center" vertical="center"/>
    </xf>
    <xf borderId="46" fillId="0" fontId="4" numFmtId="0" xfId="0" applyAlignment="1" applyBorder="1" applyFont="1">
      <alignment shrinkToFit="0" vertical="bottom" wrapText="0"/>
    </xf>
    <xf borderId="0" fillId="7" fontId="6" numFmtId="0" xfId="0" applyAlignment="1" applyFont="1">
      <alignment shrinkToFit="0" vertical="bottom" wrapText="0"/>
    </xf>
    <xf borderId="0" fillId="14" fontId="14" numFmtId="0" xfId="0" applyAlignment="1" applyFont="1">
      <alignment readingOrder="0" shrinkToFit="0" vertical="bottom" wrapText="0"/>
    </xf>
    <xf borderId="42" fillId="0" fontId="7" numFmtId="0" xfId="0" applyAlignment="1" applyBorder="1" applyFont="1">
      <alignment shrinkToFit="0" vertical="center" wrapText="1"/>
    </xf>
    <xf borderId="85" fillId="14" fontId="14" numFmtId="0" xfId="0" applyAlignment="1" applyBorder="1" applyFont="1">
      <alignment readingOrder="0" shrinkToFit="0" vertical="bottom" wrapText="0"/>
    </xf>
    <xf borderId="0" fillId="14" fontId="14" numFmtId="0" xfId="0" applyAlignment="1" applyFont="1">
      <alignment shrinkToFit="0" vertical="bottom" wrapText="0"/>
    </xf>
    <xf borderId="35" fillId="0" fontId="4" numFmtId="0" xfId="0" applyAlignment="1" applyBorder="1" applyFont="1">
      <alignment horizontal="center" readingOrder="0" vertical="bottom"/>
    </xf>
    <xf borderId="86" fillId="0" fontId="4" numFmtId="0" xfId="0" applyAlignment="1" applyBorder="1" applyFont="1">
      <alignment shrinkToFit="0" vertical="bottom" wrapText="0"/>
    </xf>
    <xf borderId="35" fillId="25" fontId="16" numFmtId="0" xfId="0" applyAlignment="1" applyBorder="1" applyFont="1">
      <alignment horizontal="center" vertical="bottom"/>
    </xf>
    <xf borderId="87" fillId="0" fontId="6" numFmtId="0" xfId="0" applyAlignment="1" applyBorder="1" applyFont="1">
      <alignment shrinkToFit="0" vertical="bottom" wrapText="0"/>
    </xf>
    <xf borderId="85" fillId="0" fontId="6" numFmtId="0" xfId="0" applyAlignment="1" applyBorder="1" applyFont="1">
      <alignment readingOrder="0" shrinkToFit="0" vertical="center" wrapText="0"/>
    </xf>
    <xf borderId="0" fillId="0" fontId="6" numFmtId="0" xfId="0" applyAlignment="1" applyFont="1">
      <alignment shrinkToFit="0" vertical="center" wrapText="0"/>
    </xf>
    <xf borderId="88" fillId="0" fontId="4" numFmtId="0" xfId="0" applyAlignment="1" applyBorder="1" applyFont="1">
      <alignment shrinkToFit="0" vertical="bottom" wrapText="0"/>
    </xf>
    <xf borderId="89" fillId="0" fontId="6" numFmtId="0" xfId="0" applyAlignment="1" applyBorder="1" applyFont="1">
      <alignment shrinkToFit="0" vertical="bottom" wrapText="0"/>
    </xf>
    <xf borderId="90" fillId="0" fontId="6" numFmtId="0" xfId="0" applyAlignment="1" applyBorder="1" applyFont="1">
      <alignment shrinkToFit="0" vertical="bottom" wrapText="0"/>
    </xf>
    <xf borderId="0" fillId="0" fontId="6" numFmtId="0" xfId="0" applyAlignment="1" applyFont="1">
      <alignment shrinkToFit="0" vertical="bottom" wrapText="0"/>
    </xf>
    <xf borderId="54" fillId="0" fontId="6" numFmtId="0" xfId="0" applyAlignment="1" applyBorder="1" applyFont="1">
      <alignment readingOrder="0" vertical="bottom"/>
    </xf>
    <xf borderId="36" fillId="0" fontId="4" numFmtId="0" xfId="0" applyAlignment="1" applyBorder="1" applyFont="1">
      <alignment horizontal="center" readingOrder="0" vertical="bottom"/>
    </xf>
    <xf borderId="36" fillId="25" fontId="16" numFmtId="0" xfId="0" applyAlignment="1" applyBorder="1" applyFont="1">
      <alignment horizontal="center" vertical="bottom"/>
    </xf>
    <xf borderId="0" fillId="13" fontId="13" numFmtId="0" xfId="0" applyAlignment="1" applyFont="1">
      <alignment shrinkToFit="0" vertical="bottom" wrapText="0"/>
    </xf>
    <xf borderId="36" fillId="13" fontId="13" numFmtId="0" xfId="0" applyAlignment="1" applyBorder="1" applyFont="1">
      <alignment shrinkToFit="0" vertical="bottom" wrapText="0"/>
    </xf>
    <xf borderId="57" fillId="0" fontId="4" numFmtId="0" xfId="0" applyAlignment="1" applyBorder="1" applyFont="1">
      <alignment horizontal="center" readingOrder="0" vertical="bottom"/>
    </xf>
    <xf borderId="57" fillId="0" fontId="4" numFmtId="0" xfId="0" applyAlignment="1" applyBorder="1" applyFont="1">
      <alignment horizontal="center" vertical="bottom"/>
    </xf>
    <xf borderId="91" fillId="26" fontId="16" numFmtId="0" xfId="0" applyAlignment="1" applyBorder="1" applyFont="1">
      <alignment shrinkToFit="0" vertical="bottom" wrapText="0"/>
    </xf>
    <xf borderId="57" fillId="0" fontId="4" numFmtId="0" xfId="0" applyAlignment="1" applyBorder="1" applyFont="1">
      <alignment vertical="bottom"/>
    </xf>
    <xf borderId="92" fillId="13" fontId="13" numFmtId="0" xfId="0" applyAlignment="1" applyBorder="1" applyFont="1">
      <alignment readingOrder="0" shrinkToFit="0" vertical="bottom" wrapText="0"/>
    </xf>
    <xf borderId="57" fillId="7" fontId="16" numFmtId="0" xfId="0" applyAlignment="1" applyBorder="1" applyFont="1">
      <alignment horizontal="center" vertical="bottom"/>
    </xf>
    <xf borderId="93" fillId="13" fontId="13" numFmtId="0" xfId="0" applyAlignment="1" applyBorder="1" applyFont="1">
      <alignment readingOrder="0" shrinkToFit="0" vertical="bottom" wrapText="0"/>
    </xf>
    <xf borderId="0" fillId="13" fontId="13" numFmtId="0" xfId="0" applyAlignment="1" applyFont="1">
      <alignment readingOrder="0" shrinkToFit="0" vertical="bottom" wrapText="0"/>
    </xf>
    <xf borderId="36" fillId="0" fontId="4" numFmtId="0" xfId="0" applyAlignment="1" applyBorder="1" applyFont="1">
      <alignment horizontal="center" vertical="bottom"/>
    </xf>
    <xf borderId="93" fillId="0" fontId="4" numFmtId="0" xfId="0" applyAlignment="1" applyBorder="1" applyFont="1">
      <alignment readingOrder="0" vertical="center"/>
    </xf>
    <xf borderId="0" fillId="13" fontId="14" numFmtId="0" xfId="0" applyAlignment="1" applyFont="1">
      <alignment shrinkToFit="0" vertical="bottom" wrapText="0"/>
    </xf>
    <xf borderId="36" fillId="10" fontId="16" numFmtId="0" xfId="0" applyAlignment="1" applyBorder="1" applyFont="1">
      <alignment horizontal="center" vertical="bottom"/>
    </xf>
    <xf borderId="94" fillId="0" fontId="6" numFmtId="0" xfId="0" applyAlignment="1" applyBorder="1" applyFont="1">
      <alignment shrinkToFit="0" vertical="bottom" wrapText="0"/>
    </xf>
    <xf borderId="93" fillId="13" fontId="14" numFmtId="0" xfId="0" applyAlignment="1" applyBorder="1" applyFont="1">
      <alignment readingOrder="0" shrinkToFit="0" vertical="bottom" wrapText="0"/>
    </xf>
    <xf borderId="0" fillId="13" fontId="14" numFmtId="0" xfId="0" applyAlignment="1" applyFont="1">
      <alignment readingOrder="0" shrinkToFit="0" vertical="bottom" wrapText="0"/>
    </xf>
    <xf borderId="95" fillId="0" fontId="4" numFmtId="0" xfId="0" applyAlignment="1" applyBorder="1" applyFont="1">
      <alignment shrinkToFit="0" vertical="bottom" wrapText="0"/>
    </xf>
    <xf borderId="96" fillId="0" fontId="6" numFmtId="0" xfId="0" applyAlignment="1" applyBorder="1" applyFont="1">
      <alignment shrinkToFit="0" vertical="bottom" wrapText="0"/>
    </xf>
    <xf borderId="54" fillId="0" fontId="23" numFmtId="0" xfId="0" applyAlignment="1" applyBorder="1" applyFont="1">
      <alignment horizontal="center" vertical="bottom"/>
    </xf>
    <xf borderId="36" fillId="0" fontId="8" numFmtId="0" xfId="0" applyAlignment="1" applyBorder="1" applyFont="1">
      <alignment vertical="center"/>
    </xf>
    <xf borderId="97" fillId="0" fontId="6" numFmtId="0" xfId="0" applyAlignment="1" applyBorder="1" applyFont="1">
      <alignment shrinkToFit="0" vertical="bottom" wrapText="0"/>
    </xf>
    <xf borderId="36" fillId="0" fontId="4" numFmtId="0" xfId="0" applyAlignment="1" applyBorder="1" applyFont="1">
      <alignment vertical="bottom"/>
    </xf>
    <xf borderId="0" fillId="0" fontId="4" numFmtId="0" xfId="0" applyAlignment="1" applyFont="1">
      <alignment vertical="center"/>
    </xf>
    <xf borderId="36" fillId="25" fontId="16" numFmtId="0" xfId="0" applyAlignment="1" applyBorder="1" applyFont="1">
      <alignment horizontal="center" vertical="bottom"/>
    </xf>
    <xf borderId="46" fillId="7" fontId="4" numFmtId="0" xfId="0" applyAlignment="1" applyBorder="1" applyFont="1">
      <alignment horizontal="center" readingOrder="0" shrinkToFit="0" vertical="center" wrapText="1"/>
    </xf>
    <xf borderId="54" fillId="5" fontId="4" numFmtId="0" xfId="0" applyAlignment="1" applyBorder="1" applyFont="1">
      <alignment horizontal="center" vertical="center"/>
    </xf>
    <xf borderId="36" fillId="10" fontId="16" numFmtId="0" xfId="0" applyAlignment="1" applyBorder="1" applyFont="1">
      <alignment horizontal="center" vertical="bottom"/>
    </xf>
    <xf borderId="98" fillId="0" fontId="6" numFmtId="0" xfId="0" applyAlignment="1" applyBorder="1" applyFont="1">
      <alignment shrinkToFit="0" vertical="bottom" wrapText="0"/>
    </xf>
    <xf borderId="99" fillId="12" fontId="6" numFmtId="0" xfId="0" applyAlignment="1" applyBorder="1" applyFont="1">
      <alignment shrinkToFit="0" vertical="bottom" wrapText="0"/>
    </xf>
    <xf borderId="0" fillId="12" fontId="6" numFmtId="0" xfId="0" applyAlignment="1" applyFont="1">
      <alignment shrinkToFit="0" vertical="bottom" wrapText="0"/>
    </xf>
    <xf borderId="100" fillId="16" fontId="13" numFmtId="0" xfId="0" applyAlignment="1" applyBorder="1" applyFont="1">
      <alignment readingOrder="0" shrinkToFit="0" vertical="bottom" wrapText="0"/>
    </xf>
    <xf borderId="101" fillId="16" fontId="13" numFmtId="0" xfId="0" applyAlignment="1" applyBorder="1" applyFont="1">
      <alignment readingOrder="0" shrinkToFit="0" vertical="bottom" wrapText="0"/>
    </xf>
    <xf borderId="0" fillId="16" fontId="13" numFmtId="0" xfId="0" applyAlignment="1" applyFont="1">
      <alignment shrinkToFit="0" vertical="bottom" wrapText="0"/>
    </xf>
    <xf borderId="57" fillId="0" fontId="4" numFmtId="0" xfId="0" applyAlignment="1" applyBorder="1" applyFont="1">
      <alignment vertical="bottom"/>
    </xf>
    <xf borderId="57" fillId="25" fontId="16" numFmtId="0" xfId="0" applyAlignment="1" applyBorder="1" applyFont="1">
      <alignment horizontal="center" vertical="bottom"/>
    </xf>
    <xf borderId="30" fillId="0" fontId="7" numFmtId="0" xfId="0" applyAlignment="1" applyBorder="1" applyFont="1">
      <alignment horizontal="center" vertical="bottom"/>
    </xf>
    <xf borderId="35" fillId="0" fontId="4" numFmtId="0" xfId="0" applyAlignment="1" applyBorder="1" applyFont="1">
      <alignment horizontal="center" vertical="bottom"/>
    </xf>
    <xf borderId="0" fillId="16" fontId="13" numFmtId="0" xfId="0" applyAlignment="1" applyFont="1">
      <alignment readingOrder="0" shrinkToFit="0" vertical="bottom" wrapText="0"/>
    </xf>
    <xf borderId="57" fillId="0" fontId="4" numFmtId="0" xfId="0" applyAlignment="1" applyBorder="1" applyFont="1">
      <alignment horizontal="center" vertical="bottom"/>
    </xf>
    <xf borderId="0" fillId="0" fontId="4" numFmtId="0" xfId="0" applyAlignment="1" applyFont="1">
      <alignment readingOrder="0" vertical="center"/>
    </xf>
    <xf borderId="16" fillId="0" fontId="4" numFmtId="0" xfId="0" applyAlignment="1" applyBorder="1" applyFont="1">
      <alignment horizontal="center" vertical="bottom"/>
    </xf>
    <xf borderId="14" fillId="0" fontId="4" numFmtId="0" xfId="0" applyAlignment="1" applyBorder="1" applyFont="1">
      <alignment horizontal="center" vertical="bottom"/>
    </xf>
    <xf borderId="101" fillId="16" fontId="14" numFmtId="0" xfId="0" applyAlignment="1" applyBorder="1" applyFont="1">
      <alignment readingOrder="0" shrinkToFit="0" vertical="bottom" wrapText="0"/>
    </xf>
    <xf borderId="14" fillId="0" fontId="4" numFmtId="0" xfId="0" applyAlignment="1" applyBorder="1" applyFont="1">
      <alignment vertical="bottom"/>
    </xf>
    <xf borderId="0" fillId="16" fontId="14" numFmtId="0" xfId="0" applyAlignment="1" applyFont="1">
      <alignment readingOrder="0" shrinkToFit="0" vertical="bottom" wrapText="0"/>
    </xf>
    <xf borderId="14" fillId="0" fontId="4" numFmtId="0" xfId="0" applyAlignment="1" applyBorder="1" applyFont="1">
      <alignment horizontal="center" vertical="bottom"/>
    </xf>
    <xf borderId="57" fillId="0" fontId="4" numFmtId="0" xfId="0" applyAlignment="1" applyBorder="1" applyFont="1">
      <alignment readingOrder="0" vertical="center"/>
    </xf>
    <xf borderId="20" fillId="0" fontId="6" numFmtId="0" xfId="0" applyAlignment="1" applyBorder="1" applyFont="1">
      <alignment readingOrder="0" vertical="center"/>
    </xf>
    <xf borderId="54" fillId="5" fontId="4" numFmtId="0" xfId="0" applyAlignment="1" applyBorder="1" applyFont="1">
      <alignment horizontal="center" readingOrder="0" vertical="center"/>
    </xf>
    <xf borderId="43" fillId="0" fontId="6" numFmtId="0" xfId="0" applyAlignment="1" applyBorder="1" applyFont="1">
      <alignment readingOrder="0" vertical="center"/>
    </xf>
    <xf borderId="102" fillId="0" fontId="6" numFmtId="0" xfId="0" applyAlignment="1" applyBorder="1" applyFont="1">
      <alignment shrinkToFit="0" vertical="bottom" wrapText="0"/>
    </xf>
    <xf borderId="16" fillId="12" fontId="4" numFmtId="0" xfId="0" applyAlignment="1" applyBorder="1" applyFont="1">
      <alignment vertical="center"/>
    </xf>
    <xf borderId="103" fillId="11" fontId="13" numFmtId="0" xfId="0" applyAlignment="1" applyBorder="1" applyFont="1">
      <alignment readingOrder="0" shrinkToFit="0" vertical="bottom" wrapText="0"/>
    </xf>
    <xf borderId="104" fillId="11" fontId="13" numFmtId="0" xfId="0" applyAlignment="1" applyBorder="1" applyFont="1">
      <alignment readingOrder="0" shrinkToFit="0" vertical="bottom" wrapText="0"/>
    </xf>
    <xf borderId="0" fillId="11" fontId="13" numFmtId="0" xfId="0" applyAlignment="1" applyFont="1">
      <alignment readingOrder="0" shrinkToFit="0" vertical="bottom" wrapText="0"/>
    </xf>
    <xf borderId="104" fillId="11" fontId="14" numFmtId="0" xfId="0" applyAlignment="1" applyBorder="1" applyFont="1">
      <alignment readingOrder="0" shrinkToFit="0" vertical="bottom" wrapText="0"/>
    </xf>
    <xf borderId="35" fillId="0" fontId="4" numFmtId="0" xfId="0" applyAlignment="1" applyBorder="1" applyFont="1">
      <alignment vertical="center"/>
    </xf>
    <xf borderId="104" fillId="12" fontId="14" numFmtId="0" xfId="0" applyAlignment="1" applyBorder="1" applyFont="1">
      <alignment readingOrder="0" shrinkToFit="0" vertical="bottom" wrapText="0"/>
    </xf>
    <xf borderId="0" fillId="12" fontId="14" numFmtId="0" xfId="0" applyAlignment="1" applyFont="1">
      <alignment shrinkToFit="0" vertical="bottom" wrapText="0"/>
    </xf>
    <xf borderId="30" fillId="4" fontId="4" numFmtId="0" xfId="0" applyAlignment="1" applyBorder="1" applyFont="1">
      <alignment horizontal="center" readingOrder="0" shrinkToFit="0" vertical="center" wrapText="1"/>
    </xf>
    <xf borderId="43" fillId="0" fontId="6" numFmtId="0" xfId="0" applyAlignment="1" applyBorder="1" applyFont="1">
      <alignment vertical="center"/>
    </xf>
    <xf borderId="105" fillId="0" fontId="6" numFmtId="0" xfId="0" applyAlignment="1" applyBorder="1" applyFont="1">
      <alignment shrinkToFit="0" vertical="bottom" wrapText="0"/>
    </xf>
    <xf borderId="16" fillId="6" fontId="13" numFmtId="0" xfId="0" applyAlignment="1" applyBorder="1" applyFont="1">
      <alignment readingOrder="0" shrinkToFit="0" vertical="bottom" wrapText="0"/>
    </xf>
    <xf borderId="0" fillId="6" fontId="13" numFmtId="0" xfId="0" applyAlignment="1" applyFont="1">
      <alignment readingOrder="0" shrinkToFit="0" vertical="bottom" wrapText="0"/>
    </xf>
    <xf borderId="36" fillId="0" fontId="4" numFmtId="166" xfId="0" applyAlignment="1" applyBorder="1" applyFont="1" applyNumberFormat="1">
      <alignment vertical="bottom"/>
    </xf>
    <xf borderId="27" fillId="0" fontId="16" numFmtId="0" xfId="0" applyAlignment="1" applyBorder="1" applyFont="1">
      <alignment vertical="bottom"/>
    </xf>
    <xf borderId="0" fillId="6" fontId="13" numFmtId="0" xfId="0" applyAlignment="1" applyFont="1">
      <alignment shrinkToFit="0" vertical="bottom" wrapText="0"/>
    </xf>
    <xf borderId="36" fillId="0" fontId="16" numFmtId="166" xfId="0" applyAlignment="1" applyBorder="1" applyFont="1" applyNumberFormat="1">
      <alignment horizontal="right" vertical="bottom"/>
    </xf>
    <xf borderId="0" fillId="6" fontId="14" numFmtId="0" xfId="0" applyAlignment="1" applyFont="1">
      <alignment shrinkToFit="0" vertical="bottom" wrapText="0"/>
    </xf>
    <xf borderId="0" fillId="0" fontId="4" numFmtId="0" xfId="0" applyAlignment="1" applyFont="1">
      <alignment readingOrder="0" vertical="bottom"/>
    </xf>
    <xf borderId="36" fillId="0" fontId="4" numFmtId="166" xfId="0" applyAlignment="1" applyBorder="1" applyFont="1" applyNumberFormat="1">
      <alignment vertical="bottom"/>
    </xf>
    <xf borderId="20" fillId="0" fontId="8" numFmtId="0" xfId="0" applyAlignment="1" applyBorder="1" applyFont="1">
      <alignment readingOrder="0" vertical="center"/>
    </xf>
    <xf borderId="27" fillId="0" fontId="16" numFmtId="0" xfId="0" applyAlignment="1" applyBorder="1" applyFont="1">
      <alignment readingOrder="0" vertical="bottom"/>
    </xf>
    <xf borderId="0" fillId="0" fontId="4" numFmtId="3" xfId="0" applyAlignment="1" applyFont="1" applyNumberFormat="1">
      <alignment readingOrder="0" vertical="bottom"/>
    </xf>
    <xf borderId="106" fillId="0" fontId="4" numFmtId="0" xfId="0" applyAlignment="1" applyBorder="1" applyFont="1">
      <alignment shrinkToFit="0" vertical="bottom" wrapText="0"/>
    </xf>
    <xf borderId="107" fillId="0" fontId="6" numFmtId="0" xfId="0" applyAlignment="1" applyBorder="1" applyFont="1">
      <alignment shrinkToFit="0" vertical="bottom" wrapText="0"/>
    </xf>
    <xf borderId="12" fillId="14" fontId="16" numFmtId="0" xfId="0" applyAlignment="1" applyBorder="1" applyFont="1">
      <alignment horizontal="center" vertical="bottom"/>
    </xf>
    <xf borderId="36" fillId="0" fontId="4" numFmtId="3" xfId="0" applyAlignment="1" applyBorder="1" applyFont="1" applyNumberFormat="1">
      <alignment readingOrder="0" vertical="bottom"/>
    </xf>
    <xf borderId="0" fillId="0" fontId="4" numFmtId="0" xfId="0" applyAlignment="1" applyFont="1">
      <alignment vertical="bottom"/>
    </xf>
    <xf borderId="46" fillId="0" fontId="6" numFmtId="0" xfId="0" applyAlignment="1" applyBorder="1" applyFont="1">
      <alignment readingOrder="0" vertical="center"/>
    </xf>
    <xf borderId="27" fillId="0" fontId="4" numFmtId="0" xfId="0" applyAlignment="1" applyBorder="1" applyFont="1">
      <alignment readingOrder="0" vertical="bottom"/>
    </xf>
    <xf borderId="23" fillId="0" fontId="16" numFmtId="0" xfId="0" applyAlignment="1" applyBorder="1" applyFont="1">
      <alignment horizontal="left" readingOrder="0" shrinkToFit="0" vertical="bottom" wrapText="0"/>
    </xf>
    <xf borderId="47" fillId="0" fontId="4" numFmtId="0" xfId="0" applyAlignment="1" applyBorder="1" applyFont="1">
      <alignment readingOrder="0" vertical="bottom"/>
    </xf>
    <xf borderId="53" fillId="0" fontId="4" numFmtId="0" xfId="0" applyAlignment="1" applyBorder="1" applyFont="1">
      <alignment vertical="bottom"/>
    </xf>
    <xf borderId="9" fillId="0" fontId="4" numFmtId="0" xfId="0" applyAlignment="1" applyBorder="1" applyFont="1">
      <alignment vertical="bottom"/>
    </xf>
    <xf borderId="0" fillId="12" fontId="4" numFmtId="0" xfId="0" applyAlignment="1" applyFont="1">
      <alignment shrinkToFit="0" vertical="center" wrapText="1"/>
    </xf>
    <xf borderId="54" fillId="5" fontId="4" numFmtId="0" xfId="0" applyAlignment="1" applyBorder="1" applyFont="1">
      <alignment horizontal="center" readingOrder="0" vertical="bottom"/>
    </xf>
    <xf borderId="0" fillId="0" fontId="6" numFmtId="0" xfId="0" applyAlignment="1" applyFont="1">
      <alignment readingOrder="0" shrinkToFit="0" vertical="center" wrapText="0"/>
    </xf>
    <xf borderId="46" fillId="0" fontId="4" numFmtId="0" xfId="0" applyAlignment="1" applyBorder="1" applyFont="1">
      <alignment horizontal="center" readingOrder="0" vertical="center"/>
    </xf>
    <xf borderId="46" fillId="0" fontId="4" numFmtId="0" xfId="0" applyAlignment="1" applyBorder="1" applyFont="1">
      <alignment horizontal="center" shrinkToFit="0" vertical="center" wrapText="1"/>
    </xf>
    <xf borderId="0" fillId="0" fontId="8" numFmtId="0" xfId="0" applyAlignment="1" applyFont="1">
      <alignment horizontal="center" vertical="center"/>
    </xf>
    <xf borderId="93" fillId="13" fontId="13" numFmtId="0" xfId="0" applyAlignment="1" applyBorder="1" applyFont="1">
      <alignment shrinkToFit="0" vertical="bottom" wrapText="0"/>
    </xf>
    <xf borderId="36" fillId="0" fontId="4" numFmtId="0" xfId="0" applyAlignment="1" applyBorder="1" applyFont="1">
      <alignment horizontal="center" vertical="center"/>
    </xf>
    <xf borderId="108" fillId="13" fontId="14" numFmtId="0" xfId="0" applyAlignment="1" applyBorder="1" applyFont="1">
      <alignment readingOrder="0" shrinkToFit="0" vertical="bottom" wrapText="0"/>
    </xf>
    <xf borderId="93" fillId="0" fontId="8" numFmtId="0" xfId="0" applyAlignment="1" applyBorder="1" applyFont="1">
      <alignment readingOrder="0" vertical="center"/>
    </xf>
    <xf borderId="109" fillId="0" fontId="8" numFmtId="0" xfId="0" applyAlignment="1" applyBorder="1" applyFont="1">
      <alignment readingOrder="0" vertical="center"/>
    </xf>
    <xf borderId="95" fillId="0" fontId="4" numFmtId="0" xfId="0" applyAlignment="1" applyBorder="1" applyFont="1">
      <alignment readingOrder="0" shrinkToFit="0" vertical="bottom" wrapText="0"/>
    </xf>
    <xf borderId="96" fillId="0" fontId="9" numFmtId="0" xfId="0" applyAlignment="1" applyBorder="1" applyFont="1">
      <alignment readingOrder="0" shrinkToFit="0" vertical="bottom" wrapText="0"/>
    </xf>
    <xf borderId="16" fillId="0" fontId="4" numFmtId="0" xfId="0" applyAlignment="1" applyBorder="1" applyFont="1">
      <alignment horizontal="center" vertical="center"/>
    </xf>
    <xf borderId="32" fillId="0" fontId="4" numFmtId="0" xfId="0" applyAlignment="1" applyBorder="1" applyFont="1">
      <alignment readingOrder="0" vertical="bottom"/>
    </xf>
    <xf borderId="16" fillId="0" fontId="4" numFmtId="0" xfId="0" applyAlignment="1" applyBorder="1" applyFont="1">
      <alignment readingOrder="0" vertical="center"/>
    </xf>
    <xf borderId="39" fillId="0" fontId="4" numFmtId="0" xfId="0" applyAlignment="1" applyBorder="1" applyFont="1">
      <alignment readingOrder="0" vertical="center"/>
    </xf>
    <xf borderId="39" fillId="0" fontId="8" numFmtId="0" xfId="0" applyAlignment="1" applyBorder="1" applyFont="1">
      <alignment readingOrder="0" vertical="center"/>
    </xf>
    <xf borderId="39" fillId="0" fontId="8" numFmtId="0" xfId="0" applyAlignment="1" applyBorder="1" applyFont="1">
      <alignment vertical="center"/>
    </xf>
    <xf borderId="101" fillId="16" fontId="14" numFmtId="0" xfId="0" applyAlignment="1" applyBorder="1" applyFont="1">
      <alignment readingOrder="0" shrinkToFit="0" vertical="bottom" wrapText="0"/>
    </xf>
    <xf borderId="0" fillId="11" fontId="14" numFmtId="0" xfId="0" applyAlignment="1" applyFont="1">
      <alignment readingOrder="0" shrinkToFit="0" vertical="bottom" wrapText="0"/>
    </xf>
    <xf borderId="0" fillId="12" fontId="14" numFmtId="0" xfId="0" applyAlignment="1" applyFont="1">
      <alignment readingOrder="0" shrinkToFit="0" vertical="bottom" wrapText="0"/>
    </xf>
    <xf borderId="0" fillId="6" fontId="14" numFmtId="0" xfId="0" applyAlignment="1" applyFont="1">
      <alignment readingOrder="0" shrinkToFit="0" vertical="bottom" wrapText="0"/>
    </xf>
    <xf borderId="76" fillId="0" fontId="16" numFmtId="165" xfId="0" applyAlignment="1" applyBorder="1" applyFont="1" applyNumberFormat="1">
      <alignment horizontal="center" vertical="bottom"/>
    </xf>
    <xf borderId="0" fillId="12" fontId="6" numFmtId="0" xfId="0" applyAlignment="1" applyFont="1">
      <alignment vertical="center"/>
    </xf>
    <xf borderId="27" fillId="14" fontId="16" numFmtId="0" xfId="0" applyAlignment="1" applyBorder="1" applyFont="1">
      <alignment vertical="bottom"/>
    </xf>
    <xf borderId="27" fillId="23" fontId="16" numFmtId="0" xfId="0" applyAlignment="1" applyBorder="1" applyFont="1">
      <alignment readingOrder="0" vertical="bottom"/>
    </xf>
    <xf borderId="36" fillId="23" fontId="16" numFmtId="0" xfId="0" applyAlignment="1" applyBorder="1" applyFont="1">
      <alignment horizontal="right" readingOrder="0" vertical="bottom"/>
    </xf>
    <xf borderId="36" fillId="23" fontId="16" numFmtId="166" xfId="0" applyAlignment="1" applyBorder="1" applyFont="1" applyNumberFormat="1">
      <alignment horizontal="right" readingOrder="0" vertical="bottom"/>
    </xf>
    <xf borderId="36" fillId="23" fontId="16" numFmtId="166" xfId="0" applyAlignment="1" applyBorder="1" applyFont="1" applyNumberFormat="1">
      <alignment horizontal="right" vertical="bottom"/>
    </xf>
    <xf borderId="36" fillId="23" fontId="16" numFmtId="0" xfId="0" applyAlignment="1" applyBorder="1" applyFont="1">
      <alignment readingOrder="0" vertical="bottom"/>
    </xf>
    <xf borderId="0" fillId="23" fontId="63" numFmtId="0" xfId="0" applyAlignment="1" applyFont="1">
      <alignment vertical="bottom"/>
    </xf>
    <xf borderId="27" fillId="16" fontId="16" numFmtId="0" xfId="0" applyAlignment="1" applyBorder="1" applyFont="1">
      <alignment vertical="bottom"/>
    </xf>
    <xf borderId="34" fillId="0" fontId="64" numFmtId="0" xfId="0" applyAlignment="1" applyBorder="1" applyFont="1">
      <alignment vertical="bottom"/>
    </xf>
    <xf borderId="27" fillId="21" fontId="16" numFmtId="0" xfId="0" applyAlignment="1" applyBorder="1" applyFont="1">
      <alignment vertical="bottom"/>
    </xf>
    <xf borderId="27" fillId="16" fontId="16" numFmtId="0" xfId="0" applyAlignment="1" applyBorder="1" applyFont="1">
      <alignment readingOrder="0" vertical="bottom"/>
    </xf>
    <xf borderId="36" fillId="7" fontId="4" numFmtId="0" xfId="0" applyAlignment="1" applyBorder="1" applyFont="1">
      <alignment readingOrder="0" vertical="bottom"/>
    </xf>
    <xf borderId="0" fillId="0" fontId="8" numFmtId="0" xfId="0" applyAlignment="1" applyFont="1">
      <alignment horizontal="left" vertical="center"/>
    </xf>
    <xf borderId="110" fillId="2" fontId="1" numFmtId="0" xfId="0" applyAlignment="1" applyBorder="1" applyFont="1">
      <alignment horizontal="center" vertical="center"/>
    </xf>
    <xf borderId="111" fillId="0" fontId="2" numFmtId="0" xfId="0" applyAlignment="1" applyBorder="1" applyFont="1">
      <alignment vertical="center"/>
    </xf>
    <xf borderId="112" fillId="0" fontId="2" numFmtId="0" xfId="0" applyAlignment="1" applyBorder="1" applyFont="1">
      <alignment vertical="center"/>
    </xf>
    <xf borderId="113" fillId="2" fontId="3" numFmtId="0" xfId="0" applyAlignment="1" applyBorder="1" applyFont="1">
      <alignment horizontal="center" readingOrder="0" vertical="center"/>
    </xf>
    <xf borderId="113" fillId="0" fontId="3" numFmtId="0" xfId="0" applyAlignment="1" applyBorder="1" applyFont="1">
      <alignment horizontal="left" readingOrder="0" shrinkToFit="0" vertical="center" wrapText="1"/>
    </xf>
    <xf borderId="0" fillId="0" fontId="8" numFmtId="0" xfId="0" applyAlignment="1" applyFont="1">
      <alignment vertical="center"/>
    </xf>
    <xf borderId="113" fillId="2" fontId="3" numFmtId="0" xfId="0" applyAlignment="1" applyBorder="1" applyFont="1">
      <alignment horizontal="center" readingOrder="0" shrinkToFit="0" vertical="center" wrapText="1"/>
    </xf>
    <xf borderId="36" fillId="0" fontId="16" numFmtId="0" xfId="0" applyAlignment="1" applyBorder="1" applyFont="1">
      <alignment horizontal="right" vertical="bottom"/>
    </xf>
    <xf borderId="110" fillId="2" fontId="3" numFmtId="0" xfId="0" applyAlignment="1" applyBorder="1" applyFont="1">
      <alignment horizontal="center" vertical="center"/>
    </xf>
    <xf borderId="27" fillId="0" fontId="4" numFmtId="0" xfId="0" applyAlignment="1" applyBorder="1" applyFont="1">
      <alignment vertical="bottom"/>
    </xf>
    <xf borderId="47" fillId="0" fontId="4"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3" pivot="0" name="2. 타임라인 &amp; 인원관리표-style">
      <tableStyleElement dxfId="1" type="headerRow"/>
      <tableStyleElement dxfId="2" type="firstRowStripe"/>
      <tableStyleElement dxfId="3" type="secondRowStripe"/>
    </tableStyle>
    <tableStyle count="3" pivot="0" name="2. 타임라인 &amp; 인원관리표-style 2">
      <tableStyleElement dxfId="1" type="headerRow"/>
      <tableStyleElement dxfId="2" type="firstRowStripe"/>
      <tableStyleElement dxfId="3" type="secondRowStripe"/>
    </tableStyle>
    <tableStyle count="3" pivot="0" name="2. 타임라인 &amp; 인원관리표-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2:F63" displayName="Table_1" name="Table_1" id="1">
  <tableColumns count="5">
    <tableColumn name="Column1" id="1"/>
    <tableColumn name="Column2" id="2"/>
    <tableColumn name="Column3" id="3"/>
    <tableColumn name="Column4" id="4"/>
    <tableColumn name="Column5" id="5"/>
  </tableColumns>
  <tableStyleInfo name="2. 타임라인 &amp; 인원관리표-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B75:E102" displayName="Table_2" name="Table_2" id="2">
  <tableColumns count="4">
    <tableColumn name="Column1" id="1"/>
    <tableColumn name="Column2" id="2"/>
    <tableColumn name="Column3" id="3"/>
    <tableColumn name="Column4" id="4"/>
  </tableColumns>
  <tableStyleInfo name="2. 타임라인 &amp; 인원관리표-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104:E131" displayName="Table_3" name="Table_3" id="3">
  <tableColumns count="4">
    <tableColumn name="Column1" id="1"/>
    <tableColumn name="Column2" id="2"/>
    <tableColumn name="Column3" id="3"/>
    <tableColumn name="Column4" id="4"/>
  </tableColumns>
  <tableStyleInfo name="2. 타임라인 &amp; 인원관리표-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u/0/d/1OC2ujsKjqcZTZWxnDcXqY6fTlJrool4yGVn9Lodkuy4/edit" TargetMode="External"/><Relationship Id="rId2" Type="http://schemas.openxmlformats.org/officeDocument/2006/relationships/hyperlink" Target="https://docs.google.com/document/u/0/d/1OC2ujsKjqcZTZWxnDcXqY6fTlJrool4yGVn9Lodkuy4/edit" TargetMode="External"/><Relationship Id="rId3" Type="http://schemas.openxmlformats.org/officeDocument/2006/relationships/hyperlink" Target="https://docs.google.com/document/u/0/d/1OC2ujsKjqcZTZWxnDcXqY6fTlJrool4yGVn9Lodkuy4/edit" TargetMode="External"/><Relationship Id="rId4" Type="http://schemas.openxmlformats.org/officeDocument/2006/relationships/hyperlink" Target="https://docs.google.com/document/u/0/d/1OC2ujsKjqcZTZWxnDcXqY6fTlJrool4yGVn9Lodkuy4/edit" TargetMode="External"/><Relationship Id="rId5" Type="http://schemas.openxmlformats.org/officeDocument/2006/relationships/hyperlink" Target="https://docs.google.com/document/u/0/d/1OC2ujsKjqcZTZWxnDcXqY6fTlJrool4yGVn9Lodkuy4/edit"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mN81Txj4druWwsVVPqNF68gVLoqNz-KiK536TFeiOvQ/edit" TargetMode="External"/><Relationship Id="rId2" Type="http://schemas.openxmlformats.org/officeDocument/2006/relationships/hyperlink" Target="https://docs.google.com/spreadsheets/d/1YEHl5QWqQIPrswdkxf-VJeLJqiCVDarFEP-Q0YbHW1U/edit" TargetMode="External"/><Relationship Id="rId3" Type="http://schemas.openxmlformats.org/officeDocument/2006/relationships/hyperlink" Target="https://gamerental.kr/product/detail.html?product_no=47&amp;cate_no=25&amp;display_group=1" TargetMode="External"/><Relationship Id="rId4" Type="http://schemas.openxmlformats.org/officeDocument/2006/relationships/hyperlink" Target="https://gamerental.kr/product/detail.html?product_no=68&amp;cate_no=27&amp;display_group=1" TargetMode="External"/><Relationship Id="rId5" Type="http://schemas.openxmlformats.org/officeDocument/2006/relationships/hyperlink" Target="https://www.coupang.com/vp/products/5585425593?itemId=20398537052&amp;vendorItemId=86469814060&amp;q=%EB%AC%BC&amp;itemsCount=33&amp;searchId=17c84aa24db94d148a7028e19fc24c0e&amp;rank=14&amp;isAddedCart=" TargetMode="External"/><Relationship Id="rId6" Type="http://schemas.openxmlformats.org/officeDocument/2006/relationships/hyperlink" Target="https://smartstore.naver.com/rioplus/products/5481786448?NaPm=ct%3Dlup3t5w0%7Cci%3Dc716a0adedeba190c8e6ef560a0b240774afa104%7Ctr%3Dsls%7Csn%3D3421178%7Chk%3D5575ecfb700e4b1b0fee5e743a3d5cc2afb88847"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www.coupang.com/vp/products/29533974?itemId=112898936&amp;vendorItemId=3213724573&amp;sourceType=srp_product_ads&amp;clickEventId=8f7cf8d0-3741-11f1-b3dc-c7f9dd45f425&amp;korePlacement=15&amp;koreSubPlacement=1&amp;clickEventId=8f7cf8d0-3741-11f1-b3dc-c7f9dd45f425&amp;korePlacement=15&amp;koreSubPlacement=1&amp;traceId=mnx9le6k" TargetMode="External"/><Relationship Id="rId22" Type="http://schemas.openxmlformats.org/officeDocument/2006/relationships/hyperlink" Target="https://www.coupang.com/vp/products/29533974?itemId=112898940&amp;vendorItemId=3213929525&amp;sourceType=srp_product_ads&amp;clickEventId=8f7cf8d0-3741-11f1-b3dc-c7f9dd45f425&amp;korePlacement=15&amp;koreSubPlacement=1&amp;clickEventId=8f7cf8d0-3741-11f1-b3dc-c7f9dd45f425&amp;korePlacement=15&amp;koreSubPlacement=1&amp;traceId=mnx9le6k" TargetMode="External"/><Relationship Id="rId21" Type="http://schemas.openxmlformats.org/officeDocument/2006/relationships/hyperlink" Target="https://www.coupang.com/vp/products/29533974?itemId=112898943&amp;vendorItemId=3214073142&amp;sourceType=srp_product_ads&amp;clickEventId=8f7cf8d0-3741-11f1-b3dc-c7f9dd45f425&amp;korePlacement=15&amp;koreSubPlacement=1&amp;clickEventId=8f7cf8d0-3741-11f1-b3dc-c7f9dd45f425&amp;korePlacement=15&amp;koreSubPlacement=1&amp;traceId=mnx9le6k" TargetMode="External"/><Relationship Id="rId24" Type="http://schemas.openxmlformats.org/officeDocument/2006/relationships/hyperlink" Target="https://www.coupang.com/vp/products/29533974?itemId=112898941&amp;vendorItemId=3214524157&amp;sourceType=srp_product_ads&amp;clickEventId=8f7cf8d0-3741-11f1-b3dc-c7f9dd45f425&amp;korePlacement=15&amp;koreSubPlacement=1&amp;clickEventId=8f7cf8d0-3741-11f1-b3dc-c7f9dd45f425&amp;korePlacement=15&amp;koreSubPlacement=1&amp;traceId=mnx9le6k" TargetMode="External"/><Relationship Id="rId23" Type="http://schemas.openxmlformats.org/officeDocument/2006/relationships/hyperlink" Target="https://www.coupang.com/vp/products/29533974?itemId=112898942&amp;vendorItemId=3213936121&amp;sourceType=srp_product_ads&amp;clickEventId=8f7cf8d0-3741-11f1-b3dc-c7f9dd45f425&amp;korePlacement=15&amp;koreSubPlacement=1&amp;clickEventId=8f7cf8d0-3741-11f1-b3dc-c7f9dd45f425&amp;korePlacement=15&amp;koreSubPlacement=1&amp;traceId=mnx9le6k" TargetMode="External"/><Relationship Id="rId1" Type="http://schemas.openxmlformats.org/officeDocument/2006/relationships/hyperlink" Target="https://smartstore.naver.com/youneedun_official/products/8560408431?nl-query=%EC%83%89%EA%B9%94+%ED%8C%90&amp;nl-ts-pid=jOPywsqXKZGssP6a5Ls-465428&amp;NaPm=ct%3Dmnrjxwg8%7Cci%3Debea21b8e8a77bc7f702f18692ecdc7e03d11e8c%7Ctr%3Dsls%7Csn%3D6042554%7Chk%3D7753a7bc3d74ed81d34f15eec6ad702f7633b9b0" TargetMode="External"/><Relationship Id="rId2" Type="http://schemas.openxmlformats.org/officeDocument/2006/relationships/hyperlink" Target="https://www.coupang.com/vp/products/6671696651?itemId=15352091516&amp;vendorItemId=82572322173&amp;pickType=COU_PICK&amp;q=%ED%88%AC%EB%AA%85%ED%85%8C%EC%9D%B4%ED%94%84&amp;searchId=522433253669670&amp;sourceType=search&amp;itemsCount=36&amp;searchRank=2&amp;rank=2&amp;traceId=mnrmpect" TargetMode="External"/><Relationship Id="rId3" Type="http://schemas.openxmlformats.org/officeDocument/2006/relationships/hyperlink" Target="https://www.coupang.com/vp/products/5625704601?itemId=9133866797&amp;vendorItemId=86137790576&amp;pickType=COU_PICK&amp;q=%EB%AC%BC+%EB%AC%B4%EB%9D%BC%EB%B2%A8+500ml&amp;itemsCount=36&amp;searchId=60dcdd0a2337972&amp;rank=0&amp;searchRank=0&amp;isAddedCart=" TargetMode="External"/><Relationship Id="rId4" Type="http://schemas.openxmlformats.org/officeDocument/2006/relationships/hyperlink" Target="https://www.coupang.com/vp/products/1650278?itemId=25935747693&amp;vendorItemId=92919100029&amp;pickType=COU_PICK&amp;q=%EA%B2%8C%ED%86%A0%EB%A0%88%EC%9D%B4&amp;searchId=c4a3553d867706&amp;sourceType=search&amp;itemsCount=35&amp;searchRank=2&amp;rank=2&amp;traceId=motvkt9w" TargetMode="External"/><Relationship Id="rId9" Type="http://schemas.openxmlformats.org/officeDocument/2006/relationships/hyperlink" Target="https://www.coupang.com/vp/products/8244758625?itemId=294418082&amp;vendorItemId=85500815024&amp;q=%EC%8B%A0%EC%AB%84%EC%9D%B4&amp;itemsCount=36&amp;searchId=241446ce1230593&amp;rank=3&amp;searchRank=3&amp;isAddedCart=" TargetMode="External"/><Relationship Id="rId26" Type="http://schemas.openxmlformats.org/officeDocument/2006/relationships/hyperlink" Target="https://www.coupang.com/vp/products/1082876317?itemId=16257413452&amp;vendorItemId=90418599363&amp;pickType=COU_PICK&amp;q=%EA%B3%A0%EA%B5%AC%EB%A7%88%EC%8A%A4%ED%8B%B1&amp;searchId=ac5cb5691999417&amp;sourceType=search&amp;itemsCount=36&amp;searchRank=0&amp;rank=0&amp;traceId=mfe515x8" TargetMode="External"/><Relationship Id="rId25" Type="http://schemas.openxmlformats.org/officeDocument/2006/relationships/hyperlink" Target="https://www.topntop.co.kr/shop/goods/goods_view.php?goodsno=14493&amp;category=001" TargetMode="External"/><Relationship Id="rId28" Type="http://schemas.openxmlformats.org/officeDocument/2006/relationships/hyperlink" Target="https://www.coupang.com/vp/products/8174361304?itemId=23357867452&amp;vendorItemId=90388433128&amp;q=%EC%BF%A0%ED%82%A4%EB%9E%91+%EB%A8%B9%EC%9D%84+%EC%A3%BC%EC%8A%A4&amp;itemsCount=36&amp;searchId=ca07d92817950&amp;rank=0&amp;searchRank=0&amp;isAddedCart=" TargetMode="External"/><Relationship Id="rId27" Type="http://schemas.openxmlformats.org/officeDocument/2006/relationships/hyperlink" Target="https://www.coupang.com/vp/products/7673161101?itemId=24413510888&amp;vendorItemId=87875617274&amp;pickType=COU_PICK&amp;q=%EC%97%90%EB%84%88%EC%A7%80%EB%B0%94&amp;searchId=f1b9a167102846&amp;sourceType=search&amp;itemsCount=36&amp;searchRank=3&amp;rank=3&amp;traceId=mfe3bg0v" TargetMode="External"/><Relationship Id="rId5" Type="http://schemas.openxmlformats.org/officeDocument/2006/relationships/hyperlink" Target="https://www.coupang.com/vp/products/7230296106?itemId=18344875277&amp;vendorItemId=86150796269&amp;q=%EB%8B%AC%EA%B3%A0%EB%82%98+2%EA%B0%9C&amp;itemsCount=36&amp;searchId=508832dc940381&amp;rank=53&amp;searchRank=17&amp;isAddedCart=" TargetMode="External"/><Relationship Id="rId6" Type="http://schemas.openxmlformats.org/officeDocument/2006/relationships/hyperlink" Target="https://www.coupang.com/vp/products/6155420054?itemId=19239199829&amp;vendorItemId=71503717362&amp;pickType=COU_PICK&amp;q=%EB%B0%9C%ED%8F%AC%EB%B9%84%ED%83%80%EB%AF%BC&amp;itemsCount=36&amp;searchId=7ee987d45174216&amp;rank=0&amp;searchRank=0&amp;isAddedCart=" TargetMode="External"/><Relationship Id="rId29" Type="http://schemas.openxmlformats.org/officeDocument/2006/relationships/hyperlink" Target="https://www.coupang.com/vp/products/6261699447?itemId=12753822094&amp;vendorItemId=80020102996&amp;q=%EA%B8%88%EB%A9%94%EB%8B%AC+20%EA%B0%9C&amp;itemsCount=36&amp;searchId=46f2af8c2299075&amp;rank=1&amp;searchRank=1&amp;isAddedCart=" TargetMode="External"/><Relationship Id="rId7" Type="http://schemas.openxmlformats.org/officeDocument/2006/relationships/hyperlink" Target="https://www.coupang.com/vp/products/8128986977?itemId=10810139370&amp;vendorItemId=86607945075&amp;q=%EB%B3%84%EB%BD%80%EB%B9%A0%EC%9D%B4&amp;itemsCount=36&amp;searchId=3e20ba69376330&amp;rank=0&amp;searchRank=0&amp;isAddedCart=" TargetMode="External"/><Relationship Id="rId8" Type="http://schemas.openxmlformats.org/officeDocument/2006/relationships/hyperlink" Target="https://www.coupang.com/vp/products/7203904313?itemId=21668114878&amp;vendorItemId=91452418243&amp;sourceType=srp_product_ads&amp;clickEventId=547e4f60-342e-11f1-a918-8f098ceba0fb&amp;korePlacement=15&amp;koreSubPlacement=1&amp;clickEventId=547e4f60-342e-11f1-a918-8f098ceba0fb&amp;korePlacement=15&amp;koreSubPlacement=1&amp;traceId=mnro9y77" TargetMode="External"/><Relationship Id="rId31" Type="http://schemas.openxmlformats.org/officeDocument/2006/relationships/hyperlink" Target="https://www.coupang.com/vp/products/7318043254?itemId=18763275561&amp;vendorItemId=85895086210&amp;pickType=COU_PICK&amp;q=%EB%B6%80%EC%B1%84&amp;itemsCount=36&amp;searchId=b00dcb541257132&amp;rank=1&amp;searchRank=1&amp;isAddedCart=" TargetMode="External"/><Relationship Id="rId30" Type="http://schemas.openxmlformats.org/officeDocument/2006/relationships/hyperlink" Target="https://www.coupang.com/vp/products/1477801942?itemId=2539080661&amp;vendorItemId=70531854415&amp;q=%EC%9A%B4%EB%8F%99%ED%9A%8C+%EC%9A%B0%EC%8A%B9+%ED%8A%B8%EB%A1%9C%ED%94%BC&amp;itemsCount=36&amp;searchId=da5299942324653&amp;rank=0&amp;searchRank=0&amp;isAddedCart=" TargetMode="External"/><Relationship Id="rId11" Type="http://schemas.openxmlformats.org/officeDocument/2006/relationships/hyperlink" Target="https://gamerental.kr/product/detail.html?product_no=47&amp;cate_no=25&amp;display_group=1" TargetMode="External"/><Relationship Id="rId33" Type="http://schemas.openxmlformats.org/officeDocument/2006/relationships/hyperlink" Target="https://www.coupang.com/vp/products/7640375378?itemId=20299196824&amp;vendorItemId=87385204260&amp;q=%EC%8A%88%ED%8D%BC+%EB%A7%88%EB%A6%AC%EC%98%A4+%EB%B0%B0%EA%B2%BD&amp;searchId=91e9eb5c1176213&amp;sourceType=search&amp;itemsCount=60&amp;searchRank=22&amp;rank=22&amp;traceId=mnyn6kjd" TargetMode="External"/><Relationship Id="rId10" Type="http://schemas.openxmlformats.org/officeDocument/2006/relationships/hyperlink" Target="https://www.coupang.com/vp/products/7665332800?itemId=20432605572&amp;vendorItemId=79820084798&amp;q=%EC%9A%B4%EB%8F%99+%ED%9B%84+%EC%82%AC%ED%83%95&amp;itemsCount=36&amp;searchId=1b7db0bf1074766&amp;rank=1&amp;searchRank=1&amp;isAddedCart=" TargetMode="External"/><Relationship Id="rId32" Type="http://schemas.openxmlformats.org/officeDocument/2006/relationships/hyperlink" Target="https://www.coupang.com/vp/products/8960657461?vendorItemId=94930569006&amp;sourceType=SDP_ALSO_VIEWED" TargetMode="External"/><Relationship Id="rId13" Type="http://schemas.openxmlformats.org/officeDocument/2006/relationships/hyperlink" Target="https://www.coupang.com/vp/products/8364298166?itemId=24166242362&amp;vendorItemId=91184631395&amp;src=1191000&amp;spec=10999999&amp;addtag=400&amp;ctag=8364298166&amp;lptag=CFM34803762&amp;itime=20260410004803&amp;pageType=PRODUCT&amp;pageValue=8364298166&amp;wPcid=17737232905412231578312&amp;wRef=&amp;wTime=20260410004803&amp;redirect=landing&amp;abTestInfo=100412_group_C%2F%3Fstyle%3Dkakao_existing_ui&amp;mcid=fb357bcbb0f04b7595b080c36aa9dab9&amp;sharesource=sharebutton&amp;style=&amp;isshortened=Y&amp;settlement=N" TargetMode="External"/><Relationship Id="rId35" Type="http://schemas.openxmlformats.org/officeDocument/2006/relationships/hyperlink" Target="https://www.coupang.com/vp/products/7996171515?itemId=22245300606&amp;vendorItemId=89291116626&amp;q=%EB%A7%88%EB%A6%AC%EC%98%A4+%EB%AA%A8%EC%9E%90&amp;searchId=3ded64171968575&amp;sourceType=search&amp;itemsCount=60&amp;searchRank=14&amp;rank=14&amp;traceId=mnynj4x3" TargetMode="External"/><Relationship Id="rId12" Type="http://schemas.openxmlformats.org/officeDocument/2006/relationships/hyperlink" Target="https://gamerental.kr/product/detail.html?product_no=78&amp;cate_no=28&amp;display_group=1" TargetMode="External"/><Relationship Id="rId34" Type="http://schemas.openxmlformats.org/officeDocument/2006/relationships/hyperlink" Target="https://www.coupang.com/vp/products/7685887140?itemId=20539738506&amp;vendorItemId=92233756252&amp;sourceType=srp_product_ads&amp;clickEventId=ef6c8540-3803-11f1-988d-91104679256f&amp;korePlacement=15&amp;koreSubPlacement=1&amp;clickEventId=ef6c8540-3803-11f1-988d-91104679256f&amp;korePlacement=15&amp;koreSubPlacement=1&amp;traceId=mnyn8y10" TargetMode="External"/><Relationship Id="rId15" Type="http://schemas.openxmlformats.org/officeDocument/2006/relationships/hyperlink" Target="https://www.coupang.com/vp/products/1516047654?itemId=2601916996&amp;vendorItemId=70593079872&amp;sourceType=SDW_TOP_SELLING_WIDGET_V2&amp;searchId=f4b8bbd23698221&amp;q=%EB%AC%BC%EC%B4%9D" TargetMode="External"/><Relationship Id="rId37" Type="http://schemas.openxmlformats.org/officeDocument/2006/relationships/hyperlink" Target="https://www.coupang.com/vp/products/8719918331?itemId=25328549440&amp;vendorItemId=92323392297&amp;sourceType=srp_product_ads&amp;clickEventId=a80be5e0-3805-11f1-9be4-3567864d250e&amp;korePlacement=15&amp;koreSubPlacement=22&amp;clickEventId=a80be5e0-3805-11f1-9be4-3567864d250e&amp;korePlacement=15&amp;koreSubPlacement=22&amp;traceId=mnynp930" TargetMode="External"/><Relationship Id="rId14" Type="http://schemas.openxmlformats.org/officeDocument/2006/relationships/hyperlink" Target="https://www.coupang.com/vp/products/5482292808?itemId=8460726831&amp;vendorItemId=75748300488&amp;q=%EB%A7%88%EB%A6%AC%EC%98%A4+%EC%8A%A4%ED%8B%B0%EC%BB%A4&amp;searchId=fedb21e93794966&amp;sourceType=search&amp;itemsCount=36&amp;searchRank=4&amp;rank=4&amp;traceId=mnrllifq" TargetMode="External"/><Relationship Id="rId36" Type="http://schemas.openxmlformats.org/officeDocument/2006/relationships/hyperlink" Target="https://www.coupang.com/vp/products/7996171515?itemId=22245300605&amp;vendorItemId=89291116631&amp;q=%EB%A7%88%EB%A6%AC%EC%98%A4+%EB%AA%A8%EC%9E%90&amp;searchId=3ded64171968575&amp;sourceType=search&amp;itemsCount=60&amp;searchRank=14&amp;rank=14&amp;traceId=mnynj4x3" TargetMode="External"/><Relationship Id="rId17" Type="http://schemas.openxmlformats.org/officeDocument/2006/relationships/hyperlink" Target="https://www.coupang.com/vp/products/8399821648?itemId=24280944916&amp;vendorItemId=91297278939&amp;q=%EB%A7%88%EB%A6%AC%EC%98%A4+%EB%AA%A8%EC%9E%90&amp;searchId=e123b0403925425&amp;sourceType=search&amp;itemsCount=36&amp;searchRank=2&amp;rank=2&amp;traceId=mnrly7tm" TargetMode="External"/><Relationship Id="rId39" Type="http://schemas.openxmlformats.org/officeDocument/2006/relationships/drawing" Target="../drawings/drawing7.xml"/><Relationship Id="rId16" Type="http://schemas.openxmlformats.org/officeDocument/2006/relationships/hyperlink" Target="https://www.coupang.com/vp/products/8399821648?itemId=24280944915&amp;vendorItemId=91297278941&amp;q=%EB%A7%88%EB%A6%AC%EC%98%A4+%EB%AA%A8%EC%9E%90&amp;searchId=e123b0403925425&amp;sourceType=search&amp;itemsCount=36&amp;searchRank=2&amp;rank=2&amp;traceId=mnrly7tm" TargetMode="External"/><Relationship Id="rId38" Type="http://schemas.openxmlformats.org/officeDocument/2006/relationships/hyperlink" Target="https://www.bizhows.com/ko/v/option?code1=4000&amp;code2=200&amp;code3=1001&amp;mock=4000_200_1001_6&amp;priorityKeywordCategory=&amp;defaultKeyword=" TargetMode="External"/><Relationship Id="rId19" Type="http://schemas.openxmlformats.org/officeDocument/2006/relationships/hyperlink" Target="https://www.coupang.com/vp/products/7849796436?itemId=21392878497&amp;vendorItemId=88449574662&amp;q=%EB%B6%84%EB%A6%AC%EC%88%98%EA%B1%B0+%EB%B4%89%ED%88%AC&amp;itemsCount=36&amp;searchId=52429e5e2185856&amp;rank=7&amp;searchRank=7&amp;isAddedCart=" TargetMode="External"/><Relationship Id="rId18" Type="http://schemas.openxmlformats.org/officeDocument/2006/relationships/hyperlink" Target="https://www.coupang.com/vp/products/9491510937?itemId=28242057080&amp;vendorItemId=95155930630&amp;q=%EB%A7%88%EB%A6%AC%EC%98%A4+%ED%83%80%ED%88%AC%EC%8A%A4%ED%8B%B0%EC%BB%A4&amp;searchId=c73e3e2d7639083&amp;sourceType=search&amp;itemsCount=60&amp;searchRank=13&amp;rank=13&amp;traceId=mnx9grop" TargetMode="External"/></Relationships>
</file>

<file path=xl/worksheets/_rels/sheet8.xml.rels><?xml version="1.0" encoding="UTF-8" standalone="yes"?><Relationships xmlns="http://schemas.openxmlformats.org/package/2006/relationships"><Relationship Id="rId40" Type="http://schemas.openxmlformats.org/officeDocument/2006/relationships/drawing" Target="../drawings/drawing8.xml"/><Relationship Id="rId20" Type="http://schemas.openxmlformats.org/officeDocument/2006/relationships/hyperlink" Target="https://www.coupang.com/vp/products/7849796436?itemId=21392878497&amp;vendorItemId=88449574662&amp;q=%EB%B6%84%EB%A6%AC%EC%88%98%EA%B1%B0+%EB%B4%89%ED%88%AC&amp;itemsCount=36&amp;searchId=52429e5e2185856&amp;rank=7&amp;searchRank=7&amp;isAddedCart=" TargetMode="External"/><Relationship Id="rId22" Type="http://schemas.openxmlformats.org/officeDocument/2006/relationships/hyperlink" Target="https://www.coupang.com/vp/products/29533974?itemId=112898943&amp;vendorItemId=3214073142&amp;sourceType=srp_product_ads&amp;clickEventId=8f7cf8d0-3741-11f1-b3dc-c7f9dd45f425&amp;korePlacement=15&amp;koreSubPlacement=1&amp;clickEventId=8f7cf8d0-3741-11f1-b3dc-c7f9dd45f425&amp;korePlacement=15&amp;koreSubPlacement=1&amp;traceId=mnx9le6k" TargetMode="External"/><Relationship Id="rId21" Type="http://schemas.openxmlformats.org/officeDocument/2006/relationships/hyperlink" Target="https://www.coupang.com/vp/products/29533974?itemId=112898936&amp;vendorItemId=3213724573&amp;sourceType=srp_product_ads&amp;clickEventId=8f7cf8d0-3741-11f1-b3dc-c7f9dd45f425&amp;korePlacement=15&amp;koreSubPlacement=1&amp;clickEventId=8f7cf8d0-3741-11f1-b3dc-c7f9dd45f425&amp;korePlacement=15&amp;koreSubPlacement=1&amp;traceId=mnx9le6k" TargetMode="External"/><Relationship Id="rId24" Type="http://schemas.openxmlformats.org/officeDocument/2006/relationships/hyperlink" Target="https://www.coupang.com/vp/products/29533974?itemId=112898942&amp;vendorItemId=3213936121&amp;sourceType=srp_product_ads&amp;clickEventId=8f7cf8d0-3741-11f1-b3dc-c7f9dd45f425&amp;korePlacement=15&amp;koreSubPlacement=1&amp;clickEventId=8f7cf8d0-3741-11f1-b3dc-c7f9dd45f425&amp;korePlacement=15&amp;koreSubPlacement=1&amp;traceId=mnx9le6k" TargetMode="External"/><Relationship Id="rId23" Type="http://schemas.openxmlformats.org/officeDocument/2006/relationships/hyperlink" Target="https://www.coupang.com/vp/products/29533974?itemId=112898940&amp;vendorItemId=3213929525&amp;sourceType=srp_product_ads&amp;clickEventId=8f7cf8d0-3741-11f1-b3dc-c7f9dd45f425&amp;korePlacement=15&amp;koreSubPlacement=1&amp;clickEventId=8f7cf8d0-3741-11f1-b3dc-c7f9dd45f425&amp;korePlacement=15&amp;koreSubPlacement=1&amp;traceId=mnx9le6k" TargetMode="External"/><Relationship Id="rId1" Type="http://schemas.openxmlformats.org/officeDocument/2006/relationships/hyperlink" Target="https://smartstore.naver.com/youneedun_official/products/8560408431?nl-query=%EC%83%89%EA%B9%94+%ED%8C%90&amp;nl-ts-pid=jOPywsqXKZGssP6a5Ls-465428&amp;NaPm=ct%3Dmnrjxwg8%7Cci%3Debea21b8e8a77bc7f702f18692ecdc7e03d11e8c%7Ctr%3Dsls%7Csn%3D6042554%7Chk%3D7753a7bc3d74ed81d34f15eec6ad702f7633b9b0" TargetMode="External"/><Relationship Id="rId2" Type="http://schemas.openxmlformats.org/officeDocument/2006/relationships/hyperlink" Target="https://www.coupang.com/vp/products/6671696651?itemId=15352091516&amp;vendorItemId=82572322173&amp;pickType=COU_PICK&amp;q=%ED%88%AC%EB%AA%85%ED%85%8C%EC%9D%B4%ED%94%84&amp;searchId=522433253669670&amp;sourceType=search&amp;itemsCount=36&amp;searchRank=2&amp;rank=2&amp;traceId=mnrmpect" TargetMode="External"/><Relationship Id="rId3" Type="http://schemas.openxmlformats.org/officeDocument/2006/relationships/hyperlink" Target="https://www.coupang.com/vp/products/5625704601?itemId=9133866797&amp;vendorItemId=86137790576&amp;pickType=COU_PICK&amp;q=%EB%AC%BC+%EB%AC%B4%EB%9D%BC%EB%B2%A8+500ml&amp;itemsCount=36&amp;searchId=60dcdd0a2337972&amp;rank=0&amp;searchRank=0&amp;isAddedCart=" TargetMode="External"/><Relationship Id="rId4" Type="http://schemas.openxmlformats.org/officeDocument/2006/relationships/hyperlink" Target="https://www.coupang.com/vp/products/6959793257?itemId=18136852977&amp;vendorItemId=88378499202&amp;q=%EC%9D%B4%EC%98%A8%EC%9D%8C%EB%A3%8C&amp;searchId=3a6fe17513961&amp;sourceType=search&amp;itemsCount=36&amp;searchRank=2&amp;rank=2&amp;traceId=mfe2hvc3" TargetMode="External"/><Relationship Id="rId9" Type="http://schemas.openxmlformats.org/officeDocument/2006/relationships/hyperlink" Target="https://www.coupang.com/vp/products/7203904313?itemId=21668114878&amp;vendorItemId=91452418243&amp;sourceType=srp_product_ads&amp;clickEventId=547e4f60-342e-11f1-a918-8f098ceba0fb&amp;korePlacement=15&amp;koreSubPlacement=1&amp;clickEventId=547e4f60-342e-11f1-a918-8f098ceba0fb&amp;korePlacement=15&amp;koreSubPlacement=1&amp;traceId=mnro9y77" TargetMode="External"/><Relationship Id="rId26" Type="http://schemas.openxmlformats.org/officeDocument/2006/relationships/hyperlink" Target="https://www.topntop.co.kr/shop/goods/goods_view.php?goodsno=14493&amp;category=001" TargetMode="External"/><Relationship Id="rId25" Type="http://schemas.openxmlformats.org/officeDocument/2006/relationships/hyperlink" Target="https://www.coupang.com/vp/products/29533974?itemId=112898941&amp;vendorItemId=3214524157&amp;sourceType=srp_product_ads&amp;clickEventId=8f7cf8d0-3741-11f1-b3dc-c7f9dd45f425&amp;korePlacement=15&amp;koreSubPlacement=1&amp;clickEventId=8f7cf8d0-3741-11f1-b3dc-c7f9dd45f425&amp;korePlacement=15&amp;koreSubPlacement=1&amp;traceId=mnx9le6k" TargetMode="External"/><Relationship Id="rId28" Type="http://schemas.openxmlformats.org/officeDocument/2006/relationships/hyperlink" Target="https://www.coupang.com/vp/products/7673161101?itemId=24413510888&amp;vendorItemId=87875617274&amp;pickType=COU_PICK&amp;q=%EC%97%90%EB%84%88%EC%A7%80%EB%B0%94&amp;searchId=f1b9a167102846&amp;sourceType=search&amp;itemsCount=36&amp;searchRank=3&amp;rank=3&amp;traceId=mfe3bg0v" TargetMode="External"/><Relationship Id="rId27" Type="http://schemas.openxmlformats.org/officeDocument/2006/relationships/hyperlink" Target="https://www.coupang.com/vp/products/1082876317?itemId=16257413452&amp;vendorItemId=90418599363&amp;pickType=COU_PICK&amp;q=%EA%B3%A0%EA%B5%AC%EB%A7%88%EC%8A%A4%ED%8B%B1&amp;searchId=ac5cb5691999417&amp;sourceType=search&amp;itemsCount=36&amp;searchRank=0&amp;rank=0&amp;traceId=mfe515x8" TargetMode="External"/><Relationship Id="rId5" Type="http://schemas.openxmlformats.org/officeDocument/2006/relationships/hyperlink" Target="https://www.coupang.com/vp/products/8544933292?itemId=548226098&amp;vendorItemId=85072693047&amp;pickType=COU_PICK&amp;q=%EC%9D%B4%EC%98%A8%EC%9D%8C%EB%A3%8C+%EB%AC%B4%EB%9D%BC%EB%B2%A8&amp;itemsCount=36&amp;searchId=a190830e542358&amp;rank=1&amp;searchRank=1&amp;isAddedCart=" TargetMode="External"/><Relationship Id="rId6" Type="http://schemas.openxmlformats.org/officeDocument/2006/relationships/hyperlink" Target="https://www.coupang.com/vp/products/7230296106?itemId=18344875277&amp;vendorItemId=86150796269&amp;q=%EB%8B%AC%EA%B3%A0%EB%82%98+2%EA%B0%9C&amp;itemsCount=36&amp;searchId=508832dc940381&amp;rank=53&amp;searchRank=17&amp;isAddedCart=" TargetMode="External"/><Relationship Id="rId29" Type="http://schemas.openxmlformats.org/officeDocument/2006/relationships/hyperlink" Target="https://www.coupang.com/vp/products/8174361304?itemId=23357867452&amp;vendorItemId=90388433128&amp;q=%EC%BF%A0%ED%82%A4%EB%9E%91+%EB%A8%B9%EC%9D%84+%EC%A3%BC%EC%8A%A4&amp;itemsCount=36&amp;searchId=ca07d92817950&amp;rank=0&amp;searchRank=0&amp;isAddedCart=" TargetMode="External"/><Relationship Id="rId7" Type="http://schemas.openxmlformats.org/officeDocument/2006/relationships/hyperlink" Target="https://www.coupang.com/vp/products/6155420054?itemId=19239199829&amp;vendorItemId=71503717362&amp;pickType=COU_PICK&amp;q=%EB%B0%9C%ED%8F%AC%EB%B9%84%ED%83%80%EB%AF%BC&amp;itemsCount=36&amp;searchId=7ee987d45174216&amp;rank=0&amp;searchRank=0&amp;isAddedCart=" TargetMode="External"/><Relationship Id="rId8" Type="http://schemas.openxmlformats.org/officeDocument/2006/relationships/hyperlink" Target="https://www.coupang.com/vp/products/8128986977?itemId=10810139370&amp;vendorItemId=86607945075&amp;q=%EB%B3%84%EB%BD%80%EB%B9%A0%EC%9D%B4&amp;itemsCount=36&amp;searchId=3e20ba69376330&amp;rank=0&amp;searchRank=0&amp;isAddedCart=" TargetMode="External"/><Relationship Id="rId31" Type="http://schemas.openxmlformats.org/officeDocument/2006/relationships/hyperlink" Target="https://www.coupang.com/vp/products/1477801942?itemId=2539080661&amp;vendorItemId=70531854415&amp;q=%EC%9A%B4%EB%8F%99%ED%9A%8C+%EC%9A%B0%EC%8A%B9+%ED%8A%B8%EB%A1%9C%ED%94%BC&amp;itemsCount=36&amp;searchId=da5299942324653&amp;rank=0&amp;searchRank=0&amp;isAddedCart=" TargetMode="External"/><Relationship Id="rId30" Type="http://schemas.openxmlformats.org/officeDocument/2006/relationships/hyperlink" Target="https://www.coupang.com/vp/products/6261699447?itemId=12753822094&amp;vendorItemId=80020102996&amp;q=%EA%B8%88%EB%A9%94%EB%8B%AC+20%EA%B0%9C&amp;itemsCount=36&amp;searchId=46f2af8c2299075&amp;rank=1&amp;searchRank=1&amp;isAddedCart=" TargetMode="External"/><Relationship Id="rId11" Type="http://schemas.openxmlformats.org/officeDocument/2006/relationships/hyperlink" Target="https://www.coupang.com/vp/products/7665332800?itemId=20432605572&amp;vendorItemId=79820084798&amp;q=%EC%9A%B4%EB%8F%99+%ED%9B%84+%EC%82%AC%ED%83%95&amp;itemsCount=36&amp;searchId=1b7db0bf1074766&amp;rank=1&amp;searchRank=1&amp;isAddedCart=" TargetMode="External"/><Relationship Id="rId33" Type="http://schemas.openxmlformats.org/officeDocument/2006/relationships/hyperlink" Target="https://www.coupang.com/vp/products/8960657461?vendorItemId=94930569006&amp;sourceType=SDP_ALSO_VIEWED" TargetMode="External"/><Relationship Id="rId10" Type="http://schemas.openxmlformats.org/officeDocument/2006/relationships/hyperlink" Target="https://www.coupang.com/vp/products/8244758625?itemId=294418082&amp;vendorItemId=85500815024&amp;q=%EC%8B%A0%EC%AB%84%EC%9D%B4&amp;itemsCount=36&amp;searchId=241446ce1230593&amp;rank=3&amp;searchRank=3&amp;isAddedCart=" TargetMode="External"/><Relationship Id="rId32" Type="http://schemas.openxmlformats.org/officeDocument/2006/relationships/hyperlink" Target="https://www.coupang.com/vp/products/7318043254?itemId=18763275561&amp;vendorItemId=85895086210&amp;pickType=COU_PICK&amp;q=%EB%B6%80%EC%B1%84&amp;itemsCount=36&amp;searchId=b00dcb541257132&amp;rank=1&amp;searchRank=1&amp;isAddedCart=" TargetMode="External"/><Relationship Id="rId13" Type="http://schemas.openxmlformats.org/officeDocument/2006/relationships/hyperlink" Target="https://gamerental.kr/product/detail.html?product_no=78&amp;cate_no=28&amp;display_group=1" TargetMode="External"/><Relationship Id="rId35" Type="http://schemas.openxmlformats.org/officeDocument/2006/relationships/hyperlink" Target="https://www.coupang.com/vp/products/7685887140?itemId=20539738506&amp;vendorItemId=92233756252&amp;sourceType=srp_product_ads&amp;clickEventId=ef6c8540-3803-11f1-988d-91104679256f&amp;korePlacement=15&amp;koreSubPlacement=1&amp;clickEventId=ef6c8540-3803-11f1-988d-91104679256f&amp;korePlacement=15&amp;koreSubPlacement=1&amp;traceId=mnyn8y10" TargetMode="External"/><Relationship Id="rId12" Type="http://schemas.openxmlformats.org/officeDocument/2006/relationships/hyperlink" Target="https://gamerental.kr/product/detail.html?product_no=47&amp;cate_no=25&amp;display_group=1" TargetMode="External"/><Relationship Id="rId34" Type="http://schemas.openxmlformats.org/officeDocument/2006/relationships/hyperlink" Target="https://www.coupang.com/vp/products/7640375378?itemId=20299196824&amp;vendorItemId=87385204260&amp;q=%EC%8A%88%ED%8D%BC+%EB%A7%88%EB%A6%AC%EC%98%A4+%EB%B0%B0%EA%B2%BD&amp;searchId=91e9eb5c1176213&amp;sourceType=search&amp;itemsCount=60&amp;searchRank=22&amp;rank=22&amp;traceId=mnyn6kjd" TargetMode="External"/><Relationship Id="rId15" Type="http://schemas.openxmlformats.org/officeDocument/2006/relationships/hyperlink" Target="https://www.coupang.com/vp/products/5482292808?itemId=8460726831&amp;vendorItemId=75748300488&amp;q=%EB%A7%88%EB%A6%AC%EC%98%A4+%EC%8A%A4%ED%8B%B0%EC%BB%A4&amp;searchId=fedb21e93794966&amp;sourceType=search&amp;itemsCount=36&amp;searchRank=4&amp;rank=4&amp;traceId=mnrllifq" TargetMode="External"/><Relationship Id="rId37" Type="http://schemas.openxmlformats.org/officeDocument/2006/relationships/hyperlink" Target="https://www.coupang.com/vp/products/7996171515?itemId=22245300605&amp;vendorItemId=89291116631&amp;q=%EB%A7%88%EB%A6%AC%EC%98%A4+%EB%AA%A8%EC%9E%90&amp;searchId=3ded64171968575&amp;sourceType=search&amp;itemsCount=60&amp;searchRank=14&amp;rank=14&amp;traceId=mnynj4x3" TargetMode="External"/><Relationship Id="rId14" Type="http://schemas.openxmlformats.org/officeDocument/2006/relationships/hyperlink" Target="https://www.coupang.com/vp/products/8364298166?itemId=24166242362&amp;vendorItemId=91184631395&amp;src=1191000&amp;spec=10999999&amp;addtag=400&amp;ctag=8364298166&amp;lptag=CFM34803762&amp;itime=20260410004803&amp;pageType=PRODUCT&amp;pageValue=8364298166&amp;wPcid=17737232905412231578312&amp;wRef=&amp;wTime=20260410004803&amp;redirect=landing&amp;abTestInfo=100412_group_C%2F%3Fstyle%3Dkakao_existing_ui&amp;mcid=fb357bcbb0f04b7595b080c36aa9dab9&amp;sharesource=sharebutton&amp;style=&amp;isshortened=Y&amp;settlement=N" TargetMode="External"/><Relationship Id="rId36" Type="http://schemas.openxmlformats.org/officeDocument/2006/relationships/hyperlink" Target="https://www.coupang.com/vp/products/7996171515?itemId=22245300606&amp;vendorItemId=89291116626&amp;q=%EB%A7%88%EB%A6%AC%EC%98%A4+%EB%AA%A8%EC%9E%90&amp;searchId=3ded64171968575&amp;sourceType=search&amp;itemsCount=60&amp;searchRank=14&amp;rank=14&amp;traceId=mnynj4x3" TargetMode="External"/><Relationship Id="rId17" Type="http://schemas.openxmlformats.org/officeDocument/2006/relationships/hyperlink" Target="https://www.coupang.com/vp/products/8399821648?itemId=24280944915&amp;vendorItemId=91297278941&amp;q=%EB%A7%88%EB%A6%AC%EC%98%A4+%EB%AA%A8%EC%9E%90&amp;searchId=e123b0403925425&amp;sourceType=search&amp;itemsCount=36&amp;searchRank=2&amp;rank=2&amp;traceId=mnrly7tm" TargetMode="External"/><Relationship Id="rId39" Type="http://schemas.openxmlformats.org/officeDocument/2006/relationships/hyperlink" Target="https://www.bizhows.com/ko/v/option?code1=4000&amp;code2=200&amp;code3=1001&amp;mock=4000_200_1001_6&amp;priorityKeywordCategory=&amp;defaultKeyword=" TargetMode="External"/><Relationship Id="rId16" Type="http://schemas.openxmlformats.org/officeDocument/2006/relationships/hyperlink" Target="https://www.coupang.com/vp/products/1516047654?itemId=2601916996&amp;vendorItemId=70593079872&amp;sourceType=SDW_TOP_SELLING_WIDGET_V2&amp;searchId=f4b8bbd23698221&amp;q=%EB%AC%BC%EC%B4%9D" TargetMode="External"/><Relationship Id="rId38" Type="http://schemas.openxmlformats.org/officeDocument/2006/relationships/hyperlink" Target="https://www.coupang.com/vp/products/8719918331?itemId=25328549440&amp;vendorItemId=92323392297&amp;sourceType=srp_product_ads&amp;clickEventId=a80be5e0-3805-11f1-9be4-3567864d250e&amp;korePlacement=15&amp;koreSubPlacement=22&amp;clickEventId=a80be5e0-3805-11f1-9be4-3567864d250e&amp;korePlacement=15&amp;koreSubPlacement=22&amp;traceId=mnynp930" TargetMode="External"/><Relationship Id="rId19" Type="http://schemas.openxmlformats.org/officeDocument/2006/relationships/hyperlink" Target="https://www.coupang.com/vp/products/9491510937?itemId=28242057080&amp;vendorItemId=95155930630&amp;q=%EB%A7%88%EB%A6%AC%EC%98%A4+%ED%83%80%ED%88%AC%EC%8A%A4%ED%8B%B0%EC%BB%A4&amp;searchId=c73e3e2d7639083&amp;sourceType=search&amp;itemsCount=60&amp;searchRank=13&amp;rank=13&amp;traceId=mnx9grop" TargetMode="External"/><Relationship Id="rId18" Type="http://schemas.openxmlformats.org/officeDocument/2006/relationships/hyperlink" Target="https://www.coupang.com/vp/products/8399821648?itemId=24280944916&amp;vendorItemId=91297278939&amp;q=%EB%A7%88%EB%A6%AC%EC%98%A4+%EB%AA%A8%EC%9E%90&amp;searchId=e123b0403925425&amp;sourceType=search&amp;itemsCount=36&amp;searchRank=2&amp;rank=2&amp;traceId=mnrly7t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8"/>
    <col customWidth="1" min="2" max="2" width="10.75"/>
    <col customWidth="1" min="3" max="3" width="23.75"/>
    <col customWidth="1" min="4" max="4" width="33.25"/>
    <col customWidth="1" min="5" max="5" width="60.38"/>
    <col customWidth="1" min="6" max="6" width="4.75"/>
  </cols>
  <sheetData>
    <row r="2" ht="30.0" customHeight="1">
      <c r="B2" s="1" t="s">
        <v>0</v>
      </c>
      <c r="C2" s="2"/>
      <c r="D2" s="2"/>
      <c r="E2" s="3"/>
      <c r="F2" s="4"/>
    </row>
    <row r="3" ht="325.5" customHeight="1">
      <c r="B3" s="6" t="s">
        <v>2</v>
      </c>
      <c r="C3" s="8" t="s">
        <v>4</v>
      </c>
      <c r="D3" s="2"/>
      <c r="E3" s="3"/>
      <c r="F3" s="10"/>
    </row>
    <row r="4" ht="21.0" customHeight="1">
      <c r="B4" s="6" t="s">
        <v>8</v>
      </c>
      <c r="C4" s="14" t="s">
        <v>10</v>
      </c>
      <c r="D4" s="17" t="s">
        <v>13</v>
      </c>
      <c r="E4" s="21" t="s">
        <v>15</v>
      </c>
      <c r="F4" s="10"/>
    </row>
    <row r="5">
      <c r="B5" s="25"/>
      <c r="C5" s="29">
        <v>46113.0</v>
      </c>
      <c r="D5" s="32" t="s">
        <v>18</v>
      </c>
      <c r="E5" s="35" t="s">
        <v>19</v>
      </c>
      <c r="F5" s="10"/>
    </row>
    <row r="6">
      <c r="B6" s="25"/>
      <c r="C6" s="43">
        <v>46118.0</v>
      </c>
      <c r="D6" s="45" t="s">
        <v>24</v>
      </c>
      <c r="E6" s="58" t="s">
        <v>26</v>
      </c>
      <c r="F6" s="10"/>
    </row>
    <row r="7">
      <c r="B7" s="25"/>
      <c r="C7" s="43">
        <v>46123.0</v>
      </c>
      <c r="D7" s="70" t="s">
        <v>38</v>
      </c>
      <c r="E7" s="73" t="s">
        <v>47</v>
      </c>
      <c r="F7" s="10"/>
    </row>
    <row r="8" ht="112.5" customHeight="1">
      <c r="B8" s="76"/>
      <c r="C8" s="78"/>
      <c r="D8" s="81"/>
      <c r="E8" s="84"/>
      <c r="F8" s="86"/>
    </row>
    <row r="9">
      <c r="F9" s="86"/>
    </row>
    <row r="10" ht="15.75" customHeight="1">
      <c r="F10" s="86"/>
    </row>
    <row r="11" ht="15.75" customHeight="1">
      <c r="F11" s="86"/>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3">
    <mergeCell ref="B2:E2"/>
    <mergeCell ref="C3:E3"/>
    <mergeCell ref="B4:B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14.38"/>
    <col customWidth="1" min="3" max="3" width="8.25"/>
    <col customWidth="1" min="4" max="5" width="6.88"/>
    <col customWidth="1" min="6" max="6" width="10.38"/>
    <col customWidth="1" min="7" max="7" width="6.88"/>
    <col customWidth="1" min="8" max="8" width="9.75"/>
    <col customWidth="1" min="9" max="9" width="4.13"/>
    <col customWidth="1" min="10" max="10" width="9.13"/>
    <col customWidth="1" min="11" max="11" width="9.75"/>
    <col customWidth="1" min="12" max="12" width="8.5"/>
    <col customWidth="1" min="13" max="13" width="10.13"/>
    <col customWidth="1" min="14" max="14" width="10.5"/>
    <col customWidth="1" min="15" max="15" width="17.13"/>
    <col customWidth="1" min="16" max="16" width="20.75"/>
    <col customWidth="1" min="17" max="17" width="4.63"/>
  </cols>
  <sheetData>
    <row r="1" ht="15.75" customHeight="1">
      <c r="N1" s="5"/>
      <c r="O1" s="5"/>
      <c r="P1" s="5"/>
    </row>
    <row r="2" ht="17.25" customHeight="1">
      <c r="B2" s="1" t="s">
        <v>3</v>
      </c>
      <c r="C2" s="2"/>
      <c r="D2" s="2"/>
      <c r="E2" s="2"/>
      <c r="F2" s="2"/>
      <c r="G2" s="2"/>
      <c r="H2" s="2"/>
      <c r="I2" s="2"/>
      <c r="J2" s="2"/>
      <c r="K2" s="2"/>
      <c r="L2" s="2"/>
      <c r="M2" s="2"/>
      <c r="N2" s="3"/>
      <c r="O2" s="12" t="s">
        <v>7</v>
      </c>
      <c r="P2" s="15" t="s">
        <v>11</v>
      </c>
    </row>
    <row r="3" ht="25.5" customHeight="1">
      <c r="B3" s="18"/>
      <c r="C3" s="20"/>
      <c r="D3" s="20"/>
      <c r="E3" s="20"/>
      <c r="F3" s="20"/>
      <c r="G3" s="20"/>
      <c r="H3" s="20"/>
      <c r="I3" s="20"/>
      <c r="J3" s="20"/>
      <c r="K3" s="20"/>
      <c r="L3" s="20"/>
      <c r="M3" s="20"/>
      <c r="N3" s="23"/>
      <c r="O3" s="31"/>
      <c r="P3" s="33"/>
    </row>
    <row r="4" ht="35.25" customHeight="1">
      <c r="B4" s="36" t="s">
        <v>20</v>
      </c>
      <c r="C4" s="40" t="s">
        <v>21</v>
      </c>
      <c r="D4" s="41"/>
      <c r="E4" s="41"/>
      <c r="F4" s="41"/>
      <c r="G4" s="41"/>
      <c r="H4" s="41"/>
      <c r="I4" s="41"/>
      <c r="J4" s="41"/>
      <c r="K4" s="42"/>
      <c r="L4" s="46" t="s">
        <v>23</v>
      </c>
      <c r="M4" s="42"/>
      <c r="N4" s="49" t="s">
        <v>27</v>
      </c>
      <c r="O4" s="41"/>
      <c r="P4" s="51"/>
    </row>
    <row r="5" ht="90.75" customHeight="1">
      <c r="B5" s="53" t="s">
        <v>31</v>
      </c>
      <c r="C5" s="60" t="s">
        <v>33</v>
      </c>
      <c r="D5" s="62"/>
      <c r="E5" s="62"/>
      <c r="F5" s="62"/>
      <c r="G5" s="62"/>
      <c r="H5" s="62"/>
      <c r="I5" s="62"/>
      <c r="J5" s="62"/>
      <c r="K5" s="62"/>
      <c r="L5" s="62"/>
      <c r="M5" s="62"/>
      <c r="N5" s="62"/>
      <c r="O5" s="62"/>
      <c r="P5" s="65"/>
    </row>
    <row r="6" ht="22.5" customHeight="1">
      <c r="B6" s="67" t="s">
        <v>41</v>
      </c>
      <c r="C6" s="87" t="s">
        <v>44</v>
      </c>
      <c r="D6" s="90">
        <v>46151.0</v>
      </c>
      <c r="E6" s="82"/>
      <c r="F6" s="69"/>
      <c r="G6" s="92" t="s">
        <v>35</v>
      </c>
      <c r="H6" s="94"/>
      <c r="I6" s="96" t="s">
        <v>68</v>
      </c>
      <c r="J6" s="98"/>
      <c r="K6" s="94"/>
      <c r="L6" s="92" t="s">
        <v>70</v>
      </c>
      <c r="M6" s="94"/>
      <c r="N6" s="103" t="s">
        <v>73</v>
      </c>
      <c r="O6" s="98"/>
      <c r="P6" s="105"/>
    </row>
    <row r="7" ht="22.5" customHeight="1">
      <c r="B7" s="112"/>
      <c r="C7" s="115" t="s">
        <v>91</v>
      </c>
      <c r="D7" s="117" t="s">
        <v>94</v>
      </c>
      <c r="E7" s="119"/>
      <c r="F7" s="120"/>
      <c r="G7" s="122"/>
      <c r="H7" s="123"/>
      <c r="I7" s="122"/>
      <c r="J7" s="20"/>
      <c r="K7" s="123"/>
      <c r="L7" s="122"/>
      <c r="M7" s="123"/>
      <c r="N7" s="122"/>
      <c r="O7" s="20"/>
      <c r="P7" s="23"/>
    </row>
    <row r="8">
      <c r="B8" s="130" t="s">
        <v>100</v>
      </c>
      <c r="C8" s="133" t="s">
        <v>105</v>
      </c>
      <c r="D8" s="62"/>
      <c r="E8" s="62"/>
      <c r="F8" s="62"/>
      <c r="G8" s="62"/>
      <c r="H8" s="62"/>
      <c r="I8" s="62"/>
      <c r="J8" s="62"/>
      <c r="K8" s="62"/>
      <c r="L8" s="62"/>
      <c r="M8" s="62"/>
      <c r="N8" s="62"/>
      <c r="O8" s="62"/>
      <c r="P8" s="65"/>
    </row>
    <row r="9">
      <c r="B9" s="25"/>
      <c r="C9" s="143" t="s">
        <v>10</v>
      </c>
      <c r="D9" s="69"/>
      <c r="E9" s="148" t="s">
        <v>13</v>
      </c>
      <c r="F9" s="82"/>
      <c r="G9" s="82"/>
      <c r="H9" s="82"/>
      <c r="I9" s="69"/>
      <c r="J9" s="148" t="s">
        <v>70</v>
      </c>
      <c r="K9" s="69"/>
      <c r="L9" s="148" t="s">
        <v>51</v>
      </c>
      <c r="M9" s="69"/>
      <c r="N9" s="148" t="s">
        <v>46</v>
      </c>
      <c r="O9" s="82"/>
      <c r="P9" s="160"/>
    </row>
    <row r="10">
      <c r="B10" s="25"/>
      <c r="C10" s="161" t="s">
        <v>129</v>
      </c>
      <c r="D10" s="69"/>
      <c r="E10" s="163" t="s">
        <v>134</v>
      </c>
      <c r="F10" s="82"/>
      <c r="G10" s="82"/>
      <c r="H10" s="82"/>
      <c r="I10" s="69"/>
      <c r="J10" s="163" t="s">
        <v>141</v>
      </c>
      <c r="K10" s="69"/>
      <c r="L10" s="163"/>
      <c r="M10" s="69"/>
      <c r="N10" s="168" t="s">
        <v>147</v>
      </c>
      <c r="O10" s="82"/>
      <c r="P10" s="160"/>
    </row>
    <row r="11">
      <c r="B11" s="25"/>
      <c r="C11" s="172" t="s">
        <v>129</v>
      </c>
      <c r="D11" s="94"/>
      <c r="E11" s="176" t="s">
        <v>156</v>
      </c>
      <c r="F11" s="98"/>
      <c r="G11" s="98"/>
      <c r="H11" s="98"/>
      <c r="I11" s="94"/>
      <c r="J11" s="176" t="s">
        <v>141</v>
      </c>
      <c r="K11" s="94"/>
      <c r="L11" s="176"/>
      <c r="M11" s="94"/>
      <c r="N11" s="182" t="s">
        <v>163</v>
      </c>
      <c r="O11" s="98"/>
      <c r="P11" s="105"/>
    </row>
    <row r="12">
      <c r="B12" s="25"/>
      <c r="C12" s="163" t="s">
        <v>129</v>
      </c>
      <c r="D12" s="69"/>
      <c r="E12" s="163" t="s">
        <v>165</v>
      </c>
      <c r="F12" s="82"/>
      <c r="G12" s="82"/>
      <c r="H12" s="82"/>
      <c r="I12" s="69"/>
      <c r="J12" s="163" t="s">
        <v>141</v>
      </c>
      <c r="K12" s="69"/>
      <c r="L12" s="163"/>
      <c r="M12" s="69"/>
      <c r="N12" s="193" t="s">
        <v>167</v>
      </c>
      <c r="O12" s="82"/>
      <c r="P12" s="160"/>
    </row>
    <row r="13">
      <c r="B13" s="25"/>
      <c r="C13" s="197" t="s">
        <v>170</v>
      </c>
      <c r="P13" s="200"/>
    </row>
    <row r="14">
      <c r="B14" s="25"/>
      <c r="C14" s="202" t="s">
        <v>35</v>
      </c>
      <c r="D14" s="42"/>
      <c r="E14" s="205" t="s">
        <v>70</v>
      </c>
      <c r="F14" s="41"/>
      <c r="G14" s="205" t="s">
        <v>13</v>
      </c>
      <c r="H14" s="41"/>
      <c r="I14" s="41"/>
      <c r="J14" s="41"/>
      <c r="K14" s="41"/>
      <c r="L14" s="205" t="s">
        <v>172</v>
      </c>
      <c r="M14" s="42"/>
      <c r="N14" s="205" t="s">
        <v>173</v>
      </c>
      <c r="O14" s="41"/>
      <c r="P14" s="51"/>
    </row>
    <row r="15" ht="31.5" customHeight="1">
      <c r="B15" s="25"/>
      <c r="C15" s="215" t="s">
        <v>175</v>
      </c>
      <c r="P15" s="200"/>
    </row>
    <row r="16" ht="37.5" customHeight="1">
      <c r="B16" s="25"/>
      <c r="C16" s="176" t="s">
        <v>176</v>
      </c>
      <c r="D16" s="94"/>
      <c r="E16" s="103" t="s">
        <v>177</v>
      </c>
      <c r="F16" s="94"/>
      <c r="G16" s="218" t="s">
        <v>178</v>
      </c>
      <c r="H16" s="82"/>
      <c r="I16" s="82"/>
      <c r="J16" s="82"/>
      <c r="K16" s="69"/>
      <c r="L16" s="221" t="s">
        <v>180</v>
      </c>
      <c r="M16" s="69"/>
      <c r="N16" s="168" t="s">
        <v>183</v>
      </c>
      <c r="O16" s="82"/>
      <c r="P16" s="160"/>
    </row>
    <row r="17">
      <c r="B17" s="25"/>
      <c r="C17" s="210"/>
      <c r="D17" s="104"/>
      <c r="E17" s="210"/>
      <c r="F17" s="104"/>
      <c r="G17" s="163" t="s">
        <v>186</v>
      </c>
      <c r="H17" s="82"/>
      <c r="I17" s="82"/>
      <c r="J17" s="82"/>
      <c r="K17" s="69"/>
      <c r="L17" s="221" t="s">
        <v>187</v>
      </c>
      <c r="M17" s="69"/>
      <c r="N17" s="168" t="s">
        <v>188</v>
      </c>
      <c r="O17" s="82"/>
      <c r="P17" s="160"/>
    </row>
    <row r="18">
      <c r="B18" s="25"/>
      <c r="C18" s="231"/>
      <c r="D18" s="167"/>
      <c r="E18" s="210"/>
      <c r="F18" s="104"/>
      <c r="G18" s="240" t="s">
        <v>115</v>
      </c>
      <c r="H18" s="62"/>
      <c r="I18" s="62"/>
      <c r="J18" s="62"/>
      <c r="K18" s="167"/>
      <c r="L18" s="246" t="s">
        <v>194</v>
      </c>
      <c r="M18" s="167"/>
      <c r="N18" s="251" t="s">
        <v>195</v>
      </c>
      <c r="O18" s="62"/>
      <c r="P18" s="65"/>
    </row>
    <row r="19">
      <c r="B19" s="25"/>
      <c r="C19" s="163" t="s">
        <v>160</v>
      </c>
      <c r="D19" s="69"/>
      <c r="E19" s="231"/>
      <c r="F19" s="167"/>
      <c r="G19" s="163" t="s">
        <v>146</v>
      </c>
      <c r="H19" s="82"/>
      <c r="I19" s="82"/>
      <c r="J19" s="82"/>
      <c r="K19" s="69"/>
      <c r="L19" s="255" t="s">
        <v>198</v>
      </c>
      <c r="M19" s="69"/>
      <c r="N19" s="193" t="s">
        <v>200</v>
      </c>
      <c r="O19" s="82"/>
      <c r="P19" s="160"/>
    </row>
    <row r="20" ht="31.5" customHeight="1">
      <c r="B20" s="25"/>
      <c r="C20" s="256" t="s">
        <v>201</v>
      </c>
      <c r="D20" s="62"/>
      <c r="E20" s="62"/>
      <c r="F20" s="62"/>
      <c r="G20" s="62"/>
      <c r="H20" s="62"/>
      <c r="I20" s="62"/>
      <c r="J20" s="62"/>
      <c r="K20" s="62"/>
      <c r="L20" s="62"/>
      <c r="M20" s="62"/>
      <c r="N20" s="62"/>
      <c r="O20" s="62"/>
      <c r="P20" s="65"/>
    </row>
    <row r="21">
      <c r="B21" s="25"/>
      <c r="C21" s="259">
        <v>0.4166666666666667</v>
      </c>
      <c r="D21" s="167"/>
      <c r="E21" s="260" t="s">
        <v>202</v>
      </c>
      <c r="F21" s="62"/>
      <c r="G21" s="262" t="s">
        <v>203</v>
      </c>
      <c r="H21" s="62"/>
      <c r="I21" s="62"/>
      <c r="J21" s="62"/>
      <c r="K21" s="62"/>
      <c r="L21" s="264" t="s">
        <v>204</v>
      </c>
      <c r="M21" s="62"/>
      <c r="N21" s="268" t="s">
        <v>205</v>
      </c>
      <c r="O21" s="62"/>
      <c r="P21" s="65"/>
    </row>
    <row r="22">
      <c r="B22" s="25"/>
      <c r="C22" s="272" t="s">
        <v>160</v>
      </c>
      <c r="D22" s="104"/>
      <c r="E22" s="275" t="s">
        <v>206</v>
      </c>
      <c r="F22" s="69"/>
      <c r="G22" s="276" t="s">
        <v>178</v>
      </c>
      <c r="H22" s="82"/>
      <c r="I22" s="82"/>
      <c r="J22" s="82"/>
      <c r="K22" s="69"/>
      <c r="L22" s="278" t="s">
        <v>210</v>
      </c>
      <c r="M22" s="69"/>
      <c r="N22" s="280" t="s">
        <v>211</v>
      </c>
      <c r="O22" s="82"/>
      <c r="P22" s="160"/>
    </row>
    <row r="23">
      <c r="B23" s="25"/>
      <c r="C23" s="210"/>
      <c r="D23" s="104"/>
      <c r="E23" s="172" t="s">
        <v>212</v>
      </c>
      <c r="F23" s="94"/>
      <c r="G23" s="176" t="s">
        <v>214</v>
      </c>
      <c r="H23" s="98"/>
      <c r="I23" s="98"/>
      <c r="J23" s="98"/>
      <c r="K23" s="94"/>
      <c r="L23" s="285" t="s">
        <v>194</v>
      </c>
      <c r="M23" s="94"/>
      <c r="N23" s="287" t="s">
        <v>216</v>
      </c>
      <c r="O23" s="98"/>
      <c r="P23" s="105"/>
    </row>
    <row r="24">
      <c r="B24" s="25"/>
      <c r="C24" s="210"/>
      <c r="D24" s="104"/>
      <c r="E24" s="62"/>
      <c r="F24" s="167"/>
      <c r="G24" s="231"/>
      <c r="H24" s="62"/>
      <c r="I24" s="62"/>
      <c r="J24" s="62"/>
      <c r="K24" s="167"/>
      <c r="L24" s="231"/>
      <c r="M24" s="167"/>
      <c r="N24" s="231"/>
      <c r="O24" s="62"/>
      <c r="P24" s="65"/>
    </row>
    <row r="25">
      <c r="B25" s="25"/>
      <c r="C25" s="210"/>
      <c r="D25" s="104"/>
      <c r="E25" s="290" t="s">
        <v>220</v>
      </c>
      <c r="F25" s="69"/>
      <c r="G25" s="218" t="s">
        <v>174</v>
      </c>
      <c r="H25" s="82"/>
      <c r="I25" s="82"/>
      <c r="J25" s="82"/>
      <c r="K25" s="69"/>
      <c r="L25" s="221" t="s">
        <v>221</v>
      </c>
      <c r="M25" s="69"/>
      <c r="N25" s="294" t="s">
        <v>223</v>
      </c>
      <c r="O25" s="82"/>
      <c r="P25" s="160"/>
    </row>
    <row r="26">
      <c r="B26" s="25"/>
      <c r="C26" s="231"/>
      <c r="D26" s="167"/>
      <c r="E26" s="161" t="s">
        <v>226</v>
      </c>
      <c r="F26" s="69"/>
      <c r="G26" s="163" t="s">
        <v>162</v>
      </c>
      <c r="H26" s="82"/>
      <c r="I26" s="82"/>
      <c r="J26" s="82"/>
      <c r="K26" s="69"/>
      <c r="L26" s="255" t="s">
        <v>227</v>
      </c>
      <c r="M26" s="69"/>
      <c r="N26" s="193" t="s">
        <v>228</v>
      </c>
      <c r="O26" s="82"/>
      <c r="P26" s="160"/>
    </row>
    <row r="27" ht="95.25" customHeight="1">
      <c r="B27" s="25"/>
      <c r="C27" s="297" t="s">
        <v>217</v>
      </c>
      <c r="D27" s="104"/>
      <c r="E27" s="272" t="s">
        <v>230</v>
      </c>
      <c r="F27" s="104"/>
      <c r="G27" s="298" t="s">
        <v>231</v>
      </c>
      <c r="K27" s="104"/>
      <c r="L27" s="246" t="s">
        <v>232</v>
      </c>
      <c r="M27" s="167"/>
      <c r="N27" s="251" t="s">
        <v>233</v>
      </c>
      <c r="O27" s="62"/>
      <c r="P27" s="65"/>
    </row>
    <row r="28" ht="114.0" customHeight="1">
      <c r="B28" s="25"/>
      <c r="D28" s="104"/>
      <c r="E28" s="210"/>
      <c r="F28" s="104"/>
      <c r="G28" s="210"/>
      <c r="K28" s="104"/>
      <c r="L28" s="255" t="s">
        <v>229</v>
      </c>
      <c r="M28" s="69"/>
      <c r="N28" s="168" t="s">
        <v>234</v>
      </c>
      <c r="O28" s="82"/>
      <c r="P28" s="160"/>
    </row>
    <row r="29" ht="56.25" customHeight="1">
      <c r="B29" s="25"/>
      <c r="D29" s="104"/>
      <c r="E29" s="210"/>
      <c r="F29" s="104"/>
      <c r="G29" s="210"/>
      <c r="K29" s="104"/>
      <c r="L29" s="255" t="s">
        <v>236</v>
      </c>
      <c r="M29" s="69"/>
      <c r="N29" s="168" t="s">
        <v>237</v>
      </c>
      <c r="O29" s="82"/>
      <c r="P29" s="160"/>
    </row>
    <row r="30" ht="85.5" customHeight="1">
      <c r="B30" s="25"/>
      <c r="D30" s="104"/>
      <c r="E30" s="210"/>
      <c r="F30" s="104"/>
      <c r="G30" s="210"/>
      <c r="K30" s="104"/>
      <c r="L30" s="255" t="s">
        <v>238</v>
      </c>
      <c r="M30" s="69"/>
      <c r="N30" s="168" t="s">
        <v>239</v>
      </c>
      <c r="O30" s="82"/>
      <c r="P30" s="160"/>
    </row>
    <row r="31" ht="42.0" customHeight="1">
      <c r="B31" s="25"/>
      <c r="D31" s="104"/>
      <c r="E31" s="210"/>
      <c r="F31" s="104"/>
      <c r="G31" s="210"/>
      <c r="K31" s="104"/>
      <c r="L31" s="285" t="s">
        <v>241</v>
      </c>
      <c r="M31" s="94"/>
      <c r="N31" s="307" t="s">
        <v>242</v>
      </c>
      <c r="O31" s="98"/>
      <c r="P31" s="105"/>
    </row>
    <row r="32">
      <c r="B32" s="25"/>
      <c r="C32" s="20"/>
      <c r="D32" s="123"/>
      <c r="E32" s="122"/>
      <c r="F32" s="123"/>
      <c r="G32" s="122"/>
      <c r="H32" s="20"/>
      <c r="I32" s="20"/>
      <c r="J32" s="20"/>
      <c r="K32" s="123"/>
      <c r="L32" s="308" t="s">
        <v>244</v>
      </c>
      <c r="M32" s="120"/>
      <c r="N32" s="310" t="s">
        <v>245</v>
      </c>
      <c r="O32" s="119"/>
      <c r="P32" s="311"/>
    </row>
    <row r="33" ht="31.5" customHeight="1">
      <c r="B33" s="25"/>
      <c r="C33" s="312" t="s">
        <v>247</v>
      </c>
      <c r="D33" s="62"/>
      <c r="E33" s="62"/>
      <c r="F33" s="62"/>
      <c r="G33" s="62"/>
      <c r="H33" s="62"/>
      <c r="I33" s="62"/>
      <c r="J33" s="62"/>
      <c r="K33" s="62"/>
      <c r="L33" s="62"/>
      <c r="M33" s="62"/>
      <c r="N33" s="62"/>
      <c r="O33" s="62"/>
      <c r="P33" s="65"/>
    </row>
    <row r="34">
      <c r="B34" s="25"/>
      <c r="C34" s="314" t="s">
        <v>248</v>
      </c>
      <c r="D34" s="104"/>
      <c r="E34" s="272" t="s">
        <v>230</v>
      </c>
      <c r="F34" s="104"/>
      <c r="G34" s="298" t="s">
        <v>250</v>
      </c>
      <c r="K34" s="104"/>
      <c r="L34" s="315" t="s">
        <v>251</v>
      </c>
      <c r="M34" s="104"/>
      <c r="N34" s="316" t="s">
        <v>252</v>
      </c>
      <c r="P34" s="200"/>
    </row>
    <row r="35">
      <c r="B35" s="25"/>
      <c r="D35" s="104"/>
      <c r="E35" s="210"/>
      <c r="F35" s="104"/>
      <c r="G35" s="210"/>
      <c r="K35" s="104"/>
      <c r="L35" s="278" t="s">
        <v>254</v>
      </c>
      <c r="M35" s="69"/>
      <c r="N35" s="193" t="s">
        <v>255</v>
      </c>
      <c r="O35" s="82"/>
      <c r="P35" s="160"/>
    </row>
    <row r="36">
      <c r="B36" s="25"/>
      <c r="D36" s="104"/>
      <c r="E36" s="210"/>
      <c r="F36" s="104"/>
      <c r="G36" s="210"/>
      <c r="K36" s="104"/>
      <c r="L36" s="264" t="s">
        <v>257</v>
      </c>
      <c r="M36" s="167"/>
      <c r="N36" s="251" t="s">
        <v>258</v>
      </c>
      <c r="O36" s="62"/>
      <c r="P36" s="65"/>
    </row>
    <row r="37">
      <c r="B37" s="25"/>
      <c r="D37" s="104"/>
      <c r="E37" s="210"/>
      <c r="F37" s="104"/>
      <c r="G37" s="210"/>
      <c r="K37" s="104"/>
      <c r="L37" s="321" t="s">
        <v>259</v>
      </c>
      <c r="M37" s="69"/>
      <c r="N37" s="168" t="s">
        <v>260</v>
      </c>
      <c r="O37" s="82"/>
      <c r="P37" s="160"/>
    </row>
    <row r="38">
      <c r="B38" s="25"/>
      <c r="C38" s="20"/>
      <c r="D38" s="123"/>
      <c r="E38" s="122"/>
      <c r="F38" s="123"/>
      <c r="G38" s="122"/>
      <c r="H38" s="20"/>
      <c r="I38" s="20"/>
      <c r="J38" s="20"/>
      <c r="K38" s="123"/>
      <c r="L38" s="324" t="s">
        <v>261</v>
      </c>
      <c r="M38" s="120"/>
      <c r="N38" s="326" t="s">
        <v>262</v>
      </c>
      <c r="O38" s="119"/>
      <c r="P38" s="311"/>
    </row>
    <row r="39">
      <c r="B39" s="25"/>
      <c r="C39" s="272" t="s">
        <v>263</v>
      </c>
      <c r="D39" s="104"/>
      <c r="E39" s="272" t="s">
        <v>230</v>
      </c>
      <c r="F39" s="104"/>
      <c r="G39" s="272" t="s">
        <v>264</v>
      </c>
      <c r="K39" s="104"/>
      <c r="L39" s="246" t="s">
        <v>265</v>
      </c>
      <c r="M39" s="167"/>
      <c r="N39" s="251" t="s">
        <v>266</v>
      </c>
      <c r="O39" s="62"/>
      <c r="P39" s="65"/>
    </row>
    <row r="40">
      <c r="B40" s="25"/>
      <c r="C40" s="122"/>
      <c r="D40" s="123"/>
      <c r="E40" s="122"/>
      <c r="F40" s="123"/>
      <c r="G40" s="122"/>
      <c r="H40" s="20"/>
      <c r="I40" s="20"/>
      <c r="J40" s="20"/>
      <c r="K40" s="123"/>
      <c r="L40" s="308" t="s">
        <v>267</v>
      </c>
      <c r="M40" s="120"/>
      <c r="N40" s="331" t="s">
        <v>268</v>
      </c>
      <c r="O40" s="119"/>
      <c r="P40" s="311"/>
    </row>
    <row r="41">
      <c r="B41" s="25"/>
      <c r="C41" s="272" t="s">
        <v>269</v>
      </c>
      <c r="D41" s="104"/>
      <c r="E41" s="272" t="s">
        <v>230</v>
      </c>
      <c r="F41" s="104"/>
      <c r="G41" s="272" t="s">
        <v>271</v>
      </c>
      <c r="K41" s="104"/>
      <c r="L41" s="246" t="s">
        <v>273</v>
      </c>
      <c r="M41" s="167"/>
      <c r="N41" s="335" t="s">
        <v>275</v>
      </c>
      <c r="O41" s="62"/>
      <c r="P41" s="65"/>
    </row>
    <row r="42">
      <c r="B42" s="25"/>
      <c r="C42" s="210"/>
      <c r="D42" s="104"/>
      <c r="E42" s="210"/>
      <c r="F42" s="104"/>
      <c r="G42" s="210"/>
      <c r="K42" s="104"/>
      <c r="L42" s="255" t="s">
        <v>277</v>
      </c>
      <c r="M42" s="69"/>
      <c r="N42" s="168" t="s">
        <v>278</v>
      </c>
      <c r="O42" s="82"/>
      <c r="P42" s="160"/>
    </row>
    <row r="43" ht="74.25" customHeight="1">
      <c r="B43" s="25"/>
      <c r="C43" s="210"/>
      <c r="D43" s="104"/>
      <c r="E43" s="210"/>
      <c r="F43" s="104"/>
      <c r="G43" s="210"/>
      <c r="K43" s="104"/>
      <c r="L43" s="255" t="s">
        <v>279</v>
      </c>
      <c r="M43" s="69"/>
      <c r="N43" s="168" t="s">
        <v>280</v>
      </c>
      <c r="O43" s="82"/>
      <c r="P43" s="160"/>
    </row>
    <row r="44" ht="105.75" customHeight="1">
      <c r="B44" s="25"/>
      <c r="C44" s="210"/>
      <c r="D44" s="104"/>
      <c r="E44" s="210"/>
      <c r="F44" s="104"/>
      <c r="G44" s="210"/>
      <c r="K44" s="104"/>
      <c r="L44" s="255" t="s">
        <v>281</v>
      </c>
      <c r="M44" s="69"/>
      <c r="N44" s="168" t="s">
        <v>282</v>
      </c>
      <c r="O44" s="82"/>
      <c r="P44" s="160"/>
    </row>
    <row r="45">
      <c r="B45" s="25"/>
      <c r="C45" s="210"/>
      <c r="D45" s="104"/>
      <c r="E45" s="210"/>
      <c r="F45" s="104"/>
      <c r="G45" s="210"/>
      <c r="K45" s="104"/>
      <c r="L45" s="255" t="s">
        <v>284</v>
      </c>
      <c r="M45" s="69"/>
      <c r="N45" s="168" t="s">
        <v>285</v>
      </c>
      <c r="O45" s="82"/>
      <c r="P45" s="160"/>
    </row>
    <row r="46">
      <c r="B46" s="25"/>
      <c r="C46" s="210"/>
      <c r="D46" s="104"/>
      <c r="E46" s="210"/>
      <c r="F46" s="104"/>
      <c r="G46" s="231"/>
      <c r="H46" s="62"/>
      <c r="I46" s="62"/>
      <c r="J46" s="62"/>
      <c r="K46" s="167"/>
      <c r="L46" s="285" t="s">
        <v>286</v>
      </c>
      <c r="M46" s="94"/>
      <c r="N46" s="307" t="s">
        <v>288</v>
      </c>
      <c r="O46" s="98"/>
      <c r="P46" s="105"/>
    </row>
    <row r="47">
      <c r="B47" s="25"/>
      <c r="C47" s="210"/>
      <c r="D47" s="104"/>
      <c r="E47" s="210"/>
      <c r="F47" s="104"/>
      <c r="G47" s="346" t="s">
        <v>290</v>
      </c>
      <c r="H47" s="347"/>
      <c r="I47" s="347"/>
      <c r="J47" s="347"/>
      <c r="K47" s="348"/>
      <c r="L47" s="351" t="s">
        <v>273</v>
      </c>
      <c r="M47" s="352"/>
      <c r="N47" s="353" t="s">
        <v>293</v>
      </c>
      <c r="O47" s="354"/>
      <c r="P47" s="355"/>
    </row>
    <row r="48">
      <c r="B48" s="25"/>
      <c r="C48" s="210"/>
      <c r="D48" s="104"/>
      <c r="E48" s="210"/>
      <c r="F48" s="104"/>
      <c r="G48" s="210"/>
      <c r="K48" s="104"/>
      <c r="L48" s="255" t="s">
        <v>277</v>
      </c>
      <c r="M48" s="69"/>
      <c r="N48" s="168" t="s">
        <v>294</v>
      </c>
      <c r="O48" s="82"/>
      <c r="P48" s="160"/>
    </row>
    <row r="49" ht="84.75" customHeight="1">
      <c r="B49" s="25"/>
      <c r="C49" s="210"/>
      <c r="D49" s="104"/>
      <c r="E49" s="210"/>
      <c r="F49" s="104"/>
      <c r="G49" s="210"/>
      <c r="K49" s="104"/>
      <c r="L49" s="255" t="s">
        <v>279</v>
      </c>
      <c r="M49" s="69"/>
      <c r="N49" s="168" t="s">
        <v>296</v>
      </c>
      <c r="O49" s="82"/>
      <c r="P49" s="160"/>
    </row>
    <row r="50">
      <c r="B50" s="25"/>
      <c r="C50" s="210"/>
      <c r="D50" s="104"/>
      <c r="E50" s="210"/>
      <c r="F50" s="104"/>
      <c r="G50" s="210"/>
      <c r="K50" s="104"/>
      <c r="L50" s="255" t="s">
        <v>281</v>
      </c>
      <c r="M50" s="69"/>
      <c r="N50" s="193" t="s">
        <v>281</v>
      </c>
      <c r="O50" s="82"/>
      <c r="P50" s="160"/>
    </row>
    <row r="51">
      <c r="B51" s="25"/>
      <c r="C51" s="210"/>
      <c r="D51" s="104"/>
      <c r="E51" s="210"/>
      <c r="F51" s="104"/>
      <c r="G51" s="210"/>
      <c r="K51" s="104"/>
      <c r="L51" s="255" t="s">
        <v>297</v>
      </c>
      <c r="M51" s="69"/>
      <c r="N51" s="193" t="s">
        <v>298</v>
      </c>
      <c r="O51" s="82"/>
      <c r="P51" s="160"/>
    </row>
    <row r="52">
      <c r="B52" s="25"/>
      <c r="C52" s="122"/>
      <c r="D52" s="123"/>
      <c r="E52" s="122"/>
      <c r="F52" s="123"/>
      <c r="G52" s="122"/>
      <c r="H52" s="20"/>
      <c r="I52" s="20"/>
      <c r="J52" s="20"/>
      <c r="K52" s="123"/>
      <c r="L52" s="308" t="s">
        <v>300</v>
      </c>
      <c r="M52" s="120"/>
      <c r="N52" s="331" t="s">
        <v>301</v>
      </c>
      <c r="O52" s="119"/>
      <c r="P52" s="311"/>
    </row>
    <row r="53">
      <c r="B53" s="25"/>
      <c r="C53" s="272" t="s">
        <v>302</v>
      </c>
      <c r="D53" s="104"/>
      <c r="E53" s="272" t="s">
        <v>230</v>
      </c>
      <c r="F53" s="104"/>
      <c r="G53" s="363" t="s">
        <v>303</v>
      </c>
      <c r="K53" s="104"/>
      <c r="L53" s="246" t="s">
        <v>305</v>
      </c>
      <c r="M53" s="167"/>
      <c r="N53" s="365" t="s">
        <v>306</v>
      </c>
      <c r="O53" s="62"/>
      <c r="P53" s="65"/>
    </row>
    <row r="54" ht="188.25" customHeight="1">
      <c r="B54" s="25"/>
      <c r="C54" s="210"/>
      <c r="D54" s="104"/>
      <c r="E54" s="210"/>
      <c r="F54" s="104"/>
      <c r="G54" s="210"/>
      <c r="K54" s="104"/>
      <c r="L54" s="315" t="s">
        <v>307</v>
      </c>
      <c r="M54" s="104"/>
      <c r="N54" s="367" t="s">
        <v>308</v>
      </c>
      <c r="P54" s="200"/>
    </row>
    <row r="55">
      <c r="B55" s="25"/>
      <c r="C55" s="210"/>
      <c r="D55" s="104"/>
      <c r="E55" s="210"/>
      <c r="F55" s="104"/>
      <c r="G55" s="210"/>
      <c r="K55" s="104"/>
      <c r="L55" s="315" t="s">
        <v>310</v>
      </c>
      <c r="M55" s="104"/>
      <c r="N55" s="367" t="s">
        <v>311</v>
      </c>
      <c r="P55" s="200"/>
    </row>
    <row r="56">
      <c r="B56" s="25"/>
      <c r="C56" s="210"/>
      <c r="D56" s="104"/>
      <c r="E56" s="210"/>
      <c r="F56" s="104"/>
      <c r="G56" s="369"/>
      <c r="H56" s="370"/>
      <c r="I56" s="370"/>
      <c r="J56" s="370"/>
      <c r="K56" s="371"/>
      <c r="L56" s="373" t="s">
        <v>313</v>
      </c>
      <c r="M56" s="375"/>
      <c r="N56" s="377" t="s">
        <v>314</v>
      </c>
      <c r="O56" s="379"/>
      <c r="P56" s="380"/>
    </row>
    <row r="57">
      <c r="B57" s="25"/>
      <c r="C57" s="210"/>
      <c r="D57" s="104"/>
      <c r="E57" s="210"/>
      <c r="F57" s="104"/>
      <c r="G57" s="272" t="s">
        <v>315</v>
      </c>
      <c r="H57" s="104"/>
      <c r="I57" s="382" t="s">
        <v>316</v>
      </c>
      <c r="K57" s="104"/>
      <c r="L57" s="246" t="s">
        <v>317</v>
      </c>
      <c r="M57" s="167"/>
      <c r="N57" s="335" t="s">
        <v>319</v>
      </c>
      <c r="O57" s="62"/>
      <c r="P57" s="65"/>
    </row>
    <row r="58">
      <c r="B58" s="25"/>
      <c r="C58" s="210"/>
      <c r="D58" s="104"/>
      <c r="E58" s="210"/>
      <c r="F58" s="104"/>
      <c r="G58" s="210"/>
      <c r="H58" s="104"/>
      <c r="I58" s="210"/>
      <c r="K58" s="104"/>
      <c r="L58" s="255" t="s">
        <v>320</v>
      </c>
      <c r="M58" s="69"/>
      <c r="N58" s="168" t="s">
        <v>321</v>
      </c>
      <c r="O58" s="82"/>
      <c r="P58" s="160"/>
    </row>
    <row r="59">
      <c r="B59" s="25"/>
      <c r="C59" s="210"/>
      <c r="D59" s="104"/>
      <c r="E59" s="210"/>
      <c r="F59" s="104"/>
      <c r="G59" s="210"/>
      <c r="H59" s="104"/>
      <c r="I59" s="210"/>
      <c r="K59" s="104"/>
      <c r="L59" s="255" t="s">
        <v>169</v>
      </c>
      <c r="M59" s="69"/>
      <c r="N59" s="168" t="s">
        <v>323</v>
      </c>
      <c r="O59" s="82"/>
      <c r="P59" s="160"/>
    </row>
    <row r="60">
      <c r="B60" s="25"/>
      <c r="C60" s="210"/>
      <c r="D60" s="104"/>
      <c r="E60" s="210"/>
      <c r="F60" s="104"/>
      <c r="G60" s="210"/>
      <c r="H60" s="104"/>
      <c r="I60" s="210"/>
      <c r="K60" s="104"/>
      <c r="L60" s="255" t="s">
        <v>224</v>
      </c>
      <c r="M60" s="69"/>
      <c r="N60" s="168" t="s">
        <v>324</v>
      </c>
      <c r="O60" s="82"/>
      <c r="P60" s="160"/>
    </row>
    <row r="61">
      <c r="B61" s="25"/>
      <c r="C61" s="210"/>
      <c r="D61" s="104"/>
      <c r="E61" s="210"/>
      <c r="F61" s="104"/>
      <c r="G61" s="210"/>
      <c r="H61" s="104"/>
      <c r="I61" s="369"/>
      <c r="J61" s="370"/>
      <c r="K61" s="371"/>
      <c r="L61" s="385" t="s">
        <v>300</v>
      </c>
      <c r="M61" s="375"/>
      <c r="N61" s="377" t="s">
        <v>325</v>
      </c>
      <c r="O61" s="379"/>
      <c r="P61" s="380"/>
    </row>
    <row r="62">
      <c r="B62" s="25"/>
      <c r="C62" s="210"/>
      <c r="D62" s="104"/>
      <c r="E62" s="210"/>
      <c r="F62" s="104"/>
      <c r="G62" s="210"/>
      <c r="H62" s="104"/>
      <c r="I62" s="382" t="s">
        <v>328</v>
      </c>
      <c r="K62" s="104"/>
      <c r="L62" s="246" t="s">
        <v>317</v>
      </c>
      <c r="M62" s="167"/>
      <c r="N62" s="335" t="s">
        <v>319</v>
      </c>
      <c r="O62" s="62"/>
      <c r="P62" s="65"/>
    </row>
    <row r="63">
      <c r="B63" s="25"/>
      <c r="C63" s="210"/>
      <c r="D63" s="104"/>
      <c r="E63" s="210"/>
      <c r="F63" s="104"/>
      <c r="G63" s="210"/>
      <c r="H63" s="104"/>
      <c r="I63" s="210"/>
      <c r="K63" s="104"/>
      <c r="L63" s="255" t="s">
        <v>320</v>
      </c>
      <c r="M63" s="69"/>
      <c r="N63" s="193" t="s">
        <v>329</v>
      </c>
      <c r="O63" s="82"/>
      <c r="P63" s="160"/>
    </row>
    <row r="64">
      <c r="B64" s="25"/>
      <c r="C64" s="210"/>
      <c r="D64" s="104"/>
      <c r="E64" s="210"/>
      <c r="F64" s="104"/>
      <c r="G64" s="210"/>
      <c r="H64" s="104"/>
      <c r="I64" s="210"/>
      <c r="K64" s="104"/>
      <c r="L64" s="255" t="s">
        <v>169</v>
      </c>
      <c r="M64" s="69"/>
      <c r="N64" s="168" t="s">
        <v>331</v>
      </c>
      <c r="O64" s="82"/>
      <c r="P64" s="160"/>
    </row>
    <row r="65" ht="87.75" customHeight="1">
      <c r="B65" s="25"/>
      <c r="C65" s="210"/>
      <c r="D65" s="104"/>
      <c r="E65" s="210"/>
      <c r="F65" s="104"/>
      <c r="G65" s="210"/>
      <c r="H65" s="104"/>
      <c r="I65" s="210"/>
      <c r="K65" s="104"/>
      <c r="L65" s="255" t="s">
        <v>224</v>
      </c>
      <c r="M65" s="69"/>
      <c r="N65" s="168" t="s">
        <v>334</v>
      </c>
      <c r="O65" s="82"/>
      <c r="P65" s="160"/>
    </row>
    <row r="66" ht="41.25" customHeight="1">
      <c r="B66" s="25"/>
      <c r="C66" s="210"/>
      <c r="D66" s="104"/>
      <c r="E66" s="210"/>
      <c r="F66" s="104"/>
      <c r="G66" s="210"/>
      <c r="H66" s="104"/>
      <c r="I66" s="210"/>
      <c r="K66" s="104"/>
      <c r="L66" s="285" t="s">
        <v>300</v>
      </c>
      <c r="M66" s="94"/>
      <c r="N66" s="408" t="s">
        <v>337</v>
      </c>
      <c r="P66" s="200"/>
    </row>
    <row r="67" ht="97.5" customHeight="1">
      <c r="B67" s="25"/>
      <c r="C67" s="210"/>
      <c r="D67" s="104"/>
      <c r="E67" s="210"/>
      <c r="F67" s="104"/>
      <c r="G67" s="210"/>
      <c r="H67" s="104"/>
      <c r="I67" s="231"/>
      <c r="J67" s="62"/>
      <c r="K67" s="167"/>
      <c r="L67" s="285" t="s">
        <v>342</v>
      </c>
      <c r="M67" s="94"/>
      <c r="N67" s="307" t="s">
        <v>344</v>
      </c>
      <c r="O67" s="98"/>
      <c r="P67" s="105"/>
    </row>
    <row r="68" ht="396.0" customHeight="1">
      <c r="B68" s="25"/>
      <c r="C68" s="210"/>
      <c r="D68" s="104"/>
      <c r="E68" s="210"/>
      <c r="F68" s="104"/>
      <c r="G68" s="210"/>
      <c r="H68" s="104"/>
      <c r="I68" s="422" t="s">
        <v>347</v>
      </c>
      <c r="J68" s="347"/>
      <c r="K68" s="348"/>
      <c r="L68" s="351" t="s">
        <v>224</v>
      </c>
      <c r="M68" s="352"/>
      <c r="N68" s="442" t="s">
        <v>356</v>
      </c>
      <c r="O68" s="354"/>
      <c r="P68" s="355"/>
    </row>
    <row r="69">
      <c r="B69" s="25"/>
      <c r="C69" s="210"/>
      <c r="D69" s="104"/>
      <c r="E69" s="210"/>
      <c r="F69" s="104"/>
      <c r="G69" s="231"/>
      <c r="H69" s="167"/>
      <c r="I69" s="231"/>
      <c r="J69" s="62"/>
      <c r="K69" s="167"/>
      <c r="L69" s="255" t="s">
        <v>370</v>
      </c>
      <c r="M69" s="69"/>
      <c r="N69" s="450" t="s">
        <v>372</v>
      </c>
      <c r="O69" s="82"/>
      <c r="P69" s="160"/>
    </row>
    <row r="70">
      <c r="B70" s="25"/>
      <c r="C70" s="210"/>
      <c r="D70" s="104"/>
      <c r="E70" s="210"/>
      <c r="F70" s="104"/>
      <c r="G70" s="452" t="s">
        <v>375</v>
      </c>
      <c r="H70" s="348"/>
      <c r="I70" s="454" t="s">
        <v>378</v>
      </c>
      <c r="J70" s="347"/>
      <c r="K70" s="348"/>
      <c r="L70" s="455" t="s">
        <v>317</v>
      </c>
      <c r="M70" s="352"/>
      <c r="N70" s="335" t="s">
        <v>319</v>
      </c>
      <c r="O70" s="62"/>
      <c r="P70" s="65"/>
    </row>
    <row r="71">
      <c r="B71" s="25"/>
      <c r="C71" s="210"/>
      <c r="D71" s="104"/>
      <c r="E71" s="210"/>
      <c r="F71" s="104"/>
      <c r="G71" s="210"/>
      <c r="H71" s="104"/>
      <c r="I71" s="210"/>
      <c r="K71" s="104"/>
      <c r="L71" s="255" t="s">
        <v>320</v>
      </c>
      <c r="M71" s="69"/>
      <c r="N71" s="168" t="s">
        <v>384</v>
      </c>
      <c r="O71" s="82"/>
      <c r="P71" s="160"/>
    </row>
    <row r="72">
      <c r="B72" s="25"/>
      <c r="C72" s="210"/>
      <c r="D72" s="104"/>
      <c r="E72" s="210"/>
      <c r="F72" s="104"/>
      <c r="G72" s="210"/>
      <c r="H72" s="104"/>
      <c r="I72" s="210"/>
      <c r="K72" s="104"/>
      <c r="L72" s="465" t="s">
        <v>169</v>
      </c>
      <c r="M72" s="69"/>
      <c r="N72" s="168" t="s">
        <v>388</v>
      </c>
      <c r="O72" s="82"/>
      <c r="P72" s="160"/>
    </row>
    <row r="73" ht="54.75" customHeight="1">
      <c r="B73" s="25"/>
      <c r="C73" s="210"/>
      <c r="D73" s="104"/>
      <c r="E73" s="210"/>
      <c r="F73" s="104"/>
      <c r="G73" s="210"/>
      <c r="H73" s="104"/>
      <c r="I73" s="210"/>
      <c r="K73" s="104"/>
      <c r="L73" s="465" t="s">
        <v>224</v>
      </c>
      <c r="M73" s="69"/>
      <c r="N73" s="168" t="s">
        <v>394</v>
      </c>
      <c r="O73" s="82"/>
      <c r="P73" s="160"/>
    </row>
    <row r="74" ht="39.75" customHeight="1">
      <c r="B74" s="25"/>
      <c r="C74" s="231"/>
      <c r="D74" s="167"/>
      <c r="E74" s="231"/>
      <c r="F74" s="167"/>
      <c r="G74" s="122"/>
      <c r="H74" s="123"/>
      <c r="I74" s="122"/>
      <c r="J74" s="20"/>
      <c r="K74" s="123"/>
      <c r="L74" s="477" t="s">
        <v>300</v>
      </c>
      <c r="M74" s="94"/>
      <c r="N74" s="182" t="s">
        <v>401</v>
      </c>
      <c r="O74" s="98"/>
      <c r="P74" s="105"/>
    </row>
    <row r="75">
      <c r="B75" s="25"/>
      <c r="C75" s="481" t="s">
        <v>403</v>
      </c>
      <c r="D75" s="390"/>
      <c r="E75" s="481" t="s">
        <v>230</v>
      </c>
      <c r="F75" s="390"/>
      <c r="G75" s="481" t="s">
        <v>408</v>
      </c>
      <c r="H75" s="2"/>
      <c r="I75" s="2"/>
      <c r="J75" s="2"/>
      <c r="K75" s="390"/>
      <c r="L75" s="487" t="s">
        <v>409</v>
      </c>
      <c r="M75" s="42"/>
      <c r="N75" s="489" t="s">
        <v>411</v>
      </c>
      <c r="O75" s="41"/>
      <c r="P75" s="51"/>
    </row>
    <row r="76">
      <c r="B76" s="25"/>
      <c r="C76" s="210"/>
      <c r="D76" s="104"/>
      <c r="E76" s="210"/>
      <c r="F76" s="104"/>
      <c r="G76" s="210"/>
      <c r="K76" s="104"/>
      <c r="L76" s="285" t="s">
        <v>414</v>
      </c>
      <c r="M76" s="94"/>
      <c r="N76" s="168" t="s">
        <v>416</v>
      </c>
      <c r="O76" s="82"/>
      <c r="P76" s="160"/>
    </row>
    <row r="77">
      <c r="B77" s="25"/>
      <c r="C77" s="210"/>
      <c r="D77" s="104"/>
      <c r="E77" s="231"/>
      <c r="F77" s="167"/>
      <c r="G77" s="231"/>
      <c r="H77" s="62"/>
      <c r="I77" s="62"/>
      <c r="J77" s="62"/>
      <c r="K77" s="167"/>
      <c r="L77" s="231"/>
      <c r="M77" s="167"/>
      <c r="N77" s="193" t="s">
        <v>419</v>
      </c>
      <c r="O77" s="82"/>
      <c r="P77" s="160"/>
    </row>
    <row r="78" ht="22.5" customHeight="1">
      <c r="B78" s="25"/>
      <c r="C78" s="122"/>
      <c r="D78" s="123"/>
      <c r="E78" s="496" t="s">
        <v>422</v>
      </c>
      <c r="F78" s="119"/>
      <c r="G78" s="119"/>
      <c r="H78" s="119"/>
      <c r="I78" s="119"/>
      <c r="J78" s="119"/>
      <c r="K78" s="119"/>
      <c r="L78" s="119"/>
      <c r="M78" s="119"/>
      <c r="N78" s="119"/>
      <c r="O78" s="119"/>
      <c r="P78" s="311"/>
    </row>
    <row r="79" ht="82.5" customHeight="1">
      <c r="B79" s="25"/>
      <c r="C79" s="502" t="s">
        <v>427</v>
      </c>
      <c r="D79" s="104"/>
      <c r="E79" s="272" t="s">
        <v>230</v>
      </c>
      <c r="F79" s="104"/>
      <c r="G79" s="503" t="s">
        <v>432</v>
      </c>
      <c r="K79" s="104"/>
      <c r="L79" s="246" t="s">
        <v>305</v>
      </c>
      <c r="M79" s="167"/>
      <c r="N79" s="365" t="s">
        <v>306</v>
      </c>
      <c r="O79" s="62"/>
      <c r="P79" s="65"/>
    </row>
    <row r="80" ht="155.25" customHeight="1">
      <c r="B80" s="25"/>
      <c r="C80" s="210"/>
      <c r="D80" s="104"/>
      <c r="E80" s="210"/>
      <c r="F80" s="104"/>
      <c r="G80" s="210"/>
      <c r="K80" s="104"/>
      <c r="L80" s="315" t="s">
        <v>307</v>
      </c>
      <c r="M80" s="104"/>
      <c r="N80" s="367" t="s">
        <v>438</v>
      </c>
      <c r="P80" s="200"/>
    </row>
    <row r="81" ht="143.25" customHeight="1">
      <c r="B81" s="25"/>
      <c r="C81" s="210"/>
      <c r="D81" s="104"/>
      <c r="E81" s="210"/>
      <c r="F81" s="104"/>
      <c r="G81" s="210"/>
      <c r="K81" s="104"/>
      <c r="L81" s="315" t="s">
        <v>310</v>
      </c>
      <c r="M81" s="104"/>
      <c r="N81" s="316" t="s">
        <v>441</v>
      </c>
      <c r="P81" s="200"/>
    </row>
    <row r="82">
      <c r="B82" s="25"/>
      <c r="C82" s="210"/>
      <c r="D82" s="104"/>
      <c r="E82" s="210"/>
      <c r="F82" s="104"/>
      <c r="G82" s="231"/>
      <c r="H82" s="62"/>
      <c r="I82" s="62"/>
      <c r="J82" s="62"/>
      <c r="K82" s="167"/>
      <c r="L82" s="373" t="s">
        <v>313</v>
      </c>
      <c r="M82" s="375"/>
      <c r="N82" s="377" t="s">
        <v>314</v>
      </c>
      <c r="O82" s="379"/>
      <c r="P82" s="380"/>
    </row>
    <row r="83">
      <c r="B83" s="25"/>
      <c r="C83" s="210"/>
      <c r="D83" s="104"/>
      <c r="E83" s="210"/>
      <c r="F83" s="104"/>
      <c r="G83" s="513" t="s">
        <v>446</v>
      </c>
      <c r="H83" s="347"/>
      <c r="I83" s="454" t="s">
        <v>448</v>
      </c>
      <c r="J83" s="347"/>
      <c r="K83" s="348"/>
      <c r="L83" s="455" t="s">
        <v>317</v>
      </c>
      <c r="M83" s="352"/>
      <c r="N83" s="517" t="s">
        <v>451</v>
      </c>
      <c r="O83" s="354"/>
      <c r="P83" s="355"/>
    </row>
    <row r="84">
      <c r="B84" s="25"/>
      <c r="C84" s="210"/>
      <c r="D84" s="104"/>
      <c r="E84" s="210"/>
      <c r="F84" s="104"/>
      <c r="G84" s="210"/>
      <c r="I84" s="210"/>
      <c r="K84" s="104"/>
      <c r="L84" s="255" t="s">
        <v>320</v>
      </c>
      <c r="M84" s="69"/>
      <c r="N84" s="168" t="s">
        <v>321</v>
      </c>
      <c r="O84" s="82"/>
      <c r="P84" s="160"/>
    </row>
    <row r="85">
      <c r="B85" s="25"/>
      <c r="C85" s="210"/>
      <c r="D85" s="104"/>
      <c r="E85" s="210"/>
      <c r="F85" s="104"/>
      <c r="G85" s="210"/>
      <c r="I85" s="210"/>
      <c r="K85" s="104"/>
      <c r="L85" s="465" t="s">
        <v>169</v>
      </c>
      <c r="M85" s="69"/>
      <c r="N85" s="168" t="s">
        <v>331</v>
      </c>
      <c r="O85" s="82"/>
      <c r="P85" s="160"/>
    </row>
    <row r="86" ht="67.5" customHeight="1">
      <c r="B86" s="25"/>
      <c r="C86" s="210"/>
      <c r="D86" s="104"/>
      <c r="E86" s="210"/>
      <c r="F86" s="104"/>
      <c r="G86" s="210"/>
      <c r="I86" s="210"/>
      <c r="K86" s="104"/>
      <c r="L86" s="465" t="s">
        <v>224</v>
      </c>
      <c r="M86" s="69"/>
      <c r="N86" s="168" t="s">
        <v>458</v>
      </c>
      <c r="O86" s="82"/>
      <c r="P86" s="160"/>
    </row>
    <row r="87" ht="56.25" customHeight="1">
      <c r="B87" s="25"/>
      <c r="C87" s="210"/>
      <c r="D87" s="104"/>
      <c r="E87" s="210"/>
      <c r="F87" s="104"/>
      <c r="G87" s="210"/>
      <c r="I87" s="369"/>
      <c r="J87" s="370"/>
      <c r="K87" s="371"/>
      <c r="L87" s="385" t="s">
        <v>300</v>
      </c>
      <c r="M87" s="375"/>
      <c r="N87" s="377" t="s">
        <v>462</v>
      </c>
      <c r="O87" s="379"/>
      <c r="P87" s="380"/>
    </row>
    <row r="88">
      <c r="B88" s="25"/>
      <c r="C88" s="210"/>
      <c r="D88" s="104"/>
      <c r="E88" s="210"/>
      <c r="F88" s="104"/>
      <c r="G88" s="210"/>
      <c r="I88" s="382" t="s">
        <v>464</v>
      </c>
      <c r="K88" s="104"/>
      <c r="L88" s="246" t="s">
        <v>317</v>
      </c>
      <c r="M88" s="167"/>
      <c r="N88" s="335" t="s">
        <v>451</v>
      </c>
      <c r="O88" s="62"/>
      <c r="P88" s="65"/>
    </row>
    <row r="89">
      <c r="B89" s="25"/>
      <c r="C89" s="210"/>
      <c r="D89" s="104"/>
      <c r="E89" s="210"/>
      <c r="F89" s="104"/>
      <c r="G89" s="210"/>
      <c r="I89" s="210"/>
      <c r="K89" s="104"/>
      <c r="L89" s="255" t="s">
        <v>320</v>
      </c>
      <c r="M89" s="69"/>
      <c r="N89" s="168" t="s">
        <v>321</v>
      </c>
      <c r="O89" s="82"/>
      <c r="P89" s="160"/>
    </row>
    <row r="90">
      <c r="B90" s="25"/>
      <c r="C90" s="210"/>
      <c r="D90" s="104"/>
      <c r="E90" s="210"/>
      <c r="F90" s="104"/>
      <c r="G90" s="210"/>
      <c r="I90" s="210"/>
      <c r="K90" s="104"/>
      <c r="L90" s="255" t="s">
        <v>169</v>
      </c>
      <c r="M90" s="69"/>
      <c r="N90" s="168" t="s">
        <v>331</v>
      </c>
      <c r="O90" s="82"/>
      <c r="P90" s="160"/>
    </row>
    <row r="91" ht="147.0" customHeight="1">
      <c r="B91" s="25"/>
      <c r="C91" s="210"/>
      <c r="D91" s="104"/>
      <c r="E91" s="210"/>
      <c r="F91" s="104"/>
      <c r="G91" s="210"/>
      <c r="I91" s="210"/>
      <c r="K91" s="104"/>
      <c r="L91" s="285" t="s">
        <v>224</v>
      </c>
      <c r="M91" s="94"/>
      <c r="N91" s="307" t="s">
        <v>472</v>
      </c>
      <c r="O91" s="98"/>
      <c r="P91" s="105"/>
    </row>
    <row r="92" ht="84.0" customHeight="1">
      <c r="B92" s="25"/>
      <c r="C92" s="210"/>
      <c r="D92" s="104"/>
      <c r="E92" s="210"/>
      <c r="F92" s="104"/>
      <c r="G92" s="210"/>
      <c r="I92" s="369"/>
      <c r="J92" s="370"/>
      <c r="K92" s="371"/>
      <c r="L92" s="315" t="s">
        <v>475</v>
      </c>
      <c r="M92" s="104"/>
      <c r="N92" s="367" t="s">
        <v>477</v>
      </c>
      <c r="P92" s="200"/>
    </row>
    <row r="93" ht="372.75" customHeight="1">
      <c r="B93" s="25"/>
      <c r="C93" s="210"/>
      <c r="D93" s="104"/>
      <c r="E93" s="210"/>
      <c r="F93" s="104"/>
      <c r="G93" s="210"/>
      <c r="I93" s="535" t="s">
        <v>478</v>
      </c>
      <c r="K93" s="104"/>
      <c r="L93" s="246" t="s">
        <v>224</v>
      </c>
      <c r="M93" s="167"/>
      <c r="N93" s="538" t="s">
        <v>481</v>
      </c>
      <c r="O93" s="62"/>
      <c r="P93" s="65"/>
    </row>
    <row r="94">
      <c r="B94" s="25"/>
      <c r="C94" s="210"/>
      <c r="D94" s="104"/>
      <c r="E94" s="210"/>
      <c r="F94" s="104"/>
      <c r="G94" s="369"/>
      <c r="H94" s="370"/>
      <c r="I94" s="369"/>
      <c r="J94" s="370"/>
      <c r="K94" s="371"/>
      <c r="L94" s="385" t="s">
        <v>300</v>
      </c>
      <c r="M94" s="375"/>
      <c r="N94" s="543" t="s">
        <v>485</v>
      </c>
      <c r="O94" s="379"/>
      <c r="P94" s="380"/>
    </row>
    <row r="95">
      <c r="B95" s="25"/>
      <c r="C95" s="210"/>
      <c r="D95" s="104"/>
      <c r="E95" s="210"/>
      <c r="F95" s="104"/>
      <c r="G95" s="545" t="s">
        <v>487</v>
      </c>
      <c r="I95" s="547" t="s">
        <v>489</v>
      </c>
      <c r="K95" s="104"/>
      <c r="L95" s="246" t="s">
        <v>317</v>
      </c>
      <c r="M95" s="167"/>
      <c r="N95" s="335" t="s">
        <v>451</v>
      </c>
      <c r="O95" s="62"/>
      <c r="P95" s="65"/>
    </row>
    <row r="96">
      <c r="B96" s="25"/>
      <c r="C96" s="210"/>
      <c r="D96" s="104"/>
      <c r="E96" s="210"/>
      <c r="F96" s="104"/>
      <c r="G96" s="210"/>
      <c r="I96" s="210"/>
      <c r="K96" s="104"/>
      <c r="L96" s="255" t="s">
        <v>320</v>
      </c>
      <c r="M96" s="69"/>
      <c r="N96" s="168" t="s">
        <v>321</v>
      </c>
      <c r="O96" s="82"/>
      <c r="P96" s="160"/>
    </row>
    <row r="97">
      <c r="B97" s="25"/>
      <c r="C97" s="210"/>
      <c r="D97" s="104"/>
      <c r="E97" s="210"/>
      <c r="F97" s="104"/>
      <c r="G97" s="210"/>
      <c r="I97" s="210"/>
      <c r="K97" s="104"/>
      <c r="L97" s="255" t="s">
        <v>169</v>
      </c>
      <c r="M97" s="69"/>
      <c r="N97" s="193" t="s">
        <v>498</v>
      </c>
      <c r="O97" s="82"/>
      <c r="P97" s="160"/>
    </row>
    <row r="98">
      <c r="B98" s="25"/>
      <c r="C98" s="210"/>
      <c r="D98" s="104"/>
      <c r="E98" s="210"/>
      <c r="F98" s="104"/>
      <c r="G98" s="210"/>
      <c r="I98" s="210"/>
      <c r="K98" s="104"/>
      <c r="L98" s="255" t="s">
        <v>224</v>
      </c>
      <c r="M98" s="69"/>
      <c r="N98" s="168" t="s">
        <v>500</v>
      </c>
      <c r="O98" s="82"/>
      <c r="P98" s="160"/>
    </row>
    <row r="99" ht="83.25" customHeight="1">
      <c r="B99" s="25"/>
      <c r="C99" s="122"/>
      <c r="D99" s="123"/>
      <c r="E99" s="122"/>
      <c r="F99" s="123"/>
      <c r="G99" s="122"/>
      <c r="H99" s="20"/>
      <c r="I99" s="122"/>
      <c r="J99" s="20"/>
      <c r="K99" s="123"/>
      <c r="L99" s="308" t="s">
        <v>300</v>
      </c>
      <c r="M99" s="120"/>
      <c r="N99" s="310" t="s">
        <v>503</v>
      </c>
      <c r="O99" s="119"/>
      <c r="P99" s="311"/>
    </row>
    <row r="100">
      <c r="B100" s="25"/>
      <c r="C100" s="502" t="s">
        <v>505</v>
      </c>
      <c r="D100" s="104"/>
      <c r="E100" s="272" t="s">
        <v>230</v>
      </c>
      <c r="F100" s="104"/>
      <c r="G100" s="502" t="s">
        <v>507</v>
      </c>
      <c r="K100" s="104"/>
      <c r="L100" s="246" t="s">
        <v>508</v>
      </c>
      <c r="M100" s="167"/>
      <c r="N100" s="335" t="s">
        <v>509</v>
      </c>
      <c r="O100" s="62"/>
      <c r="P100" s="65"/>
    </row>
    <row r="101" ht="63.0" customHeight="1">
      <c r="B101" s="25"/>
      <c r="C101" s="122"/>
      <c r="D101" s="123"/>
      <c r="E101" s="122"/>
      <c r="F101" s="123"/>
      <c r="G101" s="122"/>
      <c r="H101" s="20"/>
      <c r="I101" s="20"/>
      <c r="J101" s="20"/>
      <c r="K101" s="123"/>
      <c r="L101" s="308" t="s">
        <v>510</v>
      </c>
      <c r="M101" s="120"/>
      <c r="N101" s="310" t="s">
        <v>512</v>
      </c>
      <c r="O101" s="119"/>
      <c r="P101" s="311"/>
    </row>
    <row r="102">
      <c r="B102" s="76"/>
      <c r="C102" s="560" t="s">
        <v>513</v>
      </c>
      <c r="D102" s="123"/>
      <c r="E102" s="562" t="s">
        <v>230</v>
      </c>
      <c r="F102" s="123"/>
      <c r="G102" s="563" t="s">
        <v>516</v>
      </c>
      <c r="H102" s="20"/>
      <c r="I102" s="20"/>
      <c r="J102" s="20"/>
      <c r="K102" s="123"/>
      <c r="L102" s="564" t="s">
        <v>518</v>
      </c>
      <c r="M102" s="123"/>
      <c r="N102" s="567" t="s">
        <v>519</v>
      </c>
      <c r="O102" s="20"/>
      <c r="P102" s="23"/>
    </row>
    <row r="103">
      <c r="A103" s="569"/>
      <c r="B103" s="572" t="s">
        <v>523</v>
      </c>
      <c r="C103" s="574" t="s">
        <v>525</v>
      </c>
      <c r="P103" s="200"/>
      <c r="Q103" s="575"/>
    </row>
    <row r="104" ht="22.5" customHeight="1">
      <c r="A104" s="569"/>
      <c r="B104" s="76"/>
      <c r="C104" s="578" t="s">
        <v>527</v>
      </c>
      <c r="D104" s="2"/>
      <c r="E104" s="2"/>
      <c r="F104" s="2"/>
      <c r="G104" s="2"/>
      <c r="H104" s="2"/>
      <c r="I104" s="2"/>
      <c r="J104" s="2"/>
      <c r="K104" s="2"/>
      <c r="L104" s="2"/>
      <c r="M104" s="2"/>
      <c r="N104" s="2"/>
      <c r="O104" s="2"/>
      <c r="P104" s="3"/>
    </row>
    <row r="105" ht="16.5" customHeight="1">
      <c r="A105" s="569"/>
      <c r="B105" s="532"/>
      <c r="C105" s="582"/>
      <c r="D105" s="584"/>
      <c r="E105" s="584"/>
      <c r="F105" s="584"/>
      <c r="G105" s="584"/>
      <c r="H105" s="584"/>
      <c r="I105" s="589"/>
      <c r="J105" s="589"/>
      <c r="K105" s="590"/>
      <c r="L105" s="590"/>
      <c r="M105" s="589"/>
      <c r="N105" s="589"/>
      <c r="O105" s="589"/>
      <c r="P105" s="592"/>
      <c r="Q105" s="532"/>
    </row>
    <row r="106" ht="16.5" customHeight="1">
      <c r="A106" s="569"/>
      <c r="B106" s="22"/>
      <c r="C106" s="532"/>
      <c r="D106" s="532"/>
      <c r="E106" s="532"/>
      <c r="F106" s="532"/>
      <c r="G106" s="532"/>
      <c r="H106" s="532"/>
      <c r="I106" s="532"/>
      <c r="J106" s="532"/>
      <c r="K106" s="532"/>
      <c r="L106" s="532"/>
      <c r="M106" s="593"/>
      <c r="N106" s="594"/>
      <c r="O106" s="594"/>
      <c r="P106" s="594"/>
    </row>
    <row r="107" ht="16.5" customHeight="1">
      <c r="A107" s="569"/>
      <c r="B107" s="22"/>
      <c r="N107" s="5"/>
      <c r="O107" s="5"/>
      <c r="P107" s="5"/>
    </row>
    <row r="108" ht="16.5" customHeight="1">
      <c r="A108" s="569"/>
      <c r="B108" s="22"/>
      <c r="C108" s="597"/>
      <c r="N108" s="5"/>
      <c r="O108" s="5"/>
      <c r="P108" s="5"/>
    </row>
    <row r="109" ht="16.5" customHeight="1">
      <c r="A109" s="569"/>
      <c r="B109" s="22"/>
      <c r="C109" s="597"/>
      <c r="N109" s="5"/>
      <c r="O109" s="5"/>
      <c r="P109" s="5"/>
    </row>
    <row r="110" ht="16.5" customHeight="1">
      <c r="A110" s="569"/>
      <c r="B110" s="22"/>
      <c r="C110" s="597"/>
      <c r="N110" s="5"/>
      <c r="O110" s="5"/>
      <c r="P110" s="5"/>
    </row>
    <row r="111" ht="16.5" customHeight="1">
      <c r="A111" s="569"/>
      <c r="B111" s="22"/>
      <c r="C111" s="597"/>
      <c r="N111" s="5"/>
      <c r="O111" s="5"/>
      <c r="P111" s="5"/>
    </row>
    <row r="112" ht="16.5" customHeight="1">
      <c r="B112" s="22"/>
      <c r="C112" s="22"/>
      <c r="N112" s="5"/>
      <c r="O112" s="5"/>
      <c r="P112" s="5"/>
    </row>
    <row r="113" ht="16.5" customHeight="1">
      <c r="B113" s="22"/>
      <c r="C113" s="22"/>
      <c r="N113" s="5"/>
      <c r="O113" s="5"/>
      <c r="P113" s="5"/>
    </row>
    <row r="114" ht="16.5" customHeight="1">
      <c r="B114" s="22"/>
      <c r="C114" s="597"/>
      <c r="N114" s="5"/>
      <c r="O114" s="5"/>
      <c r="P114" s="5"/>
    </row>
    <row r="115" ht="16.5" customHeight="1">
      <c r="B115" s="22"/>
      <c r="C115" s="22"/>
      <c r="N115" s="5"/>
      <c r="O115" s="5"/>
      <c r="P115" s="5"/>
    </row>
    <row r="116" ht="16.5" customHeight="1">
      <c r="B116" s="22"/>
      <c r="C116" s="22"/>
      <c r="N116" s="5"/>
      <c r="O116" s="5"/>
      <c r="P116" s="5"/>
    </row>
    <row r="117" ht="16.5" customHeight="1">
      <c r="B117" s="22"/>
      <c r="C117" s="597"/>
      <c r="N117" s="5"/>
      <c r="O117" s="5"/>
      <c r="P117" s="5"/>
    </row>
    <row r="118" ht="16.5" customHeight="1">
      <c r="F118" s="22"/>
      <c r="N118" s="5"/>
      <c r="O118" s="5"/>
      <c r="P118" s="5"/>
    </row>
    <row r="119" ht="16.5" customHeight="1">
      <c r="C119" s="22"/>
      <c r="F119" s="22"/>
      <c r="N119" s="5"/>
      <c r="O119" s="5"/>
      <c r="P119" s="5"/>
    </row>
    <row r="120" ht="16.5" customHeight="1">
      <c r="C120" s="597"/>
      <c r="N120" s="5"/>
      <c r="O120" s="5"/>
      <c r="P120" s="5"/>
    </row>
    <row r="121" ht="16.5" customHeight="1">
      <c r="C121" s="597"/>
      <c r="N121" s="5"/>
      <c r="O121" s="5"/>
      <c r="P121" s="5"/>
    </row>
    <row r="122" ht="16.5" customHeight="1">
      <c r="C122" s="597"/>
      <c r="N122" s="5"/>
      <c r="O122" s="5"/>
      <c r="P122" s="5"/>
    </row>
    <row r="123" ht="16.5" customHeight="1">
      <c r="C123" s="597"/>
      <c r="N123" s="5"/>
      <c r="O123" s="5"/>
      <c r="P123" s="5"/>
    </row>
    <row r="124" ht="16.5" customHeight="1">
      <c r="C124" s="22"/>
      <c r="N124" s="5"/>
      <c r="O124" s="5"/>
      <c r="P124" s="5"/>
    </row>
    <row r="125" ht="16.5" customHeight="1">
      <c r="C125" s="22"/>
      <c r="F125" s="22"/>
      <c r="N125" s="5"/>
      <c r="O125" s="5"/>
      <c r="P125" s="5"/>
    </row>
    <row r="126" ht="16.5" customHeight="1">
      <c r="C126" s="22"/>
      <c r="N126" s="5"/>
      <c r="O126" s="5"/>
      <c r="P126" s="5"/>
    </row>
    <row r="127" ht="16.5" customHeight="1">
      <c r="C127" s="597"/>
      <c r="N127" s="5"/>
      <c r="O127" s="5"/>
      <c r="P127" s="5"/>
    </row>
    <row r="128" ht="16.5" customHeight="1">
      <c r="C128" s="22"/>
      <c r="N128" s="5"/>
      <c r="O128" s="5"/>
      <c r="P128" s="5"/>
    </row>
    <row r="129" ht="16.5" customHeight="1">
      <c r="C129" s="22"/>
      <c r="F129" s="22"/>
      <c r="N129" s="5"/>
      <c r="O129" s="5"/>
      <c r="P129" s="5"/>
    </row>
    <row r="130" ht="16.5" customHeight="1">
      <c r="N130" s="5"/>
      <c r="O130" s="5"/>
      <c r="P130" s="5"/>
    </row>
    <row r="131" ht="16.5" customHeight="1">
      <c r="N131" s="5"/>
      <c r="O131" s="5"/>
      <c r="P131" s="5"/>
    </row>
    <row r="132" ht="16.5" customHeight="1">
      <c r="C132" s="612"/>
      <c r="N132" s="5"/>
      <c r="O132" s="5"/>
      <c r="P132" s="5"/>
    </row>
    <row r="133" ht="16.5" customHeight="1">
      <c r="B133" s="532"/>
      <c r="N133" s="5"/>
      <c r="O133" s="5"/>
      <c r="P133" s="5"/>
      <c r="Q133" s="532"/>
    </row>
    <row r="134" ht="16.5" customHeight="1">
      <c r="C134" s="532"/>
      <c r="D134" s="532"/>
      <c r="E134" s="532"/>
      <c r="F134" s="532"/>
      <c r="G134" s="532"/>
      <c r="H134" s="532"/>
      <c r="I134" s="532"/>
      <c r="J134" s="532"/>
      <c r="K134" s="532"/>
      <c r="L134" s="532"/>
      <c r="M134" s="593"/>
      <c r="N134" s="594"/>
      <c r="O134" s="5"/>
      <c r="P134" s="594"/>
    </row>
    <row r="135" ht="16.5" customHeight="1">
      <c r="C135" s="612"/>
      <c r="N135" s="5"/>
      <c r="O135" s="5"/>
      <c r="P135" s="5"/>
    </row>
    <row r="136" ht="16.5" customHeight="1">
      <c r="I136" s="617"/>
      <c r="J136" s="617"/>
      <c r="M136" s="617"/>
      <c r="N136" s="617"/>
      <c r="O136" s="617"/>
      <c r="P136" s="5"/>
    </row>
    <row r="137" ht="16.5" customHeight="1">
      <c r="I137" s="617"/>
      <c r="J137" s="617"/>
      <c r="M137" s="617"/>
      <c r="N137" s="617"/>
      <c r="O137" s="617"/>
      <c r="P137" s="5"/>
    </row>
    <row r="138" ht="16.5" customHeight="1">
      <c r="I138" s="617"/>
      <c r="J138" s="617"/>
      <c r="M138" s="617"/>
      <c r="N138" s="617"/>
      <c r="O138" s="617"/>
      <c r="P138" s="5"/>
    </row>
    <row r="139" ht="16.5" customHeight="1">
      <c r="I139" s="617"/>
      <c r="J139" s="617"/>
      <c r="M139" s="617"/>
      <c r="N139" s="617"/>
      <c r="O139" s="617"/>
      <c r="P139" s="5"/>
    </row>
    <row r="140" ht="16.5" customHeight="1">
      <c r="I140" s="617"/>
      <c r="J140" s="617"/>
      <c r="M140" s="617"/>
      <c r="N140" s="617"/>
      <c r="O140" s="617"/>
      <c r="P140" s="5"/>
    </row>
    <row r="141" ht="16.5" customHeight="1">
      <c r="I141" s="617"/>
      <c r="J141" s="617"/>
      <c r="M141" s="617"/>
      <c r="N141" s="617"/>
      <c r="O141" s="617"/>
      <c r="P141" s="5"/>
    </row>
    <row r="142" ht="16.5" customHeight="1">
      <c r="I142" s="617"/>
      <c r="J142" s="617"/>
      <c r="M142" s="617"/>
      <c r="N142" s="617"/>
      <c r="O142" s="617"/>
      <c r="P142" s="5"/>
    </row>
    <row r="143" ht="16.5" customHeight="1">
      <c r="I143" s="617"/>
      <c r="J143" s="617"/>
      <c r="M143" s="617"/>
      <c r="N143" s="617"/>
      <c r="O143" s="617"/>
      <c r="P143" s="5"/>
    </row>
    <row r="144" ht="16.5" customHeight="1">
      <c r="I144" s="617"/>
      <c r="J144" s="617"/>
      <c r="M144" s="617"/>
      <c r="N144" s="617"/>
      <c r="O144" s="617"/>
      <c r="P144" s="5"/>
    </row>
    <row r="145" ht="16.5" customHeight="1">
      <c r="I145" s="617"/>
      <c r="J145" s="617"/>
      <c r="M145" s="617"/>
      <c r="N145" s="617"/>
      <c r="O145" s="617"/>
      <c r="P145" s="5"/>
    </row>
    <row r="146" ht="16.5" customHeight="1">
      <c r="I146" s="617"/>
      <c r="J146" s="617"/>
      <c r="M146" s="617"/>
      <c r="N146" s="617"/>
      <c r="O146" s="617"/>
      <c r="P146" s="5"/>
    </row>
    <row r="147" ht="16.5" customHeight="1">
      <c r="I147" s="617"/>
      <c r="J147" s="617"/>
      <c r="M147" s="617"/>
      <c r="N147" s="617"/>
      <c r="O147" s="617"/>
      <c r="P147" s="5"/>
    </row>
    <row r="148" ht="16.5" customHeight="1">
      <c r="I148" s="617"/>
      <c r="J148" s="617"/>
      <c r="M148" s="617"/>
      <c r="N148" s="617"/>
      <c r="O148" s="617"/>
      <c r="P148" s="5"/>
    </row>
    <row r="149" ht="16.5" customHeight="1">
      <c r="I149" s="617"/>
      <c r="J149" s="617"/>
      <c r="M149" s="617"/>
      <c r="N149" s="617"/>
      <c r="O149" s="617"/>
      <c r="P149" s="5"/>
    </row>
    <row r="150" ht="16.5" customHeight="1">
      <c r="I150" s="617"/>
      <c r="J150" s="617"/>
      <c r="M150" s="617"/>
      <c r="N150" s="617"/>
      <c r="O150" s="617"/>
      <c r="P150" s="5"/>
    </row>
    <row r="151" ht="16.5" customHeight="1">
      <c r="I151" s="617"/>
      <c r="J151" s="617"/>
      <c r="M151" s="617"/>
      <c r="N151" s="617"/>
      <c r="O151" s="617"/>
      <c r="P151" s="5"/>
    </row>
    <row r="152" ht="16.5" customHeight="1">
      <c r="I152" s="617"/>
      <c r="J152" s="617"/>
      <c r="M152" s="617"/>
      <c r="N152" s="617"/>
      <c r="O152" s="617"/>
      <c r="P152" s="5"/>
    </row>
    <row r="153" ht="16.5" customHeight="1">
      <c r="I153" s="617"/>
      <c r="J153" s="617"/>
      <c r="M153" s="617"/>
      <c r="N153" s="617"/>
      <c r="O153" s="617"/>
      <c r="P153" s="5"/>
    </row>
    <row r="154" ht="16.5" customHeight="1">
      <c r="I154" s="617"/>
      <c r="J154" s="617"/>
      <c r="M154" s="617"/>
      <c r="N154" s="617"/>
      <c r="O154" s="617"/>
      <c r="P154" s="5"/>
    </row>
    <row r="155" ht="16.5" customHeight="1">
      <c r="I155" s="617"/>
      <c r="J155" s="617"/>
      <c r="M155" s="617"/>
      <c r="N155" s="617"/>
      <c r="O155" s="617"/>
      <c r="P155" s="5"/>
    </row>
    <row r="156" ht="16.5" customHeight="1">
      <c r="I156" s="617"/>
      <c r="J156" s="617"/>
      <c r="M156" s="617"/>
      <c r="N156" s="617"/>
      <c r="O156" s="617"/>
      <c r="P156" s="5"/>
    </row>
    <row r="157" ht="16.5" customHeight="1">
      <c r="I157" s="617"/>
      <c r="J157" s="617"/>
      <c r="M157" s="617"/>
      <c r="N157" s="617"/>
      <c r="O157" s="617"/>
      <c r="P157" s="5"/>
    </row>
    <row r="158" ht="16.5" customHeight="1">
      <c r="I158" s="617"/>
      <c r="J158" s="617"/>
      <c r="M158" s="617"/>
      <c r="N158" s="617"/>
      <c r="O158" s="617"/>
      <c r="P158" s="5"/>
    </row>
    <row r="159" ht="16.5" customHeight="1">
      <c r="I159" s="617"/>
      <c r="J159" s="617"/>
      <c r="M159" s="617"/>
      <c r="N159" s="617"/>
      <c r="O159" s="617"/>
      <c r="P159" s="5"/>
    </row>
    <row r="160" ht="16.5" customHeight="1">
      <c r="I160" s="617"/>
      <c r="J160" s="617"/>
      <c r="M160" s="617"/>
      <c r="N160" s="617"/>
      <c r="O160" s="617"/>
      <c r="P160" s="5"/>
    </row>
    <row r="161" ht="16.5" customHeight="1">
      <c r="I161" s="617"/>
      <c r="J161" s="617"/>
      <c r="M161" s="617"/>
      <c r="N161" s="617"/>
      <c r="O161" s="617"/>
      <c r="P161" s="5"/>
    </row>
    <row r="162" ht="16.5" customHeight="1">
      <c r="I162" s="617"/>
      <c r="J162" s="617"/>
      <c r="M162" s="617"/>
      <c r="N162" s="617"/>
      <c r="O162" s="617"/>
      <c r="P162" s="5"/>
    </row>
    <row r="163" ht="16.5" customHeight="1">
      <c r="I163" s="617"/>
      <c r="J163" s="617"/>
      <c r="M163" s="617"/>
      <c r="N163" s="617"/>
      <c r="O163" s="617"/>
      <c r="P163" s="5"/>
    </row>
    <row r="164" ht="16.5" customHeight="1">
      <c r="I164" s="617"/>
      <c r="J164" s="617"/>
      <c r="M164" s="617"/>
      <c r="N164" s="617"/>
      <c r="O164" s="617"/>
      <c r="P164" s="5"/>
    </row>
    <row r="165" ht="16.5" customHeight="1">
      <c r="I165" s="617"/>
      <c r="J165" s="617"/>
      <c r="M165" s="617"/>
      <c r="N165" s="617"/>
      <c r="O165" s="617"/>
      <c r="P165" s="5"/>
    </row>
    <row r="166" ht="16.5" customHeight="1">
      <c r="I166" s="617"/>
      <c r="J166" s="617"/>
      <c r="M166" s="617"/>
      <c r="N166" s="617"/>
      <c r="O166" s="617"/>
      <c r="P166" s="5"/>
    </row>
    <row r="167" ht="16.5" customHeight="1">
      <c r="I167" s="617"/>
      <c r="J167" s="617"/>
      <c r="M167" s="617"/>
      <c r="N167" s="617"/>
      <c r="O167" s="617"/>
      <c r="P167" s="5"/>
    </row>
    <row r="168" ht="16.5" customHeight="1">
      <c r="I168" s="617"/>
      <c r="J168" s="617"/>
      <c r="M168" s="617"/>
      <c r="N168" s="617"/>
      <c r="O168" s="617"/>
      <c r="P168" s="5"/>
    </row>
    <row r="169" ht="16.5" customHeight="1">
      <c r="I169" s="617"/>
      <c r="J169" s="617"/>
      <c r="M169" s="617"/>
      <c r="N169" s="617"/>
      <c r="O169" s="617"/>
      <c r="P169" s="5"/>
    </row>
    <row r="170" ht="16.5" customHeight="1">
      <c r="I170" s="617"/>
      <c r="J170" s="617"/>
      <c r="M170" s="617"/>
      <c r="N170" s="617"/>
      <c r="O170" s="617"/>
      <c r="P170" s="5"/>
    </row>
    <row r="171" ht="16.5" customHeight="1">
      <c r="I171" s="617"/>
      <c r="J171" s="617"/>
      <c r="M171" s="617"/>
      <c r="N171" s="617"/>
      <c r="O171" s="617"/>
      <c r="P171" s="5"/>
    </row>
    <row r="172" ht="16.5" customHeight="1">
      <c r="I172" s="617"/>
      <c r="J172" s="617"/>
      <c r="M172" s="617"/>
      <c r="N172" s="617"/>
      <c r="O172" s="617"/>
      <c r="P172" s="5"/>
    </row>
    <row r="173" ht="16.5" customHeight="1">
      <c r="I173" s="617"/>
      <c r="J173" s="617"/>
      <c r="M173" s="617"/>
      <c r="N173" s="617"/>
      <c r="O173" s="617"/>
      <c r="P173" s="5"/>
    </row>
    <row r="174" ht="16.5" customHeight="1">
      <c r="I174" s="617"/>
      <c r="J174" s="617"/>
      <c r="M174" s="617"/>
      <c r="N174" s="617"/>
      <c r="O174" s="617"/>
      <c r="P174" s="5"/>
    </row>
    <row r="175" ht="16.5" customHeight="1">
      <c r="I175" s="617"/>
      <c r="J175" s="617"/>
      <c r="M175" s="617"/>
      <c r="N175" s="617"/>
      <c r="O175" s="617"/>
      <c r="P175" s="5"/>
    </row>
    <row r="176" ht="16.5" customHeight="1">
      <c r="I176" s="617"/>
      <c r="J176" s="617"/>
      <c r="M176" s="617"/>
      <c r="N176" s="617"/>
      <c r="O176" s="617"/>
      <c r="P176" s="5"/>
    </row>
    <row r="177" ht="16.5" customHeight="1">
      <c r="I177" s="617"/>
      <c r="J177" s="617"/>
      <c r="M177" s="617"/>
      <c r="N177" s="617"/>
      <c r="O177" s="617"/>
      <c r="P177" s="5"/>
    </row>
    <row r="178" ht="16.5" customHeight="1">
      <c r="I178" s="617"/>
      <c r="J178" s="617"/>
      <c r="M178" s="617"/>
      <c r="N178" s="617"/>
      <c r="O178" s="617"/>
      <c r="P178" s="5"/>
    </row>
    <row r="179" ht="16.5" customHeight="1">
      <c r="I179" s="617"/>
      <c r="J179" s="617"/>
      <c r="M179" s="617"/>
      <c r="N179" s="617"/>
      <c r="O179" s="617"/>
      <c r="P179" s="5"/>
    </row>
    <row r="180" ht="16.5" customHeight="1">
      <c r="I180" s="617"/>
      <c r="J180" s="617"/>
      <c r="M180" s="617"/>
      <c r="N180" s="617"/>
      <c r="O180" s="617"/>
      <c r="P180" s="5"/>
    </row>
    <row r="181" ht="16.5" customHeight="1">
      <c r="I181" s="617"/>
      <c r="J181" s="617"/>
      <c r="M181" s="617"/>
      <c r="N181" s="617"/>
      <c r="O181" s="617"/>
      <c r="P181" s="5"/>
    </row>
    <row r="182" ht="16.5" customHeight="1">
      <c r="I182" s="617"/>
      <c r="J182" s="617"/>
      <c r="M182" s="617"/>
      <c r="N182" s="617"/>
      <c r="O182" s="617"/>
      <c r="P182" s="5"/>
    </row>
    <row r="183" ht="16.5" customHeight="1">
      <c r="I183" s="617"/>
      <c r="J183" s="617"/>
      <c r="M183" s="617"/>
      <c r="N183" s="617"/>
      <c r="O183" s="617"/>
      <c r="P183" s="5"/>
    </row>
    <row r="184" ht="16.5" customHeight="1">
      <c r="I184" s="617"/>
      <c r="J184" s="617"/>
      <c r="M184" s="617"/>
      <c r="N184" s="617"/>
      <c r="O184" s="617"/>
      <c r="P184" s="5"/>
    </row>
    <row r="185" ht="16.5" customHeight="1">
      <c r="I185" s="617"/>
      <c r="J185" s="617"/>
      <c r="M185" s="617"/>
      <c r="N185" s="617"/>
      <c r="O185" s="617"/>
      <c r="P185" s="5"/>
    </row>
    <row r="186" ht="16.5" customHeight="1">
      <c r="I186" s="617"/>
      <c r="J186" s="617"/>
      <c r="M186" s="617"/>
      <c r="N186" s="617"/>
      <c r="O186" s="617"/>
      <c r="P186" s="5"/>
    </row>
    <row r="187" ht="16.5" customHeight="1">
      <c r="I187" s="617"/>
      <c r="J187" s="617"/>
      <c r="M187" s="617"/>
      <c r="N187" s="617"/>
      <c r="O187" s="617"/>
      <c r="P187" s="5"/>
    </row>
    <row r="188" ht="16.5" customHeight="1">
      <c r="I188" s="617"/>
      <c r="J188" s="617"/>
      <c r="M188" s="617"/>
      <c r="N188" s="617"/>
      <c r="O188" s="617"/>
      <c r="P188" s="5"/>
    </row>
    <row r="189" ht="16.5" customHeight="1">
      <c r="I189" s="617"/>
      <c r="J189" s="617"/>
      <c r="M189" s="617"/>
      <c r="N189" s="617"/>
      <c r="O189" s="617"/>
      <c r="P189" s="5"/>
    </row>
    <row r="190" ht="16.5" customHeight="1">
      <c r="I190" s="617"/>
      <c r="J190" s="617"/>
      <c r="M190" s="617"/>
      <c r="N190" s="617"/>
      <c r="O190" s="617"/>
      <c r="P190" s="5"/>
    </row>
    <row r="191" ht="16.5" customHeight="1">
      <c r="I191" s="617"/>
      <c r="J191" s="617"/>
      <c r="M191" s="617"/>
      <c r="N191" s="617"/>
      <c r="O191" s="617"/>
      <c r="P191" s="5"/>
    </row>
    <row r="192" ht="16.5" customHeight="1">
      <c r="I192" s="617"/>
      <c r="J192" s="617"/>
      <c r="M192" s="617"/>
      <c r="N192" s="617"/>
      <c r="O192" s="617"/>
      <c r="P192" s="5"/>
    </row>
    <row r="193" ht="16.5" customHeight="1">
      <c r="I193" s="617"/>
      <c r="J193" s="617"/>
      <c r="M193" s="617"/>
      <c r="N193" s="617"/>
      <c r="O193" s="617"/>
      <c r="P193" s="5"/>
    </row>
    <row r="194" ht="16.5" customHeight="1">
      <c r="I194" s="617"/>
      <c r="J194" s="617"/>
      <c r="M194" s="617"/>
      <c r="N194" s="617"/>
      <c r="O194" s="617"/>
      <c r="P194" s="5"/>
    </row>
    <row r="195" ht="16.5" customHeight="1">
      <c r="I195" s="617"/>
      <c r="J195" s="617"/>
      <c r="M195" s="617"/>
      <c r="N195" s="617"/>
      <c r="O195" s="617"/>
      <c r="P195" s="5"/>
    </row>
    <row r="196" ht="16.5" customHeight="1">
      <c r="I196" s="617"/>
      <c r="J196" s="617"/>
      <c r="M196" s="617"/>
      <c r="N196" s="617"/>
      <c r="O196" s="617"/>
      <c r="P196" s="5"/>
    </row>
    <row r="197" ht="16.5" customHeight="1">
      <c r="I197" s="617"/>
      <c r="J197" s="617"/>
      <c r="M197" s="617"/>
      <c r="N197" s="617"/>
      <c r="O197" s="617"/>
      <c r="P197" s="5"/>
    </row>
    <row r="198" ht="16.5" customHeight="1">
      <c r="I198" s="617"/>
      <c r="J198" s="617"/>
      <c r="M198" s="617"/>
      <c r="N198" s="617"/>
      <c r="O198" s="617"/>
      <c r="P198" s="5"/>
    </row>
    <row r="199" ht="16.5" customHeight="1">
      <c r="I199" s="617"/>
      <c r="J199" s="617"/>
      <c r="M199" s="617"/>
      <c r="N199" s="617"/>
      <c r="O199" s="617"/>
      <c r="P199" s="5"/>
    </row>
    <row r="200" ht="16.5" customHeight="1">
      <c r="I200" s="617"/>
      <c r="J200" s="617"/>
      <c r="M200" s="617"/>
      <c r="N200" s="617"/>
      <c r="O200" s="617"/>
      <c r="P200" s="5"/>
    </row>
    <row r="201" ht="16.5" customHeight="1">
      <c r="I201" s="617"/>
      <c r="J201" s="617"/>
      <c r="M201" s="617"/>
      <c r="N201" s="617"/>
      <c r="O201" s="617"/>
      <c r="P201" s="5"/>
    </row>
    <row r="202" ht="16.5" customHeight="1">
      <c r="I202" s="617"/>
      <c r="J202" s="617"/>
      <c r="M202" s="617"/>
      <c r="N202" s="617"/>
      <c r="O202" s="617"/>
      <c r="P202" s="5"/>
    </row>
    <row r="203" ht="16.5" customHeight="1">
      <c r="I203" s="617"/>
      <c r="J203" s="617"/>
      <c r="M203" s="617"/>
      <c r="N203" s="617"/>
      <c r="O203" s="617"/>
      <c r="P203" s="5"/>
    </row>
    <row r="204" ht="16.5" customHeight="1">
      <c r="I204" s="617"/>
      <c r="J204" s="617"/>
      <c r="M204" s="617"/>
      <c r="N204" s="617"/>
      <c r="O204" s="617"/>
      <c r="P204" s="5"/>
    </row>
    <row r="205" ht="16.5" customHeight="1">
      <c r="I205" s="617"/>
      <c r="J205" s="617"/>
      <c r="M205" s="617"/>
      <c r="N205" s="617"/>
      <c r="O205" s="617"/>
      <c r="P205" s="5"/>
    </row>
    <row r="206" ht="16.5" customHeight="1">
      <c r="I206" s="617"/>
      <c r="J206" s="617"/>
      <c r="M206" s="617"/>
      <c r="N206" s="617"/>
      <c r="O206" s="617"/>
      <c r="P206" s="5"/>
    </row>
    <row r="207" ht="16.5" customHeight="1">
      <c r="I207" s="617"/>
      <c r="J207" s="617"/>
      <c r="M207" s="617"/>
      <c r="N207" s="617"/>
      <c r="O207" s="617"/>
      <c r="P207" s="5"/>
    </row>
    <row r="208" ht="16.5" customHeight="1">
      <c r="I208" s="617"/>
      <c r="J208" s="617"/>
      <c r="M208" s="617"/>
      <c r="N208" s="617"/>
      <c r="O208" s="617"/>
      <c r="P208" s="5"/>
    </row>
    <row r="209" ht="16.5" customHeight="1">
      <c r="I209" s="617"/>
      <c r="J209" s="617"/>
      <c r="M209" s="617"/>
      <c r="N209" s="617"/>
      <c r="O209" s="617"/>
      <c r="P209" s="5"/>
    </row>
    <row r="210" ht="16.5" customHeight="1">
      <c r="I210" s="617"/>
      <c r="J210" s="617"/>
      <c r="M210" s="617"/>
      <c r="N210" s="617"/>
      <c r="O210" s="617"/>
      <c r="P210" s="5"/>
    </row>
    <row r="211" ht="16.5" customHeight="1">
      <c r="I211" s="617"/>
      <c r="J211" s="617"/>
      <c r="M211" s="617"/>
      <c r="N211" s="617"/>
      <c r="O211" s="617"/>
      <c r="P211" s="5"/>
    </row>
    <row r="212" ht="16.5" customHeight="1">
      <c r="I212" s="617"/>
      <c r="J212" s="617"/>
      <c r="M212" s="617"/>
      <c r="N212" s="617"/>
      <c r="O212" s="617"/>
      <c r="P212" s="5"/>
    </row>
    <row r="213" ht="16.5" customHeight="1">
      <c r="I213" s="617"/>
      <c r="J213" s="617"/>
      <c r="M213" s="617"/>
      <c r="N213" s="617"/>
      <c r="O213" s="617"/>
      <c r="P213" s="5"/>
    </row>
    <row r="214" ht="16.5" customHeight="1">
      <c r="I214" s="617"/>
      <c r="J214" s="617"/>
      <c r="M214" s="617"/>
      <c r="N214" s="617"/>
      <c r="O214" s="617"/>
      <c r="P214" s="5"/>
    </row>
    <row r="215" ht="16.5" customHeight="1">
      <c r="I215" s="617"/>
      <c r="J215" s="617"/>
      <c r="M215" s="617"/>
      <c r="N215" s="617"/>
      <c r="O215" s="617"/>
      <c r="P215" s="5"/>
    </row>
    <row r="216" ht="16.5" customHeight="1">
      <c r="I216" s="617"/>
      <c r="J216" s="617"/>
      <c r="M216" s="617"/>
      <c r="N216" s="617"/>
      <c r="O216" s="617"/>
      <c r="P216" s="5"/>
    </row>
    <row r="217" ht="16.5" customHeight="1">
      <c r="I217" s="617"/>
      <c r="J217" s="617"/>
      <c r="M217" s="617"/>
      <c r="N217" s="617"/>
      <c r="O217" s="617"/>
      <c r="P217" s="5"/>
    </row>
    <row r="218" ht="16.5" customHeight="1">
      <c r="I218" s="617"/>
      <c r="J218" s="617"/>
      <c r="M218" s="617"/>
      <c r="N218" s="617"/>
      <c r="O218" s="617"/>
      <c r="P218" s="5"/>
    </row>
    <row r="219" ht="16.5" customHeight="1">
      <c r="I219" s="617"/>
      <c r="J219" s="617"/>
      <c r="M219" s="617"/>
      <c r="N219" s="617"/>
      <c r="O219" s="617"/>
      <c r="P219" s="5"/>
    </row>
    <row r="220" ht="16.5" customHeight="1">
      <c r="I220" s="617"/>
      <c r="J220" s="617"/>
      <c r="M220" s="617"/>
      <c r="N220" s="617"/>
      <c r="O220" s="617"/>
      <c r="P220" s="5"/>
    </row>
    <row r="221" ht="16.5" customHeight="1">
      <c r="I221" s="617"/>
      <c r="J221" s="617"/>
      <c r="M221" s="617"/>
      <c r="N221" s="617"/>
      <c r="O221" s="617"/>
      <c r="P221" s="5"/>
    </row>
    <row r="222" ht="16.5" customHeight="1">
      <c r="I222" s="617"/>
      <c r="J222" s="617"/>
      <c r="M222" s="617"/>
      <c r="N222" s="617"/>
      <c r="O222" s="617"/>
      <c r="P222" s="5"/>
    </row>
    <row r="223" ht="16.5" customHeight="1">
      <c r="I223" s="617"/>
      <c r="J223" s="617"/>
      <c r="M223" s="617"/>
      <c r="N223" s="617"/>
      <c r="O223" s="617"/>
      <c r="P223" s="5"/>
    </row>
    <row r="224" ht="16.5" customHeight="1">
      <c r="I224" s="617"/>
      <c r="J224" s="617"/>
      <c r="M224" s="617"/>
      <c r="N224" s="617"/>
      <c r="O224" s="617"/>
      <c r="P224" s="5"/>
    </row>
    <row r="225" ht="16.5" customHeight="1">
      <c r="I225" s="617"/>
      <c r="J225" s="617"/>
      <c r="M225" s="617"/>
      <c r="N225" s="617"/>
      <c r="O225" s="617"/>
      <c r="P225" s="5"/>
    </row>
    <row r="226" ht="16.5" customHeight="1">
      <c r="I226" s="617"/>
      <c r="J226" s="617"/>
      <c r="M226" s="617"/>
      <c r="N226" s="617"/>
      <c r="O226" s="617"/>
      <c r="P226" s="5"/>
    </row>
    <row r="227" ht="16.5" customHeight="1">
      <c r="I227" s="617"/>
      <c r="J227" s="617"/>
      <c r="M227" s="617"/>
      <c r="N227" s="617"/>
      <c r="O227" s="617"/>
      <c r="P227" s="5"/>
    </row>
    <row r="228" ht="16.5" customHeight="1">
      <c r="I228" s="617"/>
      <c r="J228" s="617"/>
      <c r="M228" s="617"/>
      <c r="N228" s="617"/>
      <c r="O228" s="617"/>
      <c r="P228" s="5"/>
    </row>
    <row r="229" ht="16.5" customHeight="1">
      <c r="I229" s="617"/>
      <c r="J229" s="617"/>
      <c r="M229" s="617"/>
      <c r="N229" s="617"/>
      <c r="O229" s="617"/>
      <c r="P229" s="5"/>
    </row>
    <row r="230" ht="16.5" customHeight="1">
      <c r="I230" s="617"/>
      <c r="J230" s="617"/>
      <c r="M230" s="617"/>
      <c r="N230" s="617"/>
      <c r="O230" s="617"/>
      <c r="P230" s="5"/>
    </row>
    <row r="231" ht="16.5" customHeight="1">
      <c r="I231" s="617"/>
      <c r="J231" s="617"/>
      <c r="M231" s="617"/>
      <c r="N231" s="617"/>
      <c r="O231" s="617"/>
      <c r="P231" s="5"/>
    </row>
    <row r="232" ht="16.5" customHeight="1">
      <c r="I232" s="617"/>
      <c r="J232" s="617"/>
      <c r="M232" s="617"/>
      <c r="N232" s="617"/>
      <c r="O232" s="617"/>
      <c r="P232" s="5"/>
    </row>
    <row r="233" ht="16.5" customHeight="1">
      <c r="I233" s="617"/>
      <c r="J233" s="617"/>
      <c r="M233" s="617"/>
      <c r="N233" s="617"/>
      <c r="O233" s="617"/>
      <c r="P233" s="5"/>
    </row>
    <row r="234" ht="16.5" customHeight="1">
      <c r="I234" s="617"/>
      <c r="J234" s="617"/>
      <c r="M234" s="617"/>
      <c r="N234" s="617"/>
      <c r="O234" s="617"/>
      <c r="P234" s="5"/>
    </row>
    <row r="235" ht="16.5" customHeight="1">
      <c r="I235" s="617"/>
      <c r="J235" s="617"/>
      <c r="M235" s="617"/>
      <c r="N235" s="617"/>
      <c r="O235" s="617"/>
      <c r="P235" s="5"/>
    </row>
    <row r="236" ht="16.5" customHeight="1">
      <c r="I236" s="617"/>
      <c r="J236" s="617"/>
      <c r="M236" s="617"/>
      <c r="N236" s="617"/>
      <c r="O236" s="617"/>
      <c r="P236" s="5"/>
    </row>
    <row r="237" ht="16.5" customHeight="1">
      <c r="I237" s="617"/>
      <c r="J237" s="617"/>
      <c r="M237" s="617"/>
      <c r="N237" s="617"/>
      <c r="O237" s="617"/>
      <c r="P237" s="5"/>
    </row>
    <row r="238" ht="16.5" customHeight="1">
      <c r="I238" s="617"/>
      <c r="J238" s="617"/>
      <c r="M238" s="617"/>
      <c r="N238" s="617"/>
      <c r="O238" s="617"/>
      <c r="P238" s="5"/>
    </row>
    <row r="239" ht="16.5" customHeight="1">
      <c r="I239" s="617"/>
      <c r="J239" s="617"/>
      <c r="M239" s="617"/>
      <c r="N239" s="617"/>
      <c r="O239" s="617"/>
      <c r="P239" s="5"/>
    </row>
    <row r="240" ht="16.5" customHeight="1">
      <c r="I240" s="617"/>
      <c r="J240" s="617"/>
      <c r="M240" s="617"/>
      <c r="N240" s="617"/>
      <c r="O240" s="617"/>
      <c r="P240" s="5"/>
    </row>
    <row r="241" ht="16.5" customHeight="1">
      <c r="I241" s="617"/>
      <c r="J241" s="617"/>
      <c r="M241" s="617"/>
      <c r="N241" s="617"/>
      <c r="O241" s="617"/>
      <c r="P241" s="5"/>
    </row>
    <row r="242" ht="16.5" customHeight="1">
      <c r="I242" s="617"/>
      <c r="J242" s="617"/>
      <c r="M242" s="617"/>
      <c r="N242" s="617"/>
      <c r="O242" s="617"/>
      <c r="P242" s="5"/>
    </row>
    <row r="243" ht="16.5" customHeight="1">
      <c r="I243" s="617"/>
      <c r="J243" s="617"/>
      <c r="M243" s="617"/>
      <c r="N243" s="617"/>
      <c r="O243" s="617"/>
      <c r="P243" s="5"/>
    </row>
    <row r="244" ht="16.5" customHeight="1">
      <c r="I244" s="617"/>
      <c r="J244" s="617"/>
      <c r="M244" s="617"/>
      <c r="N244" s="617"/>
      <c r="O244" s="617"/>
      <c r="P244" s="5"/>
    </row>
    <row r="245" ht="16.5" customHeight="1">
      <c r="I245" s="617"/>
      <c r="J245" s="617"/>
      <c r="M245" s="617"/>
      <c r="N245" s="617"/>
      <c r="O245" s="617"/>
      <c r="P245" s="5"/>
    </row>
    <row r="246" ht="16.5" customHeight="1">
      <c r="I246" s="617"/>
      <c r="J246" s="617"/>
      <c r="M246" s="617"/>
      <c r="N246" s="617"/>
      <c r="O246" s="617"/>
      <c r="P246" s="5"/>
    </row>
    <row r="247" ht="16.5" customHeight="1">
      <c r="I247" s="617"/>
      <c r="J247" s="617"/>
      <c r="M247" s="617"/>
      <c r="N247" s="617"/>
      <c r="O247" s="617"/>
      <c r="P247" s="5"/>
    </row>
    <row r="248" ht="16.5" customHeight="1">
      <c r="I248" s="617"/>
      <c r="J248" s="617"/>
      <c r="M248" s="617"/>
      <c r="N248" s="617"/>
      <c r="O248" s="617"/>
      <c r="P248" s="5"/>
    </row>
    <row r="249" ht="16.5" customHeight="1">
      <c r="I249" s="617"/>
      <c r="J249" s="617"/>
      <c r="M249" s="617"/>
      <c r="N249" s="617"/>
      <c r="O249" s="617"/>
      <c r="P249" s="5"/>
    </row>
    <row r="250" ht="16.5" customHeight="1">
      <c r="I250" s="617"/>
      <c r="J250" s="617"/>
      <c r="M250" s="617"/>
      <c r="N250" s="617"/>
      <c r="O250" s="617"/>
      <c r="P250" s="5"/>
    </row>
    <row r="251" ht="16.5" customHeight="1">
      <c r="I251" s="617"/>
      <c r="J251" s="617"/>
      <c r="M251" s="617"/>
      <c r="N251" s="617"/>
      <c r="O251" s="617"/>
      <c r="P251" s="5"/>
    </row>
    <row r="252" ht="16.5" customHeight="1">
      <c r="I252" s="617"/>
      <c r="J252" s="617"/>
      <c r="M252" s="617"/>
      <c r="N252" s="617"/>
      <c r="O252" s="617"/>
      <c r="P252" s="5"/>
    </row>
    <row r="253" ht="16.5" customHeight="1">
      <c r="I253" s="617"/>
      <c r="J253" s="617"/>
      <c r="M253" s="617"/>
      <c r="N253" s="617"/>
      <c r="O253" s="617"/>
      <c r="P253" s="5"/>
    </row>
    <row r="254" ht="16.5" customHeight="1">
      <c r="I254" s="617"/>
      <c r="J254" s="617"/>
      <c r="M254" s="617"/>
      <c r="N254" s="617"/>
      <c r="O254" s="617"/>
      <c r="P254" s="5"/>
    </row>
    <row r="255" ht="16.5" customHeight="1">
      <c r="I255" s="617"/>
      <c r="J255" s="617"/>
      <c r="M255" s="617"/>
      <c r="N255" s="617"/>
      <c r="O255" s="617"/>
      <c r="P255" s="5"/>
    </row>
    <row r="256" ht="16.5" customHeight="1">
      <c r="I256" s="617"/>
      <c r="J256" s="617"/>
      <c r="M256" s="617"/>
      <c r="N256" s="617"/>
      <c r="O256" s="617"/>
      <c r="P256" s="5"/>
    </row>
    <row r="257" ht="16.5" customHeight="1">
      <c r="I257" s="617"/>
      <c r="J257" s="617"/>
      <c r="M257" s="617"/>
      <c r="N257" s="617"/>
      <c r="O257" s="617"/>
      <c r="P257" s="5"/>
    </row>
    <row r="258" ht="16.5" customHeight="1">
      <c r="I258" s="617"/>
      <c r="J258" s="617"/>
      <c r="M258" s="617"/>
      <c r="N258" s="617"/>
      <c r="O258" s="617"/>
      <c r="P258" s="5"/>
    </row>
    <row r="259" ht="16.5" customHeight="1">
      <c r="I259" s="617"/>
      <c r="J259" s="617"/>
      <c r="M259" s="617"/>
      <c r="N259" s="617"/>
      <c r="O259" s="617"/>
      <c r="P259" s="5"/>
    </row>
    <row r="260" ht="16.5" customHeight="1">
      <c r="I260" s="617"/>
      <c r="J260" s="617"/>
      <c r="M260" s="617"/>
      <c r="N260" s="617"/>
      <c r="O260" s="617"/>
      <c r="P260" s="5"/>
    </row>
    <row r="261" ht="16.5" customHeight="1">
      <c r="I261" s="617"/>
      <c r="J261" s="617"/>
      <c r="M261" s="617"/>
      <c r="N261" s="617"/>
      <c r="O261" s="617"/>
      <c r="P261" s="5"/>
    </row>
    <row r="262" ht="16.5" customHeight="1">
      <c r="I262" s="617"/>
      <c r="J262" s="617"/>
      <c r="M262" s="617"/>
      <c r="N262" s="617"/>
      <c r="O262" s="617"/>
      <c r="P262" s="5"/>
    </row>
    <row r="263" ht="16.5" customHeight="1">
      <c r="I263" s="617"/>
      <c r="J263" s="617"/>
      <c r="M263" s="617"/>
      <c r="N263" s="617"/>
      <c r="O263" s="617"/>
      <c r="P263" s="5"/>
    </row>
    <row r="264" ht="16.5" customHeight="1">
      <c r="I264" s="617"/>
      <c r="J264" s="617"/>
      <c r="M264" s="617"/>
      <c r="N264" s="617"/>
      <c r="O264" s="617"/>
      <c r="P264" s="5"/>
    </row>
    <row r="265" ht="16.5" customHeight="1">
      <c r="I265" s="617"/>
      <c r="J265" s="617"/>
      <c r="M265" s="617"/>
      <c r="N265" s="617"/>
      <c r="O265" s="617"/>
      <c r="P265" s="5"/>
    </row>
    <row r="266" ht="16.5" customHeight="1">
      <c r="I266" s="617"/>
      <c r="J266" s="617"/>
      <c r="M266" s="617"/>
      <c r="N266" s="617"/>
      <c r="O266" s="617"/>
      <c r="P266" s="5"/>
    </row>
    <row r="267" ht="16.5" customHeight="1">
      <c r="I267" s="617"/>
      <c r="J267" s="617"/>
      <c r="M267" s="617"/>
      <c r="N267" s="617"/>
      <c r="O267" s="617"/>
      <c r="P267" s="5"/>
    </row>
    <row r="268" ht="16.5" customHeight="1">
      <c r="I268" s="617"/>
      <c r="J268" s="617"/>
      <c r="M268" s="617"/>
      <c r="N268" s="617"/>
      <c r="O268" s="617"/>
      <c r="P268" s="5"/>
    </row>
    <row r="269" ht="16.5" customHeight="1">
      <c r="I269" s="617"/>
      <c r="J269" s="617"/>
      <c r="M269" s="617"/>
      <c r="N269" s="617"/>
      <c r="O269" s="617"/>
      <c r="P269" s="5"/>
    </row>
    <row r="270" ht="16.5" customHeight="1">
      <c r="I270" s="617"/>
      <c r="J270" s="617"/>
      <c r="M270" s="617"/>
      <c r="N270" s="617"/>
      <c r="O270" s="617"/>
      <c r="P270" s="5"/>
    </row>
    <row r="271" ht="16.5" customHeight="1">
      <c r="I271" s="617"/>
      <c r="J271" s="617"/>
      <c r="M271" s="617"/>
      <c r="N271" s="617"/>
      <c r="O271" s="617"/>
      <c r="P271" s="5"/>
    </row>
    <row r="272" ht="16.5" customHeight="1">
      <c r="I272" s="617"/>
      <c r="J272" s="617"/>
      <c r="M272" s="617"/>
      <c r="N272" s="617"/>
      <c r="O272" s="617"/>
      <c r="P272" s="5"/>
    </row>
    <row r="273" ht="16.5" customHeight="1">
      <c r="I273" s="617"/>
      <c r="J273" s="617"/>
      <c r="M273" s="617"/>
      <c r="N273" s="617"/>
      <c r="O273" s="617"/>
      <c r="P273" s="5"/>
    </row>
    <row r="274" ht="16.5" customHeight="1">
      <c r="I274" s="617"/>
      <c r="J274" s="617"/>
      <c r="M274" s="617"/>
      <c r="N274" s="617"/>
      <c r="O274" s="617"/>
      <c r="P274" s="5"/>
    </row>
    <row r="275" ht="16.5" customHeight="1">
      <c r="I275" s="617"/>
      <c r="J275" s="617"/>
      <c r="M275" s="617"/>
      <c r="N275" s="617"/>
      <c r="O275" s="617"/>
      <c r="P275" s="5"/>
    </row>
    <row r="276" ht="16.5" customHeight="1">
      <c r="I276" s="617"/>
      <c r="J276" s="617"/>
      <c r="M276" s="617"/>
      <c r="N276" s="617"/>
      <c r="O276" s="617"/>
      <c r="P276" s="5"/>
    </row>
    <row r="277" ht="16.5" customHeight="1">
      <c r="I277" s="617"/>
      <c r="J277" s="617"/>
      <c r="M277" s="617"/>
      <c r="N277" s="617"/>
      <c r="O277" s="617"/>
      <c r="P277" s="5"/>
    </row>
    <row r="278" ht="16.5" customHeight="1">
      <c r="I278" s="617"/>
      <c r="J278" s="617"/>
      <c r="M278" s="617"/>
      <c r="N278" s="617"/>
      <c r="O278" s="617"/>
      <c r="P278" s="5"/>
    </row>
    <row r="279" ht="16.5" customHeight="1">
      <c r="I279" s="617"/>
      <c r="J279" s="617"/>
      <c r="M279" s="617"/>
      <c r="N279" s="617"/>
      <c r="O279" s="617"/>
      <c r="P279" s="5"/>
    </row>
    <row r="280" ht="16.5" customHeight="1">
      <c r="I280" s="617"/>
      <c r="J280" s="617"/>
      <c r="M280" s="617"/>
      <c r="N280" s="617"/>
      <c r="O280" s="617"/>
      <c r="P280" s="5"/>
    </row>
    <row r="281" ht="16.5" customHeight="1">
      <c r="I281" s="617"/>
      <c r="J281" s="617"/>
      <c r="M281" s="617"/>
      <c r="N281" s="617"/>
      <c r="O281" s="617"/>
      <c r="P281" s="5"/>
    </row>
    <row r="282" ht="16.5" customHeight="1">
      <c r="I282" s="617"/>
      <c r="J282" s="617"/>
      <c r="M282" s="617"/>
      <c r="N282" s="617"/>
      <c r="O282" s="617"/>
      <c r="P282" s="5"/>
    </row>
    <row r="283" ht="16.5" customHeight="1">
      <c r="I283" s="617"/>
      <c r="J283" s="617"/>
      <c r="M283" s="617"/>
      <c r="N283" s="617"/>
      <c r="O283" s="617"/>
      <c r="P283" s="5"/>
    </row>
    <row r="284" ht="16.5" customHeight="1">
      <c r="I284" s="617"/>
      <c r="J284" s="617"/>
      <c r="M284" s="617"/>
      <c r="N284" s="617"/>
      <c r="O284" s="617"/>
      <c r="P284" s="5"/>
    </row>
    <row r="285" ht="16.5" customHeight="1">
      <c r="I285" s="617"/>
      <c r="J285" s="617"/>
      <c r="M285" s="617"/>
      <c r="N285" s="617"/>
      <c r="O285" s="617"/>
      <c r="P285" s="5"/>
    </row>
    <row r="286" ht="16.5" customHeight="1">
      <c r="I286" s="617"/>
      <c r="J286" s="617"/>
      <c r="M286" s="617"/>
      <c r="N286" s="617"/>
      <c r="O286" s="617"/>
      <c r="P286" s="5"/>
    </row>
    <row r="287" ht="16.5" customHeight="1">
      <c r="I287" s="617"/>
      <c r="J287" s="617"/>
      <c r="M287" s="617"/>
      <c r="N287" s="617"/>
      <c r="O287" s="617"/>
      <c r="P287" s="5"/>
    </row>
    <row r="288" ht="16.5" customHeight="1">
      <c r="I288" s="617"/>
      <c r="J288" s="617"/>
      <c r="M288" s="617"/>
      <c r="N288" s="617"/>
      <c r="O288" s="617"/>
      <c r="P288" s="5"/>
    </row>
    <row r="289" ht="16.5" customHeight="1">
      <c r="I289" s="617"/>
      <c r="J289" s="617"/>
      <c r="M289" s="617"/>
      <c r="N289" s="617"/>
      <c r="O289" s="617"/>
      <c r="P289" s="5"/>
    </row>
    <row r="290" ht="16.5" customHeight="1">
      <c r="I290" s="617"/>
      <c r="J290" s="617"/>
      <c r="M290" s="617"/>
      <c r="N290" s="617"/>
      <c r="O290" s="617"/>
      <c r="P290" s="5"/>
    </row>
    <row r="291" ht="16.5" customHeight="1">
      <c r="I291" s="617"/>
      <c r="J291" s="617"/>
      <c r="M291" s="617"/>
      <c r="N291" s="617"/>
      <c r="O291" s="617"/>
      <c r="P291" s="5"/>
    </row>
    <row r="292" ht="16.5" customHeight="1">
      <c r="I292" s="617"/>
      <c r="J292" s="617"/>
      <c r="M292" s="617"/>
      <c r="N292" s="617"/>
      <c r="O292" s="617"/>
      <c r="P292" s="5"/>
    </row>
    <row r="293" ht="16.5" customHeight="1">
      <c r="I293" s="617"/>
      <c r="J293" s="617"/>
      <c r="M293" s="617"/>
      <c r="N293" s="617"/>
      <c r="O293" s="617"/>
      <c r="P293" s="5"/>
    </row>
    <row r="294" ht="16.5" customHeight="1">
      <c r="I294" s="617"/>
      <c r="J294" s="617"/>
      <c r="M294" s="617"/>
      <c r="N294" s="617"/>
      <c r="O294" s="617"/>
      <c r="P294" s="5"/>
    </row>
    <row r="295" ht="16.5" customHeight="1">
      <c r="I295" s="617"/>
      <c r="J295" s="617"/>
      <c r="M295" s="617"/>
      <c r="N295" s="617"/>
      <c r="O295" s="617"/>
      <c r="P295" s="5"/>
    </row>
    <row r="296" ht="16.5" customHeight="1">
      <c r="I296" s="617"/>
      <c r="J296" s="617"/>
      <c r="M296" s="617"/>
      <c r="N296" s="617"/>
      <c r="O296" s="617"/>
      <c r="P296" s="5"/>
    </row>
    <row r="297" ht="16.5" customHeight="1">
      <c r="I297" s="617"/>
      <c r="J297" s="617"/>
      <c r="M297" s="617"/>
      <c r="N297" s="617"/>
      <c r="O297" s="617"/>
      <c r="P297" s="5"/>
    </row>
    <row r="298" ht="16.5" customHeight="1">
      <c r="I298" s="617"/>
      <c r="J298" s="617"/>
      <c r="M298" s="617"/>
      <c r="N298" s="617"/>
      <c r="O298" s="617"/>
      <c r="P298" s="5"/>
    </row>
    <row r="299" ht="16.5" customHeight="1">
      <c r="I299" s="617"/>
      <c r="J299" s="617"/>
      <c r="M299" s="617"/>
      <c r="N299" s="617"/>
      <c r="O299" s="617"/>
      <c r="P299" s="5"/>
    </row>
    <row r="300" ht="16.5" customHeight="1">
      <c r="I300" s="617"/>
      <c r="J300" s="617"/>
      <c r="M300" s="617"/>
      <c r="N300" s="617"/>
      <c r="O300" s="617"/>
      <c r="P300" s="5"/>
    </row>
    <row r="301" ht="16.5" customHeight="1">
      <c r="I301" s="617"/>
      <c r="J301" s="617"/>
      <c r="M301" s="617"/>
      <c r="N301" s="617"/>
      <c r="O301" s="617"/>
      <c r="P301" s="5"/>
    </row>
    <row r="302" ht="16.5" customHeight="1">
      <c r="I302" s="617"/>
      <c r="J302" s="617"/>
      <c r="M302" s="617"/>
      <c r="N302" s="617"/>
      <c r="O302" s="617"/>
      <c r="P302" s="5"/>
    </row>
    <row r="303" ht="16.5" customHeight="1">
      <c r="I303" s="617"/>
      <c r="J303" s="617"/>
      <c r="M303" s="617"/>
      <c r="N303" s="617"/>
      <c r="O303" s="617"/>
      <c r="P303" s="5"/>
    </row>
    <row r="304" ht="16.5" customHeight="1">
      <c r="I304" s="617"/>
      <c r="J304" s="617"/>
      <c r="M304" s="617"/>
      <c r="N304" s="617"/>
      <c r="O304" s="617"/>
      <c r="P304" s="5"/>
    </row>
    <row r="305" ht="15.75" customHeight="1">
      <c r="N305" s="5"/>
      <c r="O305" s="5"/>
      <c r="P305" s="5"/>
    </row>
    <row r="306" ht="15.75" customHeight="1">
      <c r="N306" s="5"/>
      <c r="O306" s="5"/>
      <c r="P306" s="5"/>
    </row>
    <row r="307" ht="15.75" customHeight="1">
      <c r="N307" s="5"/>
      <c r="O307" s="5"/>
      <c r="P307" s="5"/>
    </row>
    <row r="308" ht="15.75" customHeight="1">
      <c r="N308" s="5"/>
      <c r="O308" s="5"/>
      <c r="P308" s="5"/>
    </row>
    <row r="309" ht="15.75" customHeight="1">
      <c r="N309" s="5"/>
      <c r="O309" s="5"/>
      <c r="P309" s="5"/>
    </row>
    <row r="310" ht="15.75" customHeight="1">
      <c r="N310" s="5"/>
      <c r="O310" s="5"/>
      <c r="P310" s="5"/>
    </row>
    <row r="311" ht="15.75" customHeight="1">
      <c r="N311" s="5"/>
      <c r="O311" s="5"/>
      <c r="P311" s="5"/>
    </row>
    <row r="312" ht="15.75" customHeight="1">
      <c r="N312" s="5"/>
      <c r="O312" s="5"/>
      <c r="P312" s="5"/>
    </row>
    <row r="313" ht="15.75" customHeight="1">
      <c r="N313" s="5"/>
      <c r="O313" s="5"/>
      <c r="P313" s="5"/>
    </row>
    <row r="314" ht="15.75" customHeight="1">
      <c r="N314" s="5"/>
      <c r="O314" s="5"/>
      <c r="P314" s="5"/>
    </row>
    <row r="315" ht="15.75" customHeight="1">
      <c r="N315" s="5"/>
      <c r="O315" s="5"/>
      <c r="P315" s="5"/>
    </row>
    <row r="316" ht="15.75" customHeight="1">
      <c r="N316" s="5"/>
      <c r="O316" s="5"/>
      <c r="P316" s="5"/>
    </row>
    <row r="317" ht="15.75" customHeight="1">
      <c r="N317" s="5"/>
      <c r="O317" s="5"/>
      <c r="P317" s="5"/>
    </row>
    <row r="318" ht="15.75" customHeight="1">
      <c r="N318" s="5"/>
      <c r="O318" s="5"/>
      <c r="P318" s="5"/>
    </row>
    <row r="319" ht="15.75" customHeight="1">
      <c r="N319" s="5"/>
      <c r="O319" s="5"/>
      <c r="P319" s="5"/>
    </row>
    <row r="320" ht="15.75" customHeight="1">
      <c r="N320" s="5"/>
      <c r="O320" s="5"/>
      <c r="P320" s="5"/>
    </row>
    <row r="321" ht="15.75" customHeight="1">
      <c r="N321" s="5"/>
      <c r="O321" s="5"/>
      <c r="P321" s="5"/>
    </row>
    <row r="322" ht="15.75" customHeight="1">
      <c r="N322" s="5"/>
      <c r="O322" s="5"/>
      <c r="P322" s="5"/>
    </row>
    <row r="323" ht="15.75" customHeight="1">
      <c r="N323" s="5"/>
      <c r="O323" s="5"/>
      <c r="P323" s="5"/>
    </row>
    <row r="324" ht="15.75" customHeight="1">
      <c r="N324" s="5"/>
      <c r="O324" s="5"/>
      <c r="P324" s="5"/>
    </row>
    <row r="325" ht="15.75" customHeight="1">
      <c r="N325" s="5"/>
      <c r="O325" s="5"/>
      <c r="P325" s="5"/>
    </row>
    <row r="326" ht="15.75" customHeight="1">
      <c r="N326" s="5"/>
      <c r="O326" s="5"/>
      <c r="P326" s="5"/>
    </row>
    <row r="327" ht="15.75" customHeight="1">
      <c r="N327" s="5"/>
      <c r="O327" s="5"/>
      <c r="P327" s="5"/>
    </row>
    <row r="328" ht="15.75" customHeight="1">
      <c r="N328" s="5"/>
      <c r="O328" s="5"/>
      <c r="P328" s="5"/>
    </row>
    <row r="329" ht="15.75" customHeight="1">
      <c r="N329" s="5"/>
      <c r="O329" s="5"/>
      <c r="P329" s="5"/>
    </row>
    <row r="330" ht="15.75" customHeight="1">
      <c r="N330" s="5"/>
      <c r="O330" s="5"/>
      <c r="P330" s="5"/>
    </row>
    <row r="331" ht="15.75" customHeight="1">
      <c r="N331" s="5"/>
      <c r="O331" s="5"/>
      <c r="P331" s="5"/>
    </row>
    <row r="332" ht="15.75" customHeight="1">
      <c r="N332" s="5"/>
      <c r="O332" s="5"/>
      <c r="P332" s="5"/>
    </row>
    <row r="333" ht="15.75" customHeight="1">
      <c r="N333" s="5"/>
      <c r="O333" s="5"/>
      <c r="P333" s="5"/>
    </row>
    <row r="334" ht="15.75" customHeight="1">
      <c r="N334" s="5"/>
      <c r="O334" s="5"/>
      <c r="P334" s="5"/>
    </row>
    <row r="335" ht="15.75" customHeight="1">
      <c r="N335" s="5"/>
      <c r="O335" s="5"/>
      <c r="P335" s="5"/>
    </row>
    <row r="336" ht="15.75" customHeight="1">
      <c r="N336" s="5"/>
      <c r="O336" s="5"/>
      <c r="P336" s="5"/>
    </row>
    <row r="337" ht="15.75" customHeight="1">
      <c r="N337" s="5"/>
      <c r="O337" s="5"/>
      <c r="P337" s="5"/>
    </row>
    <row r="338" ht="15.75" customHeight="1">
      <c r="N338" s="5"/>
      <c r="O338" s="5"/>
      <c r="P338" s="5"/>
    </row>
    <row r="339" ht="15.75" customHeight="1">
      <c r="N339" s="5"/>
      <c r="O339" s="5"/>
      <c r="P339" s="5"/>
    </row>
    <row r="340" ht="15.75" customHeight="1">
      <c r="N340" s="5"/>
      <c r="O340" s="5"/>
      <c r="P340" s="5"/>
    </row>
    <row r="341" ht="15.75" customHeight="1">
      <c r="N341" s="5"/>
      <c r="O341" s="5"/>
      <c r="P341" s="5"/>
    </row>
    <row r="342" ht="15.75" customHeight="1">
      <c r="N342" s="5"/>
      <c r="O342" s="5"/>
      <c r="P342" s="5"/>
    </row>
    <row r="343" ht="15.75" customHeight="1">
      <c r="N343" s="5"/>
      <c r="O343" s="5"/>
      <c r="P343" s="5"/>
    </row>
    <row r="344" ht="15.75" customHeight="1">
      <c r="N344" s="5"/>
      <c r="O344" s="5"/>
      <c r="P344" s="5"/>
    </row>
    <row r="345" ht="15.75" customHeight="1">
      <c r="N345" s="5"/>
      <c r="O345" s="5"/>
      <c r="P345" s="5"/>
    </row>
    <row r="346" ht="15.75" customHeight="1">
      <c r="N346" s="5"/>
      <c r="O346" s="5"/>
      <c r="P346" s="5"/>
    </row>
    <row r="347" ht="15.75" customHeight="1">
      <c r="N347" s="5"/>
      <c r="O347" s="5"/>
      <c r="P347" s="5"/>
    </row>
    <row r="348" ht="15.75" customHeight="1">
      <c r="N348" s="5"/>
      <c r="O348" s="5"/>
      <c r="P348" s="5"/>
    </row>
    <row r="349" ht="15.75" customHeight="1">
      <c r="N349" s="5"/>
      <c r="O349" s="5"/>
      <c r="P349" s="5"/>
    </row>
    <row r="350" ht="15.75" customHeight="1">
      <c r="N350" s="5"/>
      <c r="O350" s="5"/>
      <c r="P350" s="5"/>
    </row>
    <row r="351" ht="15.75" customHeight="1">
      <c r="N351" s="5"/>
      <c r="O351" s="5"/>
      <c r="P351" s="5"/>
    </row>
    <row r="352" ht="15.75" customHeight="1">
      <c r="N352" s="5"/>
      <c r="O352" s="5"/>
      <c r="P352" s="5"/>
    </row>
    <row r="353" ht="15.75" customHeight="1">
      <c r="N353" s="5"/>
      <c r="O353" s="5"/>
      <c r="P353" s="5"/>
    </row>
    <row r="354" ht="15.75" customHeight="1">
      <c r="N354" s="5"/>
      <c r="O354" s="5"/>
      <c r="P354" s="5"/>
    </row>
    <row r="355" ht="15.75" customHeight="1">
      <c r="N355" s="5"/>
      <c r="O355" s="5"/>
      <c r="P355" s="5"/>
    </row>
    <row r="356" ht="15.75" customHeight="1">
      <c r="N356" s="5"/>
      <c r="O356" s="5"/>
      <c r="P356" s="5"/>
    </row>
    <row r="357" ht="15.75" customHeight="1">
      <c r="N357" s="5"/>
      <c r="O357" s="5"/>
      <c r="P357" s="5"/>
    </row>
    <row r="358" ht="15.75" customHeight="1">
      <c r="N358" s="5"/>
      <c r="O358" s="5"/>
      <c r="P358" s="5"/>
    </row>
    <row r="359" ht="15.75" customHeight="1">
      <c r="N359" s="5"/>
      <c r="O359" s="5"/>
      <c r="P359" s="5"/>
    </row>
    <row r="360" ht="15.75" customHeight="1">
      <c r="N360" s="5"/>
      <c r="O360" s="5"/>
      <c r="P360" s="5"/>
    </row>
    <row r="361" ht="15.75" customHeight="1">
      <c r="N361" s="5"/>
      <c r="O361" s="5"/>
      <c r="P361" s="5"/>
    </row>
    <row r="362" ht="15.75" customHeight="1">
      <c r="N362" s="5"/>
      <c r="O362" s="5"/>
      <c r="P362" s="5"/>
    </row>
    <row r="363" ht="15.75" customHeight="1">
      <c r="N363" s="5"/>
      <c r="O363" s="5"/>
      <c r="P363" s="5"/>
    </row>
    <row r="364" ht="15.75" customHeight="1">
      <c r="N364" s="5"/>
      <c r="O364" s="5"/>
      <c r="P364" s="5"/>
    </row>
    <row r="365" ht="15.75" customHeight="1">
      <c r="N365" s="5"/>
      <c r="O365" s="5"/>
      <c r="P365" s="5"/>
    </row>
    <row r="366" ht="15.75" customHeight="1">
      <c r="N366" s="5"/>
      <c r="O366" s="5"/>
      <c r="P366" s="5"/>
    </row>
    <row r="367" ht="15.75" customHeight="1">
      <c r="N367" s="5"/>
      <c r="O367" s="5"/>
      <c r="P367" s="5"/>
    </row>
    <row r="368" ht="15.75" customHeight="1">
      <c r="N368" s="5"/>
      <c r="O368" s="5"/>
      <c r="P368" s="5"/>
    </row>
    <row r="369" ht="15.75" customHeight="1">
      <c r="N369" s="5"/>
      <c r="O369" s="5"/>
      <c r="P369" s="5"/>
    </row>
    <row r="370" ht="15.75" customHeight="1">
      <c r="N370" s="5"/>
      <c r="O370" s="5"/>
      <c r="P370" s="5"/>
    </row>
    <row r="371" ht="15.75" customHeight="1">
      <c r="N371" s="5"/>
      <c r="O371" s="5"/>
      <c r="P371" s="5"/>
    </row>
    <row r="372" ht="15.75" customHeight="1">
      <c r="N372" s="5"/>
      <c r="O372" s="5"/>
      <c r="P372" s="5"/>
    </row>
    <row r="373" ht="15.75" customHeight="1">
      <c r="N373" s="5"/>
      <c r="O373" s="5"/>
      <c r="P373" s="5"/>
    </row>
    <row r="374" ht="15.75" customHeight="1">
      <c r="N374" s="5"/>
      <c r="O374" s="5"/>
      <c r="P374" s="5"/>
    </row>
    <row r="375" ht="15.75" customHeight="1">
      <c r="N375" s="5"/>
      <c r="O375" s="5"/>
      <c r="P375" s="5"/>
    </row>
    <row r="376" ht="15.75" customHeight="1">
      <c r="N376" s="5"/>
      <c r="O376" s="5"/>
      <c r="P376" s="5"/>
    </row>
    <row r="377" ht="15.75" customHeight="1">
      <c r="N377" s="5"/>
      <c r="O377" s="5"/>
      <c r="P377" s="5"/>
    </row>
    <row r="378" ht="15.75" customHeight="1">
      <c r="N378" s="5"/>
      <c r="O378" s="5"/>
      <c r="P378" s="5"/>
    </row>
    <row r="379" ht="15.75" customHeight="1">
      <c r="N379" s="5"/>
      <c r="O379" s="5"/>
      <c r="P379" s="5"/>
    </row>
    <row r="380" ht="15.75" customHeight="1">
      <c r="N380" s="5"/>
      <c r="O380" s="5"/>
      <c r="P380" s="5"/>
    </row>
    <row r="381" ht="15.75" customHeight="1">
      <c r="N381" s="5"/>
      <c r="O381" s="5"/>
      <c r="P381" s="5"/>
    </row>
    <row r="382" ht="15.75" customHeight="1">
      <c r="N382" s="5"/>
      <c r="O382" s="5"/>
      <c r="P382" s="5"/>
    </row>
    <row r="383" ht="15.75" customHeight="1">
      <c r="N383" s="5"/>
      <c r="O383" s="5"/>
      <c r="P383" s="5"/>
    </row>
    <row r="384" ht="15.75" customHeight="1">
      <c r="N384" s="5"/>
      <c r="O384" s="5"/>
      <c r="P384" s="5"/>
    </row>
    <row r="385" ht="15.75" customHeight="1">
      <c r="N385" s="5"/>
      <c r="O385" s="5"/>
      <c r="P385" s="5"/>
    </row>
    <row r="386" ht="15.75" customHeight="1">
      <c r="N386" s="5"/>
      <c r="O386" s="5"/>
      <c r="P386" s="5"/>
    </row>
    <row r="387" ht="15.75" customHeight="1">
      <c r="N387" s="5"/>
      <c r="O387" s="5"/>
      <c r="P387" s="5"/>
    </row>
    <row r="388" ht="15.75" customHeight="1">
      <c r="N388" s="5"/>
      <c r="O388" s="5"/>
      <c r="P388" s="5"/>
    </row>
    <row r="389" ht="15.75" customHeight="1">
      <c r="N389" s="5"/>
      <c r="O389" s="5"/>
      <c r="P389" s="5"/>
    </row>
    <row r="390" ht="15.75" customHeight="1">
      <c r="N390" s="5"/>
      <c r="O390" s="5"/>
      <c r="P390" s="5"/>
    </row>
    <row r="391" ht="15.75" customHeight="1">
      <c r="N391" s="5"/>
      <c r="O391" s="5"/>
      <c r="P391" s="5"/>
    </row>
    <row r="392" ht="15.75" customHeight="1">
      <c r="N392" s="5"/>
      <c r="O392" s="5"/>
      <c r="P392" s="5"/>
    </row>
    <row r="393" ht="15.75" customHeight="1">
      <c r="N393" s="5"/>
      <c r="O393" s="5"/>
      <c r="P393" s="5"/>
    </row>
    <row r="394" ht="15.75" customHeight="1">
      <c r="N394" s="5"/>
      <c r="O394" s="5"/>
      <c r="P394" s="5"/>
    </row>
    <row r="395" ht="15.75" customHeight="1">
      <c r="N395" s="5"/>
      <c r="O395" s="5"/>
      <c r="P395" s="5"/>
    </row>
    <row r="396" ht="15.75" customHeight="1">
      <c r="N396" s="5"/>
      <c r="O396" s="5"/>
      <c r="P396" s="5"/>
    </row>
    <row r="397" ht="15.75" customHeight="1">
      <c r="N397" s="5"/>
      <c r="O397" s="5"/>
      <c r="P397" s="5"/>
    </row>
    <row r="398" ht="15.75" customHeight="1">
      <c r="N398" s="5"/>
      <c r="O398" s="5"/>
      <c r="P398" s="5"/>
    </row>
    <row r="399" ht="15.75" customHeight="1">
      <c r="N399" s="5"/>
      <c r="O399" s="5"/>
      <c r="P399" s="5"/>
    </row>
    <row r="400" ht="15.75" customHeight="1">
      <c r="N400" s="5"/>
      <c r="O400" s="5"/>
      <c r="P400" s="5"/>
    </row>
    <row r="401" ht="15.75" customHeight="1">
      <c r="N401" s="5"/>
      <c r="O401" s="5"/>
      <c r="P401" s="5"/>
    </row>
    <row r="402" ht="15.75" customHeight="1">
      <c r="N402" s="5"/>
      <c r="O402" s="5"/>
      <c r="P402" s="5"/>
    </row>
    <row r="403" ht="15.75" customHeight="1">
      <c r="N403" s="5"/>
      <c r="O403" s="5"/>
      <c r="P403" s="5"/>
    </row>
    <row r="404" ht="15.75" customHeight="1">
      <c r="N404" s="5"/>
      <c r="O404" s="5"/>
      <c r="P404" s="5"/>
    </row>
    <row r="405" ht="15.75" customHeight="1">
      <c r="N405" s="5"/>
      <c r="O405" s="5"/>
      <c r="P405" s="5"/>
    </row>
    <row r="406" ht="15.75" customHeight="1">
      <c r="N406" s="5"/>
      <c r="O406" s="5"/>
      <c r="P406" s="5"/>
    </row>
    <row r="407" ht="15.75" customHeight="1">
      <c r="N407" s="5"/>
      <c r="O407" s="5"/>
      <c r="P407" s="5"/>
    </row>
    <row r="408" ht="15.75" customHeight="1">
      <c r="N408" s="5"/>
      <c r="O408" s="5"/>
      <c r="P408" s="5"/>
    </row>
    <row r="409" ht="15.75" customHeight="1">
      <c r="N409" s="5"/>
      <c r="O409" s="5"/>
      <c r="P409" s="5"/>
    </row>
    <row r="410" ht="15.75" customHeight="1">
      <c r="N410" s="5"/>
      <c r="O410" s="5"/>
      <c r="P410" s="5"/>
    </row>
    <row r="411" ht="15.75" customHeight="1">
      <c r="N411" s="5"/>
      <c r="O411" s="5"/>
      <c r="P411" s="5"/>
    </row>
    <row r="412" ht="15.75" customHeight="1">
      <c r="N412" s="5"/>
      <c r="O412" s="5"/>
      <c r="P412" s="5"/>
    </row>
    <row r="413" ht="15.75" customHeight="1">
      <c r="N413" s="5"/>
      <c r="O413" s="5"/>
      <c r="P413" s="5"/>
    </row>
    <row r="414" ht="15.75" customHeight="1">
      <c r="N414" s="5"/>
      <c r="O414" s="5"/>
      <c r="P414" s="5"/>
    </row>
    <row r="415" ht="15.75" customHeight="1">
      <c r="N415" s="5"/>
      <c r="O415" s="5"/>
      <c r="P415" s="5"/>
    </row>
    <row r="416" ht="15.75" customHeight="1">
      <c r="N416" s="5"/>
      <c r="O416" s="5"/>
      <c r="P416" s="5"/>
    </row>
    <row r="417" ht="15.75" customHeight="1">
      <c r="N417" s="5"/>
      <c r="O417" s="5"/>
      <c r="P417" s="5"/>
    </row>
    <row r="418" ht="15.75" customHeight="1">
      <c r="N418" s="5"/>
      <c r="O418" s="5"/>
      <c r="P418" s="5"/>
    </row>
    <row r="419" ht="15.75" customHeight="1">
      <c r="N419" s="5"/>
      <c r="O419" s="5"/>
      <c r="P419" s="5"/>
    </row>
    <row r="420" ht="15.75" customHeight="1">
      <c r="N420" s="5"/>
      <c r="O420" s="5"/>
      <c r="P420" s="5"/>
    </row>
    <row r="421" ht="15.75" customHeight="1">
      <c r="N421" s="5"/>
      <c r="O421" s="5"/>
      <c r="P421" s="5"/>
    </row>
    <row r="422" ht="15.75" customHeight="1">
      <c r="N422" s="5"/>
      <c r="O422" s="5"/>
      <c r="P422" s="5"/>
    </row>
    <row r="423" ht="15.75" customHeight="1">
      <c r="N423" s="5"/>
      <c r="O423" s="5"/>
      <c r="P423" s="5"/>
    </row>
    <row r="424" ht="15.75" customHeight="1">
      <c r="N424" s="5"/>
      <c r="O424" s="5"/>
      <c r="P424" s="5"/>
    </row>
    <row r="425" ht="15.75" customHeight="1">
      <c r="N425" s="5"/>
      <c r="O425" s="5"/>
      <c r="P425" s="5"/>
    </row>
    <row r="426" ht="15.75" customHeight="1">
      <c r="N426" s="5"/>
      <c r="O426" s="5"/>
      <c r="P426" s="5"/>
    </row>
    <row r="427" ht="15.75" customHeight="1">
      <c r="N427" s="5"/>
      <c r="O427" s="5"/>
      <c r="P427" s="5"/>
    </row>
    <row r="428" ht="15.75" customHeight="1">
      <c r="N428" s="5"/>
      <c r="O428" s="5"/>
      <c r="P428" s="5"/>
    </row>
    <row r="429" ht="15.75" customHeight="1">
      <c r="N429" s="5"/>
      <c r="O429" s="5"/>
      <c r="P429" s="5"/>
    </row>
    <row r="430" ht="15.75" customHeight="1">
      <c r="N430" s="5"/>
      <c r="O430" s="5"/>
      <c r="P430" s="5"/>
    </row>
    <row r="431" ht="15.75" customHeight="1">
      <c r="N431" s="5"/>
      <c r="O431" s="5"/>
      <c r="P431" s="5"/>
    </row>
    <row r="432" ht="15.75" customHeight="1">
      <c r="N432" s="5"/>
      <c r="O432" s="5"/>
      <c r="P432" s="5"/>
    </row>
    <row r="433" ht="15.75" customHeight="1">
      <c r="N433" s="5"/>
      <c r="O433" s="5"/>
      <c r="P433" s="5"/>
    </row>
    <row r="434" ht="15.75" customHeight="1">
      <c r="N434" s="5"/>
      <c r="O434" s="5"/>
      <c r="P434" s="5"/>
    </row>
    <row r="435" ht="15.75" customHeight="1">
      <c r="N435" s="5"/>
      <c r="O435" s="5"/>
      <c r="P435" s="5"/>
    </row>
    <row r="436" ht="15.75" customHeight="1">
      <c r="N436" s="5"/>
      <c r="O436" s="5"/>
      <c r="P436" s="5"/>
    </row>
    <row r="437" ht="15.75" customHeight="1">
      <c r="N437" s="5"/>
      <c r="O437" s="5"/>
      <c r="P437" s="5"/>
    </row>
    <row r="438" ht="15.75" customHeight="1">
      <c r="N438" s="5"/>
      <c r="O438" s="5"/>
      <c r="P438" s="5"/>
    </row>
    <row r="439" ht="15.75" customHeight="1">
      <c r="N439" s="5"/>
      <c r="O439" s="5"/>
      <c r="P439" s="5"/>
    </row>
    <row r="440" ht="15.75" customHeight="1">
      <c r="N440" s="5"/>
      <c r="O440" s="5"/>
      <c r="P440" s="5"/>
    </row>
    <row r="441" ht="15.75" customHeight="1">
      <c r="N441" s="5"/>
      <c r="O441" s="5"/>
      <c r="P441" s="5"/>
    </row>
    <row r="442" ht="15.75" customHeight="1">
      <c r="N442" s="5"/>
      <c r="O442" s="5"/>
      <c r="P442" s="5"/>
    </row>
    <row r="443" ht="15.75" customHeight="1">
      <c r="N443" s="5"/>
      <c r="O443" s="5"/>
      <c r="P443" s="5"/>
    </row>
    <row r="444" ht="15.75" customHeight="1">
      <c r="N444" s="5"/>
      <c r="O444" s="5"/>
      <c r="P444" s="5"/>
    </row>
    <row r="445" ht="15.75" customHeight="1">
      <c r="N445" s="5"/>
      <c r="O445" s="5"/>
      <c r="P445" s="5"/>
    </row>
    <row r="446" ht="15.75" customHeight="1">
      <c r="N446" s="5"/>
      <c r="O446" s="5"/>
      <c r="P446" s="5"/>
    </row>
    <row r="447" ht="15.75" customHeight="1">
      <c r="N447" s="5"/>
      <c r="O447" s="5"/>
      <c r="P447" s="5"/>
    </row>
    <row r="448" ht="15.75" customHeight="1">
      <c r="N448" s="5"/>
      <c r="O448" s="5"/>
      <c r="P448" s="5"/>
    </row>
    <row r="449" ht="15.75" customHeight="1">
      <c r="N449" s="5"/>
      <c r="O449" s="5"/>
      <c r="P449" s="5"/>
    </row>
    <row r="450" ht="15.75" customHeight="1">
      <c r="N450" s="5"/>
      <c r="O450" s="5"/>
      <c r="P450" s="5"/>
    </row>
    <row r="451" ht="15.75" customHeight="1">
      <c r="N451" s="5"/>
      <c r="O451" s="5"/>
      <c r="P451" s="5"/>
    </row>
    <row r="452" ht="15.75" customHeight="1">
      <c r="N452" s="5"/>
      <c r="O452" s="5"/>
      <c r="P452" s="5"/>
    </row>
    <row r="453" ht="15.75" customHeight="1">
      <c r="N453" s="5"/>
      <c r="O453" s="5"/>
      <c r="P453" s="5"/>
    </row>
    <row r="454" ht="15.75" customHeight="1">
      <c r="N454" s="5"/>
      <c r="O454" s="5"/>
      <c r="P454" s="5"/>
    </row>
    <row r="455" ht="15.75" customHeight="1">
      <c r="N455" s="5"/>
      <c r="O455" s="5"/>
      <c r="P455" s="5"/>
    </row>
    <row r="456" ht="15.75" customHeight="1">
      <c r="N456" s="5"/>
      <c r="O456" s="5"/>
      <c r="P456" s="5"/>
    </row>
    <row r="457" ht="15.75" customHeight="1">
      <c r="N457" s="5"/>
      <c r="O457" s="5"/>
      <c r="P457" s="5"/>
    </row>
    <row r="458" ht="15.75" customHeight="1">
      <c r="N458" s="5"/>
      <c r="O458" s="5"/>
      <c r="P458" s="5"/>
    </row>
    <row r="459" ht="15.75" customHeight="1">
      <c r="N459" s="5"/>
      <c r="O459" s="5"/>
      <c r="P459" s="5"/>
    </row>
    <row r="460" ht="15.75" customHeight="1">
      <c r="N460" s="5"/>
      <c r="O460" s="5"/>
      <c r="P460" s="5"/>
    </row>
    <row r="461" ht="15.75" customHeight="1">
      <c r="N461" s="5"/>
      <c r="O461" s="5"/>
      <c r="P461" s="5"/>
    </row>
    <row r="462" ht="15.75" customHeight="1">
      <c r="N462" s="5"/>
      <c r="O462" s="5"/>
      <c r="P462" s="5"/>
    </row>
    <row r="463" ht="15.75" customHeight="1">
      <c r="N463" s="5"/>
      <c r="O463" s="5"/>
      <c r="P463" s="5"/>
    </row>
    <row r="464" ht="15.75" customHeight="1">
      <c r="N464" s="5"/>
      <c r="O464" s="5"/>
      <c r="P464" s="5"/>
    </row>
    <row r="465" ht="15.75" customHeight="1">
      <c r="N465" s="5"/>
      <c r="O465" s="5"/>
      <c r="P465" s="5"/>
    </row>
    <row r="466" ht="15.75" customHeight="1">
      <c r="N466" s="5"/>
      <c r="O466" s="5"/>
      <c r="P466" s="5"/>
    </row>
    <row r="467" ht="15.75" customHeight="1">
      <c r="N467" s="5"/>
      <c r="O467" s="5"/>
      <c r="P467" s="5"/>
    </row>
    <row r="468" ht="15.75" customHeight="1">
      <c r="N468" s="5"/>
      <c r="O468" s="5"/>
      <c r="P468" s="5"/>
    </row>
    <row r="469" ht="15.75" customHeight="1">
      <c r="N469" s="5"/>
      <c r="O469" s="5"/>
      <c r="P469" s="5"/>
    </row>
    <row r="470" ht="15.75" customHeight="1">
      <c r="N470" s="5"/>
      <c r="O470" s="5"/>
      <c r="P470" s="5"/>
    </row>
    <row r="471" ht="15.75" customHeight="1">
      <c r="N471" s="5"/>
      <c r="O471" s="5"/>
      <c r="P471" s="5"/>
    </row>
    <row r="472" ht="15.75" customHeight="1">
      <c r="N472" s="5"/>
      <c r="O472" s="5"/>
      <c r="P472" s="5"/>
    </row>
    <row r="473" ht="15.75" customHeight="1">
      <c r="N473" s="5"/>
      <c r="O473" s="5"/>
      <c r="P473" s="5"/>
    </row>
    <row r="474" ht="15.75" customHeight="1">
      <c r="N474" s="5"/>
      <c r="O474" s="5"/>
      <c r="P474" s="5"/>
    </row>
    <row r="475" ht="15.75" customHeight="1">
      <c r="N475" s="5"/>
      <c r="O475" s="5"/>
      <c r="P475" s="5"/>
    </row>
    <row r="476" ht="15.75" customHeight="1">
      <c r="N476" s="5"/>
      <c r="O476" s="5"/>
      <c r="P476" s="5"/>
    </row>
    <row r="477" ht="15.75" customHeight="1">
      <c r="N477" s="5"/>
      <c r="O477" s="5"/>
      <c r="P477" s="5"/>
    </row>
    <row r="478" ht="15.75" customHeight="1">
      <c r="N478" s="5"/>
      <c r="O478" s="5"/>
      <c r="P478" s="5"/>
    </row>
    <row r="479" ht="15.75" customHeight="1">
      <c r="N479" s="5"/>
      <c r="O479" s="5"/>
      <c r="P479" s="5"/>
    </row>
    <row r="480" ht="15.75" customHeight="1">
      <c r="N480" s="5"/>
      <c r="O480" s="5"/>
      <c r="P480" s="5"/>
    </row>
    <row r="481" ht="15.75" customHeight="1">
      <c r="N481" s="5"/>
      <c r="O481" s="5"/>
      <c r="P481" s="5"/>
    </row>
    <row r="482" ht="15.75" customHeight="1">
      <c r="N482" s="5"/>
      <c r="O482" s="5"/>
      <c r="P482" s="5"/>
    </row>
    <row r="483" ht="15.75" customHeight="1">
      <c r="N483" s="5"/>
      <c r="O483" s="5"/>
      <c r="P483" s="5"/>
    </row>
    <row r="484" ht="15.75" customHeight="1">
      <c r="N484" s="5"/>
      <c r="O484" s="5"/>
      <c r="P484" s="5"/>
    </row>
    <row r="485" ht="15.75" customHeight="1">
      <c r="N485" s="5"/>
      <c r="O485" s="5"/>
      <c r="P485" s="5"/>
    </row>
    <row r="486" ht="15.75" customHeight="1">
      <c r="N486" s="5"/>
      <c r="O486" s="5"/>
      <c r="P486" s="5"/>
    </row>
    <row r="487" ht="15.75" customHeight="1">
      <c r="N487" s="5"/>
      <c r="O487" s="5"/>
      <c r="P487" s="5"/>
    </row>
    <row r="488" ht="15.75" customHeight="1">
      <c r="N488" s="5"/>
      <c r="O488" s="5"/>
      <c r="P488" s="5"/>
    </row>
    <row r="489" ht="15.75" customHeight="1">
      <c r="N489" s="5"/>
      <c r="O489" s="5"/>
      <c r="P489" s="5"/>
    </row>
    <row r="490" ht="15.75" customHeight="1">
      <c r="N490" s="5"/>
      <c r="O490" s="5"/>
      <c r="P490" s="5"/>
    </row>
    <row r="491" ht="15.75" customHeight="1">
      <c r="N491" s="5"/>
      <c r="O491" s="5"/>
      <c r="P491" s="5"/>
    </row>
    <row r="492" ht="15.75" customHeight="1">
      <c r="N492" s="5"/>
      <c r="O492" s="5"/>
      <c r="P492" s="5"/>
    </row>
    <row r="493" ht="15.75" customHeight="1">
      <c r="N493" s="5"/>
      <c r="O493" s="5"/>
      <c r="P493" s="5"/>
    </row>
    <row r="494" ht="15.75" customHeight="1">
      <c r="N494" s="5"/>
      <c r="O494" s="5"/>
      <c r="P494" s="5"/>
    </row>
    <row r="495" ht="15.75" customHeight="1">
      <c r="N495" s="5"/>
      <c r="O495" s="5"/>
      <c r="P495" s="5"/>
    </row>
    <row r="496" ht="15.75" customHeight="1">
      <c r="N496" s="5"/>
      <c r="O496" s="5"/>
      <c r="P496" s="5"/>
    </row>
    <row r="497" ht="15.75" customHeight="1">
      <c r="N497" s="5"/>
      <c r="O497" s="5"/>
      <c r="P497" s="5"/>
    </row>
    <row r="498" ht="15.75" customHeight="1">
      <c r="N498" s="5"/>
      <c r="O498" s="5"/>
      <c r="P498" s="5"/>
    </row>
    <row r="499" ht="15.75" customHeight="1">
      <c r="N499" s="5"/>
      <c r="O499" s="5"/>
      <c r="P499" s="5"/>
    </row>
    <row r="500" ht="15.75" customHeight="1">
      <c r="N500" s="5"/>
      <c r="O500" s="5"/>
      <c r="P500" s="5"/>
    </row>
    <row r="501" ht="15.75" customHeight="1">
      <c r="N501" s="5"/>
      <c r="O501" s="5"/>
      <c r="P501" s="5"/>
    </row>
    <row r="502" ht="15.75" customHeight="1">
      <c r="N502" s="5"/>
      <c r="O502" s="5"/>
      <c r="P502" s="5"/>
    </row>
    <row r="503" ht="15.75" customHeight="1">
      <c r="N503" s="5"/>
      <c r="O503" s="5"/>
      <c r="P503" s="5"/>
    </row>
    <row r="504" ht="15.75" customHeight="1">
      <c r="N504" s="5"/>
      <c r="O504" s="5"/>
      <c r="P504" s="5"/>
    </row>
    <row r="505" ht="15.75" customHeight="1">
      <c r="N505" s="5"/>
      <c r="O505" s="5"/>
      <c r="P505" s="5"/>
    </row>
    <row r="506" ht="15.75" customHeight="1">
      <c r="N506" s="5"/>
      <c r="O506" s="5"/>
      <c r="P506" s="5"/>
    </row>
    <row r="507" ht="15.75" customHeight="1">
      <c r="N507" s="5"/>
      <c r="O507" s="5"/>
      <c r="P507" s="5"/>
    </row>
    <row r="508" ht="15.75" customHeight="1">
      <c r="N508" s="5"/>
      <c r="O508" s="5"/>
      <c r="P508" s="5"/>
    </row>
    <row r="509" ht="15.75" customHeight="1">
      <c r="N509" s="5"/>
      <c r="O509" s="5"/>
      <c r="P509" s="5"/>
    </row>
    <row r="510" ht="15.75" customHeight="1">
      <c r="N510" s="5"/>
      <c r="O510" s="5"/>
      <c r="P510" s="5"/>
    </row>
    <row r="511" ht="15.75" customHeight="1">
      <c r="N511" s="5"/>
      <c r="O511" s="5"/>
      <c r="P511" s="5"/>
    </row>
    <row r="512" ht="15.75" customHeight="1">
      <c r="N512" s="5"/>
      <c r="O512" s="5"/>
      <c r="P512" s="5"/>
    </row>
    <row r="513" ht="15.75" customHeight="1">
      <c r="N513" s="5"/>
      <c r="O513" s="5"/>
      <c r="P513" s="5"/>
    </row>
    <row r="514" ht="15.75" customHeight="1">
      <c r="N514" s="5"/>
      <c r="O514" s="5"/>
      <c r="P514" s="5"/>
    </row>
    <row r="515" ht="15.75" customHeight="1">
      <c r="N515" s="5"/>
      <c r="O515" s="5"/>
      <c r="P515" s="5"/>
    </row>
    <row r="516" ht="15.75" customHeight="1">
      <c r="N516" s="5"/>
      <c r="O516" s="5"/>
      <c r="P516" s="5"/>
    </row>
    <row r="517" ht="15.75" customHeight="1">
      <c r="N517" s="5"/>
      <c r="O517" s="5"/>
      <c r="P517" s="5"/>
    </row>
    <row r="518" ht="15.75" customHeight="1">
      <c r="N518" s="5"/>
      <c r="O518" s="5"/>
      <c r="P518" s="5"/>
    </row>
    <row r="519" ht="15.75" customHeight="1">
      <c r="N519" s="5"/>
      <c r="O519" s="5"/>
      <c r="P519" s="5"/>
    </row>
    <row r="520" ht="15.75" customHeight="1">
      <c r="N520" s="5"/>
      <c r="O520" s="5"/>
      <c r="P520" s="5"/>
    </row>
    <row r="521" ht="15.75" customHeight="1">
      <c r="N521" s="5"/>
      <c r="O521" s="5"/>
      <c r="P521" s="5"/>
    </row>
    <row r="522" ht="15.75" customHeight="1">
      <c r="N522" s="5"/>
      <c r="O522" s="5"/>
      <c r="P522" s="5"/>
    </row>
    <row r="523" ht="15.75" customHeight="1">
      <c r="N523" s="5"/>
      <c r="O523" s="5"/>
      <c r="P523" s="5"/>
    </row>
    <row r="524" ht="15.75" customHeight="1">
      <c r="N524" s="5"/>
      <c r="O524" s="5"/>
      <c r="P524" s="5"/>
    </row>
    <row r="525" ht="15.75" customHeight="1">
      <c r="N525" s="5"/>
      <c r="O525" s="5"/>
      <c r="P525" s="5"/>
    </row>
    <row r="526" ht="15.75" customHeight="1">
      <c r="N526" s="5"/>
      <c r="O526" s="5"/>
      <c r="P526" s="5"/>
    </row>
    <row r="527" ht="15.75" customHeight="1">
      <c r="N527" s="5"/>
      <c r="O527" s="5"/>
      <c r="P527" s="5"/>
    </row>
    <row r="528" ht="15.75" customHeight="1">
      <c r="N528" s="5"/>
      <c r="O528" s="5"/>
      <c r="P528" s="5"/>
    </row>
    <row r="529" ht="15.75" customHeight="1">
      <c r="N529" s="5"/>
      <c r="O529" s="5"/>
      <c r="P529" s="5"/>
    </row>
    <row r="530" ht="15.75" customHeight="1">
      <c r="N530" s="5"/>
      <c r="O530" s="5"/>
      <c r="P530" s="5"/>
    </row>
    <row r="531" ht="15.75" customHeight="1">
      <c r="N531" s="5"/>
      <c r="O531" s="5"/>
      <c r="P531" s="5"/>
    </row>
    <row r="532" ht="15.75" customHeight="1">
      <c r="N532" s="5"/>
      <c r="O532" s="5"/>
      <c r="P532" s="5"/>
    </row>
    <row r="533" ht="15.75" customHeight="1">
      <c r="N533" s="5"/>
      <c r="O533" s="5"/>
      <c r="P533" s="5"/>
    </row>
    <row r="534" ht="15.75" customHeight="1">
      <c r="N534" s="5"/>
      <c r="O534" s="5"/>
      <c r="P534" s="5"/>
    </row>
    <row r="535" ht="15.75" customHeight="1">
      <c r="N535" s="5"/>
      <c r="O535" s="5"/>
      <c r="P535" s="5"/>
    </row>
    <row r="536" ht="15.75" customHeight="1">
      <c r="N536" s="5"/>
      <c r="O536" s="5"/>
      <c r="P536" s="5"/>
    </row>
    <row r="537" ht="15.75" customHeight="1">
      <c r="N537" s="5"/>
      <c r="O537" s="5"/>
      <c r="P537" s="5"/>
    </row>
    <row r="538" ht="15.75" customHeight="1">
      <c r="N538" s="5"/>
      <c r="O538" s="5"/>
      <c r="P538" s="5"/>
    </row>
    <row r="539" ht="15.75" customHeight="1">
      <c r="N539" s="5"/>
      <c r="O539" s="5"/>
      <c r="P539" s="5"/>
    </row>
    <row r="540" ht="15.75" customHeight="1">
      <c r="N540" s="5"/>
      <c r="O540" s="5"/>
      <c r="P540" s="5"/>
    </row>
    <row r="541" ht="15.75" customHeight="1">
      <c r="N541" s="5"/>
      <c r="O541" s="5"/>
      <c r="P541" s="5"/>
    </row>
    <row r="542" ht="15.75" customHeight="1">
      <c r="N542" s="5"/>
      <c r="O542" s="5"/>
      <c r="P542" s="5"/>
    </row>
    <row r="543" ht="15.75" customHeight="1">
      <c r="N543" s="5"/>
      <c r="O543" s="5"/>
      <c r="P543" s="5"/>
    </row>
    <row r="544" ht="15.75" customHeight="1">
      <c r="N544" s="5"/>
      <c r="O544" s="5"/>
      <c r="P544" s="5"/>
    </row>
    <row r="545" ht="15.75" customHeight="1">
      <c r="N545" s="5"/>
      <c r="O545" s="5"/>
      <c r="P545" s="5"/>
    </row>
    <row r="546" ht="15.75" customHeight="1">
      <c r="N546" s="5"/>
      <c r="O546" s="5"/>
      <c r="P546" s="5"/>
    </row>
    <row r="547" ht="15.75" customHeight="1">
      <c r="N547" s="5"/>
      <c r="O547" s="5"/>
      <c r="P547" s="5"/>
    </row>
    <row r="548" ht="15.75" customHeight="1">
      <c r="N548" s="5"/>
      <c r="O548" s="5"/>
      <c r="P548" s="5"/>
    </row>
    <row r="549" ht="15.75" customHeight="1">
      <c r="N549" s="5"/>
      <c r="O549" s="5"/>
      <c r="P549" s="5"/>
    </row>
    <row r="550" ht="15.75" customHeight="1">
      <c r="N550" s="5"/>
      <c r="O550" s="5"/>
      <c r="P550" s="5"/>
    </row>
    <row r="551" ht="15.75" customHeight="1">
      <c r="N551" s="5"/>
      <c r="O551" s="5"/>
      <c r="P551" s="5"/>
    </row>
    <row r="552" ht="15.75" customHeight="1">
      <c r="N552" s="5"/>
      <c r="O552" s="5"/>
      <c r="P552" s="5"/>
    </row>
    <row r="553" ht="15.75" customHeight="1">
      <c r="N553" s="5"/>
      <c r="O553" s="5"/>
      <c r="P553" s="5"/>
    </row>
    <row r="554" ht="15.75" customHeight="1">
      <c r="N554" s="5"/>
      <c r="O554" s="5"/>
      <c r="P554" s="5"/>
    </row>
    <row r="555" ht="15.75" customHeight="1">
      <c r="N555" s="5"/>
      <c r="O555" s="5"/>
      <c r="P555" s="5"/>
    </row>
    <row r="556" ht="15.75" customHeight="1">
      <c r="N556" s="5"/>
      <c r="O556" s="5"/>
      <c r="P556" s="5"/>
    </row>
    <row r="557" ht="15.75" customHeight="1">
      <c r="N557" s="5"/>
      <c r="O557" s="5"/>
      <c r="P557" s="5"/>
    </row>
    <row r="558" ht="15.75" customHeight="1">
      <c r="N558" s="5"/>
      <c r="O558" s="5"/>
      <c r="P558" s="5"/>
    </row>
    <row r="559" ht="15.75" customHeight="1">
      <c r="N559" s="5"/>
      <c r="O559" s="5"/>
      <c r="P559" s="5"/>
    </row>
    <row r="560" ht="15.75" customHeight="1">
      <c r="N560" s="5"/>
      <c r="O560" s="5"/>
      <c r="P560" s="5"/>
    </row>
    <row r="561" ht="15.75" customHeight="1">
      <c r="N561" s="5"/>
      <c r="O561" s="5"/>
      <c r="P561" s="5"/>
    </row>
    <row r="562" ht="15.75" customHeight="1">
      <c r="N562" s="5"/>
      <c r="O562" s="5"/>
      <c r="P562" s="5"/>
    </row>
    <row r="563" ht="15.75" customHeight="1">
      <c r="N563" s="5"/>
      <c r="O563" s="5"/>
      <c r="P563" s="5"/>
    </row>
    <row r="564" ht="15.75" customHeight="1">
      <c r="N564" s="5"/>
      <c r="O564" s="5"/>
      <c r="P564" s="5"/>
    </row>
    <row r="565" ht="15.75" customHeight="1">
      <c r="N565" s="5"/>
      <c r="O565" s="5"/>
      <c r="P565" s="5"/>
    </row>
    <row r="566" ht="15.75" customHeight="1">
      <c r="N566" s="5"/>
      <c r="O566" s="5"/>
      <c r="P566" s="5"/>
    </row>
    <row r="567" ht="15.75" customHeight="1">
      <c r="N567" s="5"/>
      <c r="O567" s="5"/>
      <c r="P567" s="5"/>
    </row>
    <row r="568" ht="15.75" customHeight="1">
      <c r="N568" s="5"/>
      <c r="O568" s="5"/>
      <c r="P568" s="5"/>
    </row>
    <row r="569" ht="15.75" customHeight="1">
      <c r="N569" s="5"/>
      <c r="O569" s="5"/>
      <c r="P569" s="5"/>
    </row>
    <row r="570" ht="15.75" customHeight="1">
      <c r="N570" s="5"/>
      <c r="O570" s="5"/>
      <c r="P570" s="5"/>
    </row>
    <row r="571" ht="15.75" customHeight="1">
      <c r="N571" s="5"/>
      <c r="O571" s="5"/>
      <c r="P571" s="5"/>
    </row>
    <row r="572" ht="15.75" customHeight="1">
      <c r="N572" s="5"/>
      <c r="O572" s="5"/>
      <c r="P572" s="5"/>
    </row>
    <row r="573" ht="15.75" customHeight="1">
      <c r="N573" s="5"/>
      <c r="O573" s="5"/>
      <c r="P573" s="5"/>
    </row>
    <row r="574" ht="15.75" customHeight="1">
      <c r="N574" s="5"/>
      <c r="O574" s="5"/>
      <c r="P574" s="5"/>
    </row>
    <row r="575" ht="15.75" customHeight="1">
      <c r="N575" s="5"/>
      <c r="O575" s="5"/>
      <c r="P575" s="5"/>
    </row>
    <row r="576" ht="15.75" customHeight="1">
      <c r="N576" s="5"/>
      <c r="O576" s="5"/>
      <c r="P576" s="5"/>
    </row>
    <row r="577" ht="15.75" customHeight="1">
      <c r="N577" s="5"/>
      <c r="O577" s="5"/>
      <c r="P577" s="5"/>
    </row>
    <row r="578" ht="15.75" customHeight="1">
      <c r="N578" s="5"/>
      <c r="O578" s="5"/>
      <c r="P578" s="5"/>
    </row>
    <row r="579" ht="15.75" customHeight="1">
      <c r="N579" s="5"/>
      <c r="O579" s="5"/>
      <c r="P579" s="5"/>
    </row>
    <row r="580" ht="15.75" customHeight="1">
      <c r="N580" s="5"/>
      <c r="O580" s="5"/>
      <c r="P580" s="5"/>
    </row>
    <row r="581" ht="15.75" customHeight="1">
      <c r="N581" s="5"/>
      <c r="O581" s="5"/>
      <c r="P581" s="5"/>
    </row>
    <row r="582" ht="15.75" customHeight="1">
      <c r="N582" s="5"/>
      <c r="O582" s="5"/>
      <c r="P582" s="5"/>
    </row>
    <row r="583" ht="15.75" customHeight="1">
      <c r="N583" s="5"/>
      <c r="O583" s="5"/>
      <c r="P583" s="5"/>
    </row>
    <row r="584" ht="15.75" customHeight="1">
      <c r="N584" s="5"/>
      <c r="O584" s="5"/>
      <c r="P584" s="5"/>
    </row>
    <row r="585" ht="15.75" customHeight="1">
      <c r="N585" s="5"/>
      <c r="O585" s="5"/>
      <c r="P585" s="5"/>
    </row>
    <row r="586" ht="15.75" customHeight="1">
      <c r="N586" s="5"/>
      <c r="O586" s="5"/>
      <c r="P586" s="5"/>
    </row>
    <row r="587" ht="15.75" customHeight="1">
      <c r="N587" s="5"/>
      <c r="O587" s="5"/>
      <c r="P587" s="5"/>
    </row>
    <row r="588" ht="15.75" customHeight="1">
      <c r="N588" s="5"/>
      <c r="O588" s="5"/>
      <c r="P588" s="5"/>
    </row>
    <row r="589" ht="15.75" customHeight="1">
      <c r="N589" s="5"/>
      <c r="O589" s="5"/>
      <c r="P589" s="5"/>
    </row>
    <row r="590" ht="15.75" customHeight="1">
      <c r="N590" s="5"/>
      <c r="O590" s="5"/>
      <c r="P590" s="5"/>
    </row>
    <row r="591" ht="15.75" customHeight="1">
      <c r="N591" s="5"/>
      <c r="O591" s="5"/>
      <c r="P591" s="5"/>
    </row>
    <row r="592" ht="15.75" customHeight="1">
      <c r="N592" s="5"/>
      <c r="O592" s="5"/>
      <c r="P592" s="5"/>
    </row>
    <row r="593" ht="15.75" customHeight="1">
      <c r="N593" s="5"/>
      <c r="O593" s="5"/>
      <c r="P593" s="5"/>
    </row>
    <row r="594" ht="15.75" customHeight="1">
      <c r="N594" s="5"/>
      <c r="O594" s="5"/>
      <c r="P594" s="5"/>
    </row>
    <row r="595" ht="15.75" customHeight="1">
      <c r="N595" s="5"/>
      <c r="O595" s="5"/>
      <c r="P595" s="5"/>
    </row>
    <row r="596" ht="15.75" customHeight="1">
      <c r="N596" s="5"/>
      <c r="O596" s="5"/>
      <c r="P596" s="5"/>
    </row>
    <row r="597" ht="15.75" customHeight="1">
      <c r="N597" s="5"/>
      <c r="O597" s="5"/>
      <c r="P597" s="5"/>
    </row>
    <row r="598" ht="15.75" customHeight="1">
      <c r="N598" s="5"/>
      <c r="O598" s="5"/>
      <c r="P598" s="5"/>
    </row>
    <row r="599" ht="15.75" customHeight="1">
      <c r="N599" s="5"/>
      <c r="O599" s="5"/>
      <c r="P599" s="5"/>
    </row>
    <row r="600" ht="15.75" customHeight="1">
      <c r="N600" s="5"/>
      <c r="O600" s="5"/>
      <c r="P600" s="5"/>
    </row>
    <row r="601" ht="15.75" customHeight="1">
      <c r="N601" s="5"/>
      <c r="O601" s="5"/>
      <c r="P601" s="5"/>
    </row>
    <row r="602" ht="15.75" customHeight="1">
      <c r="N602" s="5"/>
      <c r="O602" s="5"/>
      <c r="P602" s="5"/>
    </row>
    <row r="603" ht="15.75" customHeight="1">
      <c r="N603" s="5"/>
      <c r="O603" s="5"/>
      <c r="P603" s="5"/>
    </row>
    <row r="604" ht="15.75" customHeight="1">
      <c r="N604" s="5"/>
      <c r="O604" s="5"/>
      <c r="P604" s="5"/>
    </row>
    <row r="605" ht="15.75" customHeight="1">
      <c r="N605" s="5"/>
      <c r="O605" s="5"/>
      <c r="P605" s="5"/>
    </row>
    <row r="606" ht="15.75" customHeight="1">
      <c r="N606" s="5"/>
      <c r="O606" s="5"/>
      <c r="P606" s="5"/>
    </row>
    <row r="607" ht="15.75" customHeight="1">
      <c r="N607" s="5"/>
      <c r="O607" s="5"/>
      <c r="P607" s="5"/>
    </row>
    <row r="608" ht="15.75" customHeight="1">
      <c r="N608" s="5"/>
      <c r="O608" s="5"/>
      <c r="P608" s="5"/>
    </row>
    <row r="609" ht="15.75" customHeight="1">
      <c r="N609" s="5"/>
      <c r="O609" s="5"/>
      <c r="P609" s="5"/>
    </row>
    <row r="610" ht="15.75" customHeight="1">
      <c r="N610" s="5"/>
      <c r="O610" s="5"/>
      <c r="P610" s="5"/>
    </row>
    <row r="611" ht="15.75" customHeight="1">
      <c r="N611" s="5"/>
      <c r="O611" s="5"/>
      <c r="P611" s="5"/>
    </row>
    <row r="612" ht="15.75" customHeight="1">
      <c r="N612" s="5"/>
      <c r="O612" s="5"/>
      <c r="P612" s="5"/>
    </row>
    <row r="613" ht="15.75" customHeight="1">
      <c r="N613" s="5"/>
      <c r="O613" s="5"/>
      <c r="P613" s="5"/>
    </row>
    <row r="614" ht="15.75" customHeight="1">
      <c r="N614" s="5"/>
      <c r="O614" s="5"/>
      <c r="P614" s="5"/>
    </row>
    <row r="615" ht="15.75" customHeight="1">
      <c r="N615" s="5"/>
      <c r="O615" s="5"/>
      <c r="P615" s="5"/>
    </row>
    <row r="616" ht="15.75" customHeight="1">
      <c r="N616" s="5"/>
      <c r="O616" s="5"/>
      <c r="P616" s="5"/>
    </row>
    <row r="617" ht="15.75" customHeight="1">
      <c r="N617" s="5"/>
      <c r="O617" s="5"/>
      <c r="P617" s="5"/>
    </row>
    <row r="618" ht="15.75" customHeight="1">
      <c r="N618" s="5"/>
      <c r="O618" s="5"/>
      <c r="P618" s="5"/>
    </row>
    <row r="619" ht="15.75" customHeight="1">
      <c r="N619" s="5"/>
      <c r="O619" s="5"/>
      <c r="P619" s="5"/>
    </row>
    <row r="620" ht="15.75" customHeight="1">
      <c r="N620" s="5"/>
      <c r="O620" s="5"/>
      <c r="P620" s="5"/>
    </row>
    <row r="621" ht="15.75" customHeight="1">
      <c r="N621" s="5"/>
      <c r="O621" s="5"/>
      <c r="P621" s="5"/>
    </row>
    <row r="622" ht="15.75" customHeight="1">
      <c r="N622" s="5"/>
      <c r="O622" s="5"/>
      <c r="P622" s="5"/>
    </row>
    <row r="623" ht="15.75" customHeight="1">
      <c r="N623" s="5"/>
      <c r="O623" s="5"/>
      <c r="P623" s="5"/>
    </row>
    <row r="624" ht="15.75" customHeight="1">
      <c r="N624" s="5"/>
      <c r="O624" s="5"/>
      <c r="P624" s="5"/>
    </row>
    <row r="625" ht="15.75" customHeight="1">
      <c r="N625" s="5"/>
      <c r="O625" s="5"/>
      <c r="P625" s="5"/>
    </row>
    <row r="626" ht="15.75" customHeight="1">
      <c r="N626" s="5"/>
      <c r="O626" s="5"/>
      <c r="P626" s="5"/>
    </row>
    <row r="627" ht="15.75" customHeight="1">
      <c r="N627" s="5"/>
      <c r="O627" s="5"/>
      <c r="P627" s="5"/>
    </row>
    <row r="628" ht="15.75" customHeight="1">
      <c r="N628" s="5"/>
      <c r="O628" s="5"/>
      <c r="P628" s="5"/>
    </row>
    <row r="629" ht="15.75" customHeight="1">
      <c r="N629" s="5"/>
      <c r="O629" s="5"/>
      <c r="P629" s="5"/>
    </row>
    <row r="630" ht="15.75" customHeight="1">
      <c r="N630" s="5"/>
      <c r="O630" s="5"/>
      <c r="P630" s="5"/>
    </row>
    <row r="631" ht="15.75" customHeight="1">
      <c r="N631" s="5"/>
      <c r="O631" s="5"/>
      <c r="P631" s="5"/>
    </row>
    <row r="632" ht="15.75" customHeight="1">
      <c r="N632" s="5"/>
      <c r="O632" s="5"/>
      <c r="P632" s="5"/>
    </row>
    <row r="633" ht="15.75" customHeight="1">
      <c r="N633" s="5"/>
      <c r="O633" s="5"/>
      <c r="P633" s="5"/>
    </row>
    <row r="634" ht="15.75" customHeight="1">
      <c r="N634" s="5"/>
      <c r="O634" s="5"/>
      <c r="P634" s="5"/>
    </row>
    <row r="635" ht="15.75" customHeight="1">
      <c r="N635" s="5"/>
      <c r="O635" s="5"/>
      <c r="P635" s="5"/>
    </row>
    <row r="636" ht="15.75" customHeight="1">
      <c r="N636" s="5"/>
      <c r="O636" s="5"/>
      <c r="P636" s="5"/>
    </row>
    <row r="637" ht="15.75" customHeight="1">
      <c r="N637" s="5"/>
      <c r="O637" s="5"/>
      <c r="P637" s="5"/>
    </row>
    <row r="638" ht="15.75" customHeight="1">
      <c r="N638" s="5"/>
      <c r="O638" s="5"/>
      <c r="P638" s="5"/>
    </row>
    <row r="639" ht="15.75" customHeight="1">
      <c r="N639" s="5"/>
      <c r="O639" s="5"/>
      <c r="P639" s="5"/>
    </row>
    <row r="640" ht="15.75" customHeight="1">
      <c r="N640" s="5"/>
      <c r="O640" s="5"/>
      <c r="P640" s="5"/>
    </row>
    <row r="641" ht="15.75" customHeight="1">
      <c r="N641" s="5"/>
      <c r="O641" s="5"/>
      <c r="P641" s="5"/>
    </row>
    <row r="642" ht="15.75" customHeight="1">
      <c r="N642" s="5"/>
      <c r="O642" s="5"/>
      <c r="P642" s="5"/>
    </row>
    <row r="643" ht="15.75" customHeight="1">
      <c r="N643" s="5"/>
      <c r="O643" s="5"/>
      <c r="P643" s="5"/>
    </row>
    <row r="644" ht="15.75" customHeight="1">
      <c r="N644" s="5"/>
      <c r="O644" s="5"/>
      <c r="P644" s="5"/>
    </row>
    <row r="645" ht="15.75" customHeight="1">
      <c r="N645" s="5"/>
      <c r="O645" s="5"/>
      <c r="P645" s="5"/>
    </row>
    <row r="646" ht="15.75" customHeight="1">
      <c r="N646" s="5"/>
      <c r="O646" s="5"/>
      <c r="P646" s="5"/>
    </row>
    <row r="647" ht="15.75" customHeight="1">
      <c r="N647" s="5"/>
      <c r="O647" s="5"/>
      <c r="P647" s="5"/>
    </row>
    <row r="648" ht="15.75" customHeight="1">
      <c r="N648" s="5"/>
      <c r="O648" s="5"/>
      <c r="P648" s="5"/>
    </row>
    <row r="649" ht="15.75" customHeight="1">
      <c r="N649" s="5"/>
      <c r="O649" s="5"/>
      <c r="P649" s="5"/>
    </row>
    <row r="650" ht="15.75" customHeight="1">
      <c r="N650" s="5"/>
      <c r="O650" s="5"/>
      <c r="P650" s="5"/>
    </row>
    <row r="651" ht="15.75" customHeight="1">
      <c r="N651" s="5"/>
      <c r="O651" s="5"/>
      <c r="P651" s="5"/>
    </row>
    <row r="652" ht="15.75" customHeight="1">
      <c r="N652" s="5"/>
      <c r="O652" s="5"/>
      <c r="P652" s="5"/>
    </row>
    <row r="653" ht="15.75" customHeight="1">
      <c r="N653" s="5"/>
      <c r="O653" s="5"/>
      <c r="P653" s="5"/>
    </row>
    <row r="654" ht="15.75" customHeight="1">
      <c r="N654" s="5"/>
      <c r="O654" s="5"/>
      <c r="P654" s="5"/>
    </row>
    <row r="655" ht="15.75" customHeight="1">
      <c r="N655" s="5"/>
      <c r="O655" s="5"/>
      <c r="P655" s="5"/>
    </row>
    <row r="656" ht="15.75" customHeight="1">
      <c r="N656" s="5"/>
      <c r="O656" s="5"/>
      <c r="P656" s="5"/>
    </row>
    <row r="657" ht="15.75" customHeight="1">
      <c r="N657" s="5"/>
      <c r="O657" s="5"/>
      <c r="P657" s="5"/>
    </row>
    <row r="658" ht="15.75" customHeight="1">
      <c r="N658" s="5"/>
      <c r="O658" s="5"/>
      <c r="P658" s="5"/>
    </row>
    <row r="659" ht="15.75" customHeight="1">
      <c r="N659" s="5"/>
      <c r="O659" s="5"/>
      <c r="P659" s="5"/>
    </row>
    <row r="660" ht="15.75" customHeight="1">
      <c r="N660" s="5"/>
      <c r="O660" s="5"/>
      <c r="P660" s="5"/>
    </row>
    <row r="661" ht="15.75" customHeight="1">
      <c r="N661" s="5"/>
      <c r="O661" s="5"/>
      <c r="P661" s="5"/>
    </row>
    <row r="662" ht="15.75" customHeight="1">
      <c r="N662" s="5"/>
      <c r="O662" s="5"/>
      <c r="P662" s="5"/>
    </row>
    <row r="663" ht="15.75" customHeight="1">
      <c r="N663" s="5"/>
      <c r="O663" s="5"/>
      <c r="P663" s="5"/>
    </row>
    <row r="664" ht="15.75" customHeight="1">
      <c r="N664" s="5"/>
      <c r="O664" s="5"/>
      <c r="P664" s="5"/>
    </row>
    <row r="665" ht="15.75" customHeight="1">
      <c r="N665" s="5"/>
      <c r="O665" s="5"/>
      <c r="P665" s="5"/>
    </row>
    <row r="666" ht="15.75" customHeight="1">
      <c r="N666" s="5"/>
      <c r="O666" s="5"/>
      <c r="P666" s="5"/>
    </row>
    <row r="667" ht="15.75" customHeight="1">
      <c r="N667" s="5"/>
      <c r="O667" s="5"/>
      <c r="P667" s="5"/>
    </row>
    <row r="668" ht="15.75" customHeight="1">
      <c r="N668" s="5"/>
      <c r="O668" s="5"/>
      <c r="P668" s="5"/>
    </row>
    <row r="669" ht="15.75" customHeight="1">
      <c r="N669" s="5"/>
      <c r="O669" s="5"/>
      <c r="P669" s="5"/>
    </row>
    <row r="670" ht="15.75" customHeight="1">
      <c r="N670" s="5"/>
      <c r="O670" s="5"/>
      <c r="P670" s="5"/>
    </row>
    <row r="671" ht="15.75" customHeight="1">
      <c r="N671" s="5"/>
      <c r="O671" s="5"/>
      <c r="P671" s="5"/>
    </row>
    <row r="672" ht="15.75" customHeight="1">
      <c r="N672" s="5"/>
      <c r="O672" s="5"/>
      <c r="P672" s="5"/>
    </row>
    <row r="673" ht="15.75" customHeight="1">
      <c r="N673" s="5"/>
      <c r="O673" s="5"/>
      <c r="P673" s="5"/>
    </row>
    <row r="674" ht="15.75" customHeight="1">
      <c r="N674" s="5"/>
      <c r="O674" s="5"/>
      <c r="P674" s="5"/>
    </row>
    <row r="675" ht="15.75" customHeight="1">
      <c r="N675" s="5"/>
      <c r="O675" s="5"/>
      <c r="P675" s="5"/>
    </row>
    <row r="676" ht="15.75" customHeight="1">
      <c r="N676" s="5"/>
      <c r="O676" s="5"/>
      <c r="P676" s="5"/>
    </row>
    <row r="677" ht="15.75" customHeight="1">
      <c r="N677" s="5"/>
      <c r="O677" s="5"/>
      <c r="P677" s="5"/>
    </row>
    <row r="678" ht="15.75" customHeight="1">
      <c r="N678" s="5"/>
      <c r="O678" s="5"/>
      <c r="P678" s="5"/>
    </row>
    <row r="679" ht="15.75" customHeight="1">
      <c r="N679" s="5"/>
      <c r="O679" s="5"/>
      <c r="P679" s="5"/>
    </row>
    <row r="680" ht="15.75" customHeight="1">
      <c r="N680" s="5"/>
      <c r="O680" s="5"/>
      <c r="P680" s="5"/>
    </row>
    <row r="681" ht="15.75" customHeight="1">
      <c r="N681" s="5"/>
      <c r="O681" s="5"/>
      <c r="P681" s="5"/>
    </row>
    <row r="682" ht="15.75" customHeight="1">
      <c r="N682" s="5"/>
      <c r="O682" s="5"/>
      <c r="P682" s="5"/>
    </row>
    <row r="683" ht="15.75" customHeight="1">
      <c r="N683" s="5"/>
      <c r="O683" s="5"/>
      <c r="P683" s="5"/>
    </row>
    <row r="684" ht="15.75" customHeight="1">
      <c r="N684" s="5"/>
      <c r="O684" s="5"/>
      <c r="P684" s="5"/>
    </row>
    <row r="685" ht="15.75" customHeight="1">
      <c r="N685" s="5"/>
      <c r="O685" s="5"/>
      <c r="P685" s="5"/>
    </row>
    <row r="686" ht="15.75" customHeight="1">
      <c r="N686" s="5"/>
      <c r="O686" s="5"/>
      <c r="P686" s="5"/>
    </row>
    <row r="687" ht="15.75" customHeight="1">
      <c r="N687" s="5"/>
      <c r="O687" s="5"/>
      <c r="P687" s="5"/>
    </row>
    <row r="688" ht="15.75" customHeight="1">
      <c r="N688" s="5"/>
      <c r="O688" s="5"/>
      <c r="P688" s="5"/>
    </row>
    <row r="689" ht="15.75" customHeight="1">
      <c r="N689" s="5"/>
      <c r="O689" s="5"/>
      <c r="P689" s="5"/>
    </row>
    <row r="690" ht="15.75" customHeight="1">
      <c r="N690" s="5"/>
      <c r="O690" s="5"/>
      <c r="P690" s="5"/>
    </row>
    <row r="691" ht="15.75" customHeight="1">
      <c r="N691" s="5"/>
      <c r="O691" s="5"/>
      <c r="P691" s="5"/>
    </row>
    <row r="692" ht="15.75" customHeight="1">
      <c r="N692" s="5"/>
      <c r="O692" s="5"/>
      <c r="P692" s="5"/>
    </row>
    <row r="693" ht="15.75" customHeight="1">
      <c r="N693" s="5"/>
      <c r="O693" s="5"/>
      <c r="P693" s="5"/>
    </row>
    <row r="694" ht="15.75" customHeight="1">
      <c r="N694" s="5"/>
      <c r="O694" s="5"/>
      <c r="P694" s="5"/>
    </row>
    <row r="695" ht="15.75" customHeight="1">
      <c r="N695" s="5"/>
      <c r="O695" s="5"/>
      <c r="P695" s="5"/>
    </row>
    <row r="696" ht="15.75" customHeight="1">
      <c r="N696" s="5"/>
      <c r="O696" s="5"/>
      <c r="P696" s="5"/>
    </row>
    <row r="697" ht="15.75" customHeight="1">
      <c r="N697" s="5"/>
      <c r="O697" s="5"/>
      <c r="P697" s="5"/>
    </row>
    <row r="698" ht="15.75" customHeight="1">
      <c r="N698" s="5"/>
      <c r="O698" s="5"/>
      <c r="P698" s="5"/>
    </row>
    <row r="699" ht="15.75" customHeight="1">
      <c r="N699" s="5"/>
      <c r="O699" s="5"/>
      <c r="P699" s="5"/>
    </row>
    <row r="700" ht="15.75" customHeight="1">
      <c r="N700" s="5"/>
      <c r="O700" s="5"/>
      <c r="P700" s="5"/>
    </row>
    <row r="701" ht="15.75" customHeight="1">
      <c r="N701" s="5"/>
      <c r="O701" s="5"/>
      <c r="P701" s="5"/>
    </row>
    <row r="702" ht="15.75" customHeight="1">
      <c r="N702" s="5"/>
      <c r="O702" s="5"/>
      <c r="P702" s="5"/>
    </row>
    <row r="703" ht="15.75" customHeight="1">
      <c r="N703" s="5"/>
      <c r="O703" s="5"/>
      <c r="P703" s="5"/>
    </row>
    <row r="704" ht="15.75" customHeight="1">
      <c r="N704" s="5"/>
      <c r="O704" s="5"/>
      <c r="P704" s="5"/>
    </row>
    <row r="705" ht="15.75" customHeight="1">
      <c r="N705" s="5"/>
      <c r="O705" s="5"/>
      <c r="P705" s="5"/>
    </row>
    <row r="706" ht="15.75" customHeight="1">
      <c r="N706" s="5"/>
      <c r="O706" s="5"/>
      <c r="P706" s="5"/>
    </row>
    <row r="707" ht="15.75" customHeight="1">
      <c r="N707" s="5"/>
      <c r="O707" s="5"/>
      <c r="P707" s="5"/>
    </row>
    <row r="708" ht="15.75" customHeight="1">
      <c r="N708" s="5"/>
      <c r="O708" s="5"/>
      <c r="P708" s="5"/>
    </row>
    <row r="709" ht="15.75" customHeight="1">
      <c r="N709" s="5"/>
      <c r="O709" s="5"/>
      <c r="P709" s="5"/>
    </row>
    <row r="710" ht="15.75" customHeight="1">
      <c r="N710" s="5"/>
      <c r="O710" s="5"/>
      <c r="P710" s="5"/>
    </row>
    <row r="711" ht="15.75" customHeight="1">
      <c r="N711" s="5"/>
      <c r="O711" s="5"/>
      <c r="P711" s="5"/>
    </row>
    <row r="712" ht="15.75" customHeight="1">
      <c r="N712" s="5"/>
      <c r="O712" s="5"/>
      <c r="P712" s="5"/>
    </row>
    <row r="713" ht="15.75" customHeight="1">
      <c r="N713" s="5"/>
      <c r="O713" s="5"/>
      <c r="P713" s="5"/>
    </row>
    <row r="714" ht="15.75" customHeight="1">
      <c r="N714" s="5"/>
      <c r="O714" s="5"/>
      <c r="P714" s="5"/>
    </row>
    <row r="715" ht="15.75" customHeight="1">
      <c r="N715" s="5"/>
      <c r="O715" s="5"/>
      <c r="P715" s="5"/>
    </row>
    <row r="716" ht="15.75" customHeight="1">
      <c r="N716" s="5"/>
      <c r="O716" s="5"/>
      <c r="P716" s="5"/>
    </row>
    <row r="717" ht="15.75" customHeight="1">
      <c r="N717" s="5"/>
      <c r="O717" s="5"/>
      <c r="P717" s="5"/>
    </row>
    <row r="718" ht="15.75" customHeight="1">
      <c r="N718" s="5"/>
      <c r="O718" s="5"/>
      <c r="P718" s="5"/>
    </row>
    <row r="719" ht="15.75" customHeight="1">
      <c r="N719" s="5"/>
      <c r="O719" s="5"/>
      <c r="P719" s="5"/>
    </row>
    <row r="720" ht="15.75" customHeight="1">
      <c r="N720" s="5"/>
      <c r="O720" s="5"/>
      <c r="P720" s="5"/>
    </row>
    <row r="721" ht="15.75" customHeight="1">
      <c r="N721" s="5"/>
      <c r="O721" s="5"/>
      <c r="P721" s="5"/>
    </row>
    <row r="722" ht="15.75" customHeight="1">
      <c r="N722" s="5"/>
      <c r="O722" s="5"/>
      <c r="P722" s="5"/>
    </row>
    <row r="723" ht="15.75" customHeight="1">
      <c r="N723" s="5"/>
      <c r="O723" s="5"/>
      <c r="P723" s="5"/>
    </row>
    <row r="724" ht="15.75" customHeight="1">
      <c r="N724" s="5"/>
      <c r="O724" s="5"/>
      <c r="P724" s="5"/>
    </row>
    <row r="725" ht="15.75" customHeight="1">
      <c r="N725" s="5"/>
      <c r="O725" s="5"/>
      <c r="P725" s="5"/>
    </row>
    <row r="726" ht="15.75" customHeight="1">
      <c r="N726" s="5"/>
      <c r="O726" s="5"/>
      <c r="P726" s="5"/>
    </row>
    <row r="727" ht="15.75" customHeight="1">
      <c r="N727" s="5"/>
      <c r="O727" s="5"/>
      <c r="P727" s="5"/>
    </row>
    <row r="728" ht="15.75" customHeight="1">
      <c r="N728" s="5"/>
      <c r="O728" s="5"/>
      <c r="P728" s="5"/>
    </row>
    <row r="729" ht="15.75" customHeight="1">
      <c r="N729" s="5"/>
      <c r="O729" s="5"/>
      <c r="P729" s="5"/>
    </row>
    <row r="730" ht="15.75" customHeight="1">
      <c r="N730" s="5"/>
      <c r="O730" s="5"/>
      <c r="P730" s="5"/>
    </row>
    <row r="731" ht="15.75" customHeight="1">
      <c r="N731" s="5"/>
      <c r="O731" s="5"/>
      <c r="P731" s="5"/>
    </row>
    <row r="732" ht="15.75" customHeight="1">
      <c r="N732" s="5"/>
      <c r="O732" s="5"/>
      <c r="P732" s="5"/>
    </row>
    <row r="733" ht="15.75" customHeight="1">
      <c r="N733" s="5"/>
      <c r="O733" s="5"/>
      <c r="P733" s="5"/>
    </row>
    <row r="734" ht="15.75" customHeight="1">
      <c r="N734" s="5"/>
      <c r="O734" s="5"/>
      <c r="P734" s="5"/>
    </row>
    <row r="735" ht="15.75" customHeight="1">
      <c r="N735" s="5"/>
      <c r="O735" s="5"/>
      <c r="P735" s="5"/>
    </row>
    <row r="736" ht="15.75" customHeight="1">
      <c r="N736" s="5"/>
      <c r="O736" s="5"/>
      <c r="P736" s="5"/>
    </row>
    <row r="737" ht="15.75" customHeight="1">
      <c r="N737" s="5"/>
      <c r="O737" s="5"/>
      <c r="P737" s="5"/>
    </row>
    <row r="738" ht="15.75" customHeight="1">
      <c r="N738" s="5"/>
      <c r="O738" s="5"/>
      <c r="P738" s="5"/>
    </row>
    <row r="739" ht="15.75" customHeight="1">
      <c r="N739" s="5"/>
      <c r="O739" s="5"/>
      <c r="P739" s="5"/>
    </row>
    <row r="740" ht="15.75" customHeight="1">
      <c r="N740" s="5"/>
      <c r="O740" s="5"/>
      <c r="P740" s="5"/>
    </row>
    <row r="741" ht="15.75" customHeight="1">
      <c r="N741" s="5"/>
      <c r="O741" s="5"/>
      <c r="P741" s="5"/>
    </row>
    <row r="742" ht="15.75" customHeight="1">
      <c r="N742" s="5"/>
      <c r="O742" s="5"/>
      <c r="P742" s="5"/>
    </row>
    <row r="743" ht="15.75" customHeight="1">
      <c r="N743" s="5"/>
      <c r="O743" s="5"/>
      <c r="P743" s="5"/>
    </row>
    <row r="744" ht="15.75" customHeight="1">
      <c r="N744" s="5"/>
      <c r="O744" s="5"/>
      <c r="P744" s="5"/>
    </row>
    <row r="745" ht="15.75" customHeight="1">
      <c r="N745" s="5"/>
      <c r="O745" s="5"/>
      <c r="P745" s="5"/>
    </row>
    <row r="746" ht="15.75" customHeight="1">
      <c r="N746" s="5"/>
      <c r="O746" s="5"/>
      <c r="P746" s="5"/>
    </row>
    <row r="747" ht="15.75" customHeight="1">
      <c r="N747" s="5"/>
      <c r="O747" s="5"/>
      <c r="P747" s="5"/>
    </row>
    <row r="748" ht="15.75" customHeight="1">
      <c r="N748" s="5"/>
      <c r="O748" s="5"/>
      <c r="P748" s="5"/>
    </row>
    <row r="749" ht="15.75" customHeight="1">
      <c r="N749" s="5"/>
      <c r="O749" s="5"/>
      <c r="P749" s="5"/>
    </row>
    <row r="750" ht="15.75" customHeight="1">
      <c r="N750" s="5"/>
      <c r="O750" s="5"/>
      <c r="P750" s="5"/>
    </row>
    <row r="751" ht="15.75" customHeight="1">
      <c r="N751" s="5"/>
      <c r="O751" s="5"/>
      <c r="P751" s="5"/>
    </row>
    <row r="752" ht="15.75" customHeight="1">
      <c r="N752" s="5"/>
      <c r="O752" s="5"/>
      <c r="P752" s="5"/>
    </row>
    <row r="753" ht="15.75" customHeight="1">
      <c r="N753" s="5"/>
      <c r="O753" s="5"/>
      <c r="P753" s="5"/>
    </row>
    <row r="754" ht="15.75" customHeight="1">
      <c r="N754" s="5"/>
      <c r="O754" s="5"/>
      <c r="P754" s="5"/>
    </row>
    <row r="755" ht="15.75" customHeight="1">
      <c r="N755" s="5"/>
      <c r="O755" s="5"/>
      <c r="P755" s="5"/>
    </row>
    <row r="756" ht="15.75" customHeight="1">
      <c r="N756" s="5"/>
      <c r="O756" s="5"/>
      <c r="P756" s="5"/>
    </row>
    <row r="757" ht="15.75" customHeight="1">
      <c r="N757" s="5"/>
      <c r="O757" s="5"/>
      <c r="P757" s="5"/>
    </row>
    <row r="758" ht="15.75" customHeight="1">
      <c r="N758" s="5"/>
      <c r="O758" s="5"/>
      <c r="P758" s="5"/>
    </row>
    <row r="759" ht="15.75" customHeight="1">
      <c r="N759" s="5"/>
      <c r="O759" s="5"/>
      <c r="P759" s="5"/>
    </row>
    <row r="760" ht="15.75" customHeight="1">
      <c r="N760" s="5"/>
      <c r="O760" s="5"/>
      <c r="P760" s="5"/>
    </row>
    <row r="761" ht="15.75" customHeight="1">
      <c r="N761" s="5"/>
      <c r="O761" s="5"/>
      <c r="P761" s="5"/>
    </row>
    <row r="762" ht="15.75" customHeight="1">
      <c r="N762" s="5"/>
      <c r="O762" s="5"/>
      <c r="P762" s="5"/>
    </row>
    <row r="763" ht="15.75" customHeight="1">
      <c r="N763" s="5"/>
      <c r="O763" s="5"/>
      <c r="P763" s="5"/>
    </row>
    <row r="764" ht="15.75" customHeight="1">
      <c r="N764" s="5"/>
      <c r="O764" s="5"/>
      <c r="P764" s="5"/>
    </row>
    <row r="765" ht="15.75" customHeight="1">
      <c r="N765" s="5"/>
      <c r="O765" s="5"/>
      <c r="P765" s="5"/>
    </row>
    <row r="766" ht="15.75" customHeight="1">
      <c r="N766" s="5"/>
      <c r="O766" s="5"/>
      <c r="P766" s="5"/>
    </row>
    <row r="767" ht="15.75" customHeight="1">
      <c r="N767" s="5"/>
      <c r="O767" s="5"/>
      <c r="P767" s="5"/>
    </row>
    <row r="768" ht="15.75" customHeight="1">
      <c r="N768" s="5"/>
      <c r="O768" s="5"/>
      <c r="P768" s="5"/>
    </row>
    <row r="769" ht="15.75" customHeight="1">
      <c r="N769" s="5"/>
      <c r="O769" s="5"/>
      <c r="P769" s="5"/>
    </row>
    <row r="770" ht="15.75" customHeight="1">
      <c r="N770" s="5"/>
      <c r="O770" s="5"/>
      <c r="P770" s="5"/>
    </row>
    <row r="771" ht="15.75" customHeight="1">
      <c r="N771" s="5"/>
      <c r="O771" s="5"/>
      <c r="P771" s="5"/>
    </row>
    <row r="772" ht="15.75" customHeight="1">
      <c r="N772" s="5"/>
      <c r="O772" s="5"/>
      <c r="P772" s="5"/>
    </row>
    <row r="773" ht="15.75" customHeight="1">
      <c r="N773" s="5"/>
      <c r="O773" s="5"/>
      <c r="P773" s="5"/>
    </row>
    <row r="774" ht="15.75" customHeight="1">
      <c r="N774" s="5"/>
      <c r="O774" s="5"/>
      <c r="P774" s="5"/>
    </row>
    <row r="775" ht="15.75" customHeight="1">
      <c r="N775" s="5"/>
      <c r="O775" s="5"/>
      <c r="P775" s="5"/>
    </row>
    <row r="776" ht="15.75" customHeight="1">
      <c r="N776" s="5"/>
      <c r="O776" s="5"/>
      <c r="P776" s="5"/>
    </row>
    <row r="777" ht="15.75" customHeight="1">
      <c r="N777" s="5"/>
      <c r="O777" s="5"/>
      <c r="P777" s="5"/>
    </row>
    <row r="778" ht="15.75" customHeight="1">
      <c r="N778" s="5"/>
      <c r="O778" s="5"/>
      <c r="P778" s="5"/>
    </row>
    <row r="779" ht="15.75" customHeight="1">
      <c r="N779" s="5"/>
      <c r="O779" s="5"/>
      <c r="P779" s="5"/>
    </row>
    <row r="780" ht="15.75" customHeight="1">
      <c r="N780" s="5"/>
      <c r="O780" s="5"/>
      <c r="P780" s="5"/>
    </row>
    <row r="781" ht="15.75" customHeight="1">
      <c r="N781" s="5"/>
      <c r="O781" s="5"/>
      <c r="P781" s="5"/>
    </row>
    <row r="782" ht="15.75" customHeight="1">
      <c r="N782" s="5"/>
      <c r="O782" s="5"/>
      <c r="P782" s="5"/>
    </row>
    <row r="783" ht="15.75" customHeight="1">
      <c r="N783" s="5"/>
      <c r="O783" s="5"/>
      <c r="P783" s="5"/>
    </row>
    <row r="784" ht="15.75" customHeight="1">
      <c r="N784" s="5"/>
      <c r="O784" s="5"/>
      <c r="P784" s="5"/>
    </row>
    <row r="785" ht="15.75" customHeight="1">
      <c r="N785" s="5"/>
      <c r="O785" s="5"/>
      <c r="P785" s="5"/>
    </row>
    <row r="786" ht="15.75" customHeight="1">
      <c r="N786" s="5"/>
      <c r="O786" s="5"/>
      <c r="P786" s="5"/>
    </row>
    <row r="787" ht="15.75" customHeight="1">
      <c r="N787" s="5"/>
      <c r="O787" s="5"/>
      <c r="P787" s="5"/>
    </row>
    <row r="788" ht="15.75" customHeight="1">
      <c r="N788" s="5"/>
      <c r="O788" s="5"/>
      <c r="P788" s="5"/>
    </row>
    <row r="789" ht="15.75" customHeight="1">
      <c r="N789" s="5"/>
      <c r="O789" s="5"/>
      <c r="P789" s="5"/>
    </row>
    <row r="790" ht="15.75" customHeight="1">
      <c r="N790" s="5"/>
      <c r="O790" s="5"/>
      <c r="P790" s="5"/>
    </row>
    <row r="791" ht="15.75" customHeight="1">
      <c r="N791" s="5"/>
      <c r="O791" s="5"/>
      <c r="P791" s="5"/>
    </row>
    <row r="792" ht="15.75" customHeight="1">
      <c r="N792" s="5"/>
      <c r="O792" s="5"/>
      <c r="P792" s="5"/>
    </row>
    <row r="793" ht="15.75" customHeight="1">
      <c r="N793" s="5"/>
      <c r="O793" s="5"/>
      <c r="P793" s="5"/>
    </row>
    <row r="794" ht="15.75" customHeight="1">
      <c r="N794" s="5"/>
      <c r="O794" s="5"/>
      <c r="P794" s="5"/>
    </row>
    <row r="795" ht="15.75" customHeight="1">
      <c r="N795" s="5"/>
      <c r="O795" s="5"/>
      <c r="P795" s="5"/>
    </row>
    <row r="796" ht="15.75" customHeight="1">
      <c r="N796" s="5"/>
      <c r="O796" s="5"/>
      <c r="P796" s="5"/>
    </row>
    <row r="797" ht="15.75" customHeight="1">
      <c r="N797" s="5"/>
      <c r="O797" s="5"/>
      <c r="P797" s="5"/>
    </row>
    <row r="798" ht="15.75" customHeight="1">
      <c r="N798" s="5"/>
      <c r="O798" s="5"/>
      <c r="P798" s="5"/>
    </row>
    <row r="799" ht="15.75" customHeight="1">
      <c r="N799" s="5"/>
      <c r="O799" s="5"/>
      <c r="P799" s="5"/>
    </row>
    <row r="800" ht="15.75" customHeight="1">
      <c r="N800" s="5"/>
      <c r="O800" s="5"/>
      <c r="P800" s="5"/>
    </row>
    <row r="801" ht="15.75" customHeight="1">
      <c r="N801" s="5"/>
      <c r="O801" s="5"/>
      <c r="P801" s="5"/>
    </row>
    <row r="802" ht="15.75" customHeight="1">
      <c r="N802" s="5"/>
      <c r="O802" s="5"/>
      <c r="P802" s="5"/>
    </row>
    <row r="803" ht="15.75" customHeight="1">
      <c r="N803" s="5"/>
      <c r="O803" s="5"/>
      <c r="P803" s="5"/>
    </row>
    <row r="804" ht="15.75" customHeight="1">
      <c r="N804" s="5"/>
      <c r="O804" s="5"/>
      <c r="P804" s="5"/>
    </row>
    <row r="805" ht="15.75" customHeight="1">
      <c r="N805" s="5"/>
      <c r="O805" s="5"/>
      <c r="P805" s="5"/>
    </row>
    <row r="806" ht="15.75" customHeight="1">
      <c r="N806" s="5"/>
      <c r="O806" s="5"/>
      <c r="P806" s="5"/>
    </row>
    <row r="807" ht="15.75" customHeight="1">
      <c r="N807" s="5"/>
      <c r="O807" s="5"/>
      <c r="P807" s="5"/>
    </row>
    <row r="808" ht="15.75" customHeight="1">
      <c r="N808" s="5"/>
      <c r="O808" s="5"/>
      <c r="P808" s="5"/>
    </row>
    <row r="809" ht="15.75" customHeight="1">
      <c r="N809" s="5"/>
      <c r="O809" s="5"/>
      <c r="P809" s="5"/>
    </row>
    <row r="810" ht="15.75" customHeight="1">
      <c r="N810" s="5"/>
      <c r="O810" s="5"/>
      <c r="P810" s="5"/>
    </row>
    <row r="811" ht="15.75" customHeight="1">
      <c r="N811" s="5"/>
      <c r="O811" s="5"/>
      <c r="P811" s="5"/>
    </row>
    <row r="812" ht="15.75" customHeight="1">
      <c r="N812" s="5"/>
      <c r="O812" s="5"/>
      <c r="P812" s="5"/>
    </row>
    <row r="813" ht="15.75" customHeight="1">
      <c r="N813" s="5"/>
      <c r="O813" s="5"/>
      <c r="P813" s="5"/>
    </row>
    <row r="814" ht="15.75" customHeight="1">
      <c r="N814" s="5"/>
      <c r="O814" s="5"/>
      <c r="P814" s="5"/>
    </row>
    <row r="815" ht="15.75" customHeight="1">
      <c r="N815" s="5"/>
      <c r="O815" s="5"/>
      <c r="P815" s="5"/>
    </row>
    <row r="816" ht="15.75" customHeight="1">
      <c r="N816" s="5"/>
      <c r="O816" s="5"/>
      <c r="P816" s="5"/>
    </row>
    <row r="817" ht="15.75" customHeight="1">
      <c r="N817" s="5"/>
      <c r="O817" s="5"/>
      <c r="P817" s="5"/>
    </row>
    <row r="818" ht="15.75" customHeight="1">
      <c r="N818" s="5"/>
      <c r="O818" s="5"/>
      <c r="P818" s="5"/>
    </row>
    <row r="819" ht="15.75" customHeight="1">
      <c r="N819" s="5"/>
      <c r="O819" s="5"/>
      <c r="P819" s="5"/>
    </row>
    <row r="820" ht="15.75" customHeight="1">
      <c r="N820" s="5"/>
      <c r="O820" s="5"/>
      <c r="P820" s="5"/>
    </row>
    <row r="821" ht="15.75" customHeight="1">
      <c r="N821" s="5"/>
      <c r="O821" s="5"/>
      <c r="P821" s="5"/>
    </row>
    <row r="822" ht="15.75" customHeight="1">
      <c r="N822" s="5"/>
      <c r="O822" s="5"/>
      <c r="P822" s="5"/>
    </row>
    <row r="823" ht="15.75" customHeight="1">
      <c r="N823" s="5"/>
      <c r="O823" s="5"/>
      <c r="P823" s="5"/>
    </row>
    <row r="824" ht="15.75" customHeight="1">
      <c r="N824" s="5"/>
      <c r="O824" s="5"/>
      <c r="P824" s="5"/>
    </row>
    <row r="825" ht="15.75" customHeight="1">
      <c r="N825" s="5"/>
      <c r="O825" s="5"/>
      <c r="P825" s="5"/>
    </row>
    <row r="826" ht="15.75" customHeight="1">
      <c r="N826" s="5"/>
      <c r="O826" s="5"/>
      <c r="P826" s="5"/>
    </row>
    <row r="827" ht="15.75" customHeight="1">
      <c r="N827" s="5"/>
      <c r="O827" s="5"/>
      <c r="P827" s="5"/>
    </row>
    <row r="828" ht="15.75" customHeight="1">
      <c r="N828" s="5"/>
      <c r="O828" s="5"/>
      <c r="P828" s="5"/>
    </row>
    <row r="829" ht="15.75" customHeight="1">
      <c r="N829" s="5"/>
      <c r="O829" s="5"/>
      <c r="P829" s="5"/>
    </row>
    <row r="830" ht="15.75" customHeight="1">
      <c r="N830" s="5"/>
      <c r="O830" s="5"/>
      <c r="P830" s="5"/>
    </row>
    <row r="831" ht="15.75" customHeight="1">
      <c r="N831" s="5"/>
      <c r="O831" s="5"/>
      <c r="P831" s="5"/>
    </row>
    <row r="832" ht="15.75" customHeight="1">
      <c r="N832" s="5"/>
      <c r="O832" s="5"/>
      <c r="P832" s="5"/>
    </row>
    <row r="833" ht="15.75" customHeight="1">
      <c r="N833" s="5"/>
      <c r="O833" s="5"/>
      <c r="P833" s="5"/>
    </row>
    <row r="834" ht="15.75" customHeight="1">
      <c r="N834" s="5"/>
      <c r="O834" s="5"/>
      <c r="P834" s="5"/>
    </row>
    <row r="835" ht="15.75" customHeight="1">
      <c r="N835" s="5"/>
      <c r="O835" s="5"/>
      <c r="P835" s="5"/>
    </row>
    <row r="836" ht="15.75" customHeight="1">
      <c r="N836" s="5"/>
      <c r="O836" s="5"/>
      <c r="P836" s="5"/>
    </row>
    <row r="837" ht="15.75" customHeight="1">
      <c r="N837" s="5"/>
      <c r="O837" s="5"/>
      <c r="P837" s="5"/>
    </row>
    <row r="838" ht="15.75" customHeight="1">
      <c r="N838" s="5"/>
      <c r="O838" s="5"/>
      <c r="P838" s="5"/>
    </row>
    <row r="839" ht="15.75" customHeight="1">
      <c r="N839" s="5"/>
      <c r="O839" s="5"/>
      <c r="P839" s="5"/>
    </row>
    <row r="840" ht="15.75" customHeight="1">
      <c r="N840" s="5"/>
      <c r="O840" s="5"/>
      <c r="P840" s="5"/>
    </row>
    <row r="841" ht="15.75" customHeight="1">
      <c r="N841" s="5"/>
      <c r="O841" s="5"/>
      <c r="P841" s="5"/>
    </row>
    <row r="842" ht="15.75" customHeight="1">
      <c r="N842" s="5"/>
      <c r="O842" s="5"/>
      <c r="P842" s="5"/>
    </row>
    <row r="843" ht="15.75" customHeight="1">
      <c r="N843" s="5"/>
      <c r="O843" s="5"/>
      <c r="P843" s="5"/>
    </row>
    <row r="844" ht="15.75" customHeight="1">
      <c r="N844" s="5"/>
      <c r="O844" s="5"/>
      <c r="P844" s="5"/>
    </row>
    <row r="845" ht="15.75" customHeight="1">
      <c r="N845" s="5"/>
      <c r="O845" s="5"/>
      <c r="P845" s="5"/>
    </row>
    <row r="846" ht="15.75" customHeight="1">
      <c r="N846" s="5"/>
      <c r="O846" s="5"/>
      <c r="P846" s="5"/>
    </row>
    <row r="847" ht="15.75" customHeight="1">
      <c r="N847" s="5"/>
      <c r="O847" s="5"/>
      <c r="P847" s="5"/>
    </row>
    <row r="848" ht="15.75" customHeight="1">
      <c r="N848" s="5"/>
      <c r="O848" s="5"/>
      <c r="P848" s="5"/>
    </row>
    <row r="849" ht="15.75" customHeight="1">
      <c r="N849" s="5"/>
      <c r="O849" s="5"/>
      <c r="P849" s="5"/>
    </row>
    <row r="850" ht="15.75" customHeight="1">
      <c r="N850" s="5"/>
      <c r="O850" s="5"/>
      <c r="P850" s="5"/>
    </row>
    <row r="851" ht="15.75" customHeight="1">
      <c r="N851" s="5"/>
      <c r="O851" s="5"/>
      <c r="P851" s="5"/>
    </row>
    <row r="852" ht="15.75" customHeight="1">
      <c r="N852" s="5"/>
      <c r="O852" s="5"/>
      <c r="P852" s="5"/>
    </row>
    <row r="853" ht="15.75" customHeight="1">
      <c r="N853" s="5"/>
      <c r="O853" s="5"/>
      <c r="P853" s="5"/>
    </row>
    <row r="854" ht="15.75" customHeight="1">
      <c r="N854" s="5"/>
      <c r="O854" s="5"/>
      <c r="P854" s="5"/>
    </row>
    <row r="855" ht="15.75" customHeight="1">
      <c r="N855" s="5"/>
      <c r="O855" s="5"/>
      <c r="P855" s="5"/>
    </row>
    <row r="856" ht="15.75" customHeight="1">
      <c r="N856" s="5"/>
      <c r="O856" s="5"/>
      <c r="P856" s="5"/>
    </row>
    <row r="857" ht="15.75" customHeight="1">
      <c r="N857" s="5"/>
      <c r="O857" s="5"/>
      <c r="P857" s="5"/>
    </row>
    <row r="858" ht="15.75" customHeight="1">
      <c r="N858" s="5"/>
      <c r="O858" s="5"/>
      <c r="P858" s="5"/>
    </row>
    <row r="859" ht="15.75" customHeight="1">
      <c r="N859" s="5"/>
      <c r="O859" s="5"/>
      <c r="P859" s="5"/>
    </row>
    <row r="860" ht="15.75" customHeight="1">
      <c r="N860" s="5"/>
      <c r="O860" s="5"/>
      <c r="P860" s="5"/>
    </row>
    <row r="861" ht="15.75" customHeight="1">
      <c r="N861" s="5"/>
      <c r="O861" s="5"/>
      <c r="P861" s="5"/>
    </row>
    <row r="862" ht="15.75" customHeight="1">
      <c r="N862" s="5"/>
      <c r="O862" s="5"/>
      <c r="P862" s="5"/>
    </row>
    <row r="863" ht="15.75" customHeight="1">
      <c r="N863" s="5"/>
      <c r="O863" s="5"/>
      <c r="P863" s="5"/>
    </row>
    <row r="864" ht="15.75" customHeight="1">
      <c r="N864" s="5"/>
      <c r="O864" s="5"/>
      <c r="P864" s="5"/>
    </row>
    <row r="865" ht="15.75" customHeight="1">
      <c r="N865" s="5"/>
      <c r="O865" s="5"/>
      <c r="P865" s="5"/>
    </row>
    <row r="866" ht="15.75" customHeight="1">
      <c r="N866" s="5"/>
      <c r="O866" s="5"/>
      <c r="P866" s="5"/>
    </row>
    <row r="867" ht="15.75" customHeight="1">
      <c r="N867" s="5"/>
      <c r="O867" s="5"/>
      <c r="P867" s="5"/>
    </row>
    <row r="868" ht="15.75" customHeight="1">
      <c r="N868" s="5"/>
      <c r="O868" s="5"/>
      <c r="P868" s="5"/>
    </row>
    <row r="869" ht="15.75" customHeight="1">
      <c r="N869" s="5"/>
      <c r="O869" s="5"/>
      <c r="P869" s="5"/>
    </row>
    <row r="870" ht="15.75" customHeight="1">
      <c r="N870" s="5"/>
      <c r="O870" s="5"/>
      <c r="P870" s="5"/>
    </row>
    <row r="871" ht="15.75" customHeight="1">
      <c r="N871" s="5"/>
      <c r="O871" s="5"/>
      <c r="P871" s="5"/>
    </row>
    <row r="872" ht="15.75" customHeight="1">
      <c r="N872" s="5"/>
      <c r="O872" s="5"/>
      <c r="P872" s="5"/>
    </row>
    <row r="873" ht="15.75" customHeight="1">
      <c r="N873" s="5"/>
      <c r="O873" s="5"/>
      <c r="P873" s="5"/>
    </row>
    <row r="874" ht="15.75" customHeight="1">
      <c r="N874" s="5"/>
      <c r="O874" s="5"/>
      <c r="P874" s="5"/>
    </row>
    <row r="875" ht="15.75" customHeight="1">
      <c r="N875" s="5"/>
      <c r="O875" s="5"/>
      <c r="P875" s="5"/>
    </row>
    <row r="876" ht="15.75" customHeight="1">
      <c r="N876" s="5"/>
      <c r="O876" s="5"/>
      <c r="P876" s="5"/>
    </row>
    <row r="877" ht="15.75" customHeight="1">
      <c r="N877" s="5"/>
      <c r="O877" s="5"/>
      <c r="P877" s="5"/>
    </row>
    <row r="878" ht="15.75" customHeight="1">
      <c r="N878" s="5"/>
      <c r="O878" s="5"/>
      <c r="P878" s="5"/>
    </row>
    <row r="879" ht="15.75" customHeight="1">
      <c r="N879" s="5"/>
      <c r="O879" s="5"/>
      <c r="P879" s="5"/>
    </row>
    <row r="880" ht="15.75" customHeight="1">
      <c r="N880" s="5"/>
      <c r="O880" s="5"/>
      <c r="P880" s="5"/>
    </row>
    <row r="881" ht="15.75" customHeight="1">
      <c r="N881" s="5"/>
      <c r="O881" s="5"/>
      <c r="P881" s="5"/>
    </row>
    <row r="882" ht="15.75" customHeight="1">
      <c r="N882" s="5"/>
      <c r="O882" s="5"/>
      <c r="P882" s="5"/>
    </row>
    <row r="883" ht="15.75" customHeight="1">
      <c r="N883" s="5"/>
      <c r="O883" s="5"/>
      <c r="P883" s="5"/>
    </row>
    <row r="884" ht="15.75" customHeight="1">
      <c r="N884" s="5"/>
      <c r="O884" s="5"/>
      <c r="P884" s="5"/>
    </row>
    <row r="885" ht="15.75" customHeight="1">
      <c r="N885" s="5"/>
      <c r="O885" s="5"/>
      <c r="P885" s="5"/>
    </row>
    <row r="886" ht="15.75" customHeight="1">
      <c r="N886" s="5"/>
      <c r="O886" s="5"/>
      <c r="P886" s="5"/>
    </row>
    <row r="887" ht="15.75" customHeight="1">
      <c r="N887" s="5"/>
      <c r="O887" s="5"/>
      <c r="P887" s="5"/>
    </row>
    <row r="888" ht="15.75" customHeight="1">
      <c r="N888" s="5"/>
      <c r="O888" s="5"/>
      <c r="P888" s="5"/>
    </row>
    <row r="889" ht="15.75" customHeight="1">
      <c r="N889" s="5"/>
      <c r="O889" s="5"/>
      <c r="P889" s="5"/>
    </row>
    <row r="890" ht="15.75" customHeight="1">
      <c r="N890" s="5"/>
      <c r="O890" s="5"/>
      <c r="P890" s="5"/>
    </row>
    <row r="891" ht="15.75" customHeight="1">
      <c r="N891" s="5"/>
      <c r="O891" s="5"/>
      <c r="P891" s="5"/>
    </row>
    <row r="892" ht="15.75" customHeight="1">
      <c r="N892" s="5"/>
      <c r="O892" s="5"/>
      <c r="P892" s="5"/>
    </row>
    <row r="893" ht="15.75" customHeight="1">
      <c r="N893" s="5"/>
      <c r="O893" s="5"/>
      <c r="P893" s="5"/>
    </row>
    <row r="894" ht="15.75" customHeight="1">
      <c r="N894" s="5"/>
      <c r="O894" s="5"/>
      <c r="P894" s="5"/>
    </row>
    <row r="895" ht="15.75" customHeight="1">
      <c r="N895" s="5"/>
      <c r="O895" s="5"/>
      <c r="P895" s="5"/>
    </row>
    <row r="896" ht="15.75" customHeight="1">
      <c r="N896" s="5"/>
      <c r="O896" s="5"/>
      <c r="P896" s="5"/>
    </row>
    <row r="897" ht="15.75" customHeight="1">
      <c r="N897" s="5"/>
      <c r="O897" s="5"/>
      <c r="P897" s="5"/>
    </row>
    <row r="898" ht="15.75" customHeight="1">
      <c r="N898" s="5"/>
      <c r="O898" s="5"/>
      <c r="P898" s="5"/>
    </row>
    <row r="899" ht="15.75" customHeight="1">
      <c r="N899" s="5"/>
      <c r="O899" s="5"/>
      <c r="P899" s="5"/>
    </row>
    <row r="900" ht="15.75" customHeight="1">
      <c r="N900" s="5"/>
      <c r="O900" s="5"/>
      <c r="P900" s="5"/>
    </row>
    <row r="901" ht="15.75" customHeight="1">
      <c r="N901" s="5"/>
      <c r="O901" s="5"/>
      <c r="P901" s="5"/>
    </row>
    <row r="902" ht="15.75" customHeight="1">
      <c r="N902" s="5"/>
      <c r="O902" s="5"/>
      <c r="P902" s="5"/>
    </row>
    <row r="903" ht="15.75" customHeight="1">
      <c r="N903" s="5"/>
      <c r="O903" s="5"/>
      <c r="P903" s="5"/>
    </row>
    <row r="904" ht="15.75" customHeight="1">
      <c r="N904" s="5"/>
      <c r="O904" s="5"/>
      <c r="P904" s="5"/>
    </row>
    <row r="905" ht="15.75" customHeight="1">
      <c r="N905" s="5"/>
      <c r="O905" s="5"/>
      <c r="P905" s="5"/>
    </row>
    <row r="906" ht="15.75" customHeight="1">
      <c r="N906" s="5"/>
      <c r="O906" s="5"/>
      <c r="P906" s="5"/>
    </row>
    <row r="907" ht="15.75" customHeight="1">
      <c r="N907" s="5"/>
      <c r="O907" s="5"/>
      <c r="P907" s="5"/>
    </row>
    <row r="908" ht="15.75" customHeight="1">
      <c r="N908" s="5"/>
      <c r="O908" s="5"/>
      <c r="P908" s="5"/>
    </row>
    <row r="909" ht="15.75" customHeight="1">
      <c r="N909" s="5"/>
      <c r="O909" s="5"/>
      <c r="P909" s="5"/>
    </row>
    <row r="910" ht="15.75" customHeight="1">
      <c r="N910" s="5"/>
      <c r="O910" s="5"/>
      <c r="P910" s="5"/>
    </row>
    <row r="911" ht="15.75" customHeight="1">
      <c r="N911" s="5"/>
      <c r="O911" s="5"/>
      <c r="P911" s="5"/>
    </row>
    <row r="912" ht="15.75" customHeight="1">
      <c r="N912" s="5"/>
      <c r="O912" s="5"/>
      <c r="P912" s="5"/>
    </row>
    <row r="913" ht="15.75" customHeight="1">
      <c r="N913" s="5"/>
      <c r="O913" s="5"/>
      <c r="P913" s="5"/>
    </row>
    <row r="914" ht="15.75" customHeight="1">
      <c r="N914" s="5"/>
      <c r="O914" s="5"/>
      <c r="P914" s="5"/>
    </row>
    <row r="915" ht="15.75" customHeight="1">
      <c r="N915" s="5"/>
      <c r="O915" s="5"/>
      <c r="P915" s="5"/>
    </row>
    <row r="916" ht="15.75" customHeight="1">
      <c r="N916" s="5"/>
      <c r="O916" s="5"/>
      <c r="P916" s="5"/>
    </row>
    <row r="917" ht="15.75" customHeight="1">
      <c r="N917" s="5"/>
      <c r="O917" s="5"/>
      <c r="P917" s="5"/>
    </row>
    <row r="918" ht="15.75" customHeight="1">
      <c r="N918" s="5"/>
      <c r="O918" s="5"/>
      <c r="P918" s="5"/>
    </row>
    <row r="919" ht="15.75" customHeight="1">
      <c r="N919" s="5"/>
      <c r="O919" s="5"/>
      <c r="P919" s="5"/>
    </row>
    <row r="920" ht="15.75" customHeight="1">
      <c r="N920" s="5"/>
      <c r="O920" s="5"/>
      <c r="P920" s="5"/>
    </row>
    <row r="921" ht="15.75" customHeight="1">
      <c r="N921" s="5"/>
      <c r="O921" s="5"/>
      <c r="P921" s="5"/>
    </row>
    <row r="922" ht="15.75" customHeight="1">
      <c r="N922" s="5"/>
      <c r="O922" s="5"/>
      <c r="P922" s="5"/>
    </row>
    <row r="923" ht="15.75" customHeight="1">
      <c r="N923" s="5"/>
      <c r="O923" s="5"/>
      <c r="P923" s="5"/>
    </row>
    <row r="924" ht="15.75" customHeight="1">
      <c r="N924" s="5"/>
      <c r="O924" s="5"/>
      <c r="P924" s="5"/>
    </row>
    <row r="925" ht="15.75" customHeight="1">
      <c r="N925" s="5"/>
      <c r="O925" s="5"/>
      <c r="P925" s="5"/>
    </row>
    <row r="926" ht="15.75" customHeight="1">
      <c r="N926" s="5"/>
      <c r="O926" s="5"/>
      <c r="P926" s="5"/>
    </row>
    <row r="927" ht="15.75" customHeight="1">
      <c r="N927" s="5"/>
      <c r="O927" s="5"/>
      <c r="P927" s="5"/>
    </row>
    <row r="928" ht="15.75" customHeight="1">
      <c r="N928" s="5"/>
      <c r="O928" s="5"/>
      <c r="P928" s="5"/>
    </row>
    <row r="929" ht="15.75" customHeight="1">
      <c r="N929" s="5"/>
      <c r="O929" s="5"/>
      <c r="P929" s="5"/>
    </row>
    <row r="930" ht="15.75" customHeight="1">
      <c r="N930" s="5"/>
      <c r="O930" s="5"/>
      <c r="P930" s="5"/>
    </row>
    <row r="931" ht="15.75" customHeight="1">
      <c r="N931" s="5"/>
      <c r="O931" s="5"/>
      <c r="P931" s="5"/>
    </row>
    <row r="932" ht="15.75" customHeight="1">
      <c r="N932" s="5"/>
      <c r="O932" s="5"/>
      <c r="P932" s="5"/>
    </row>
    <row r="933" ht="15.75" customHeight="1">
      <c r="N933" s="5"/>
      <c r="O933" s="5"/>
      <c r="P933" s="5"/>
    </row>
    <row r="934" ht="15.75" customHeight="1">
      <c r="N934" s="5"/>
      <c r="O934" s="5"/>
      <c r="P934" s="5"/>
    </row>
    <row r="935" ht="15.75" customHeight="1">
      <c r="N935" s="5"/>
      <c r="O935" s="5"/>
      <c r="P935" s="5"/>
    </row>
    <row r="936" ht="15.75" customHeight="1">
      <c r="N936" s="5"/>
      <c r="O936" s="5"/>
      <c r="P936" s="5"/>
    </row>
    <row r="937" ht="15.75" customHeight="1">
      <c r="N937" s="5"/>
      <c r="O937" s="5"/>
      <c r="P937" s="5"/>
    </row>
    <row r="938" ht="15.75" customHeight="1">
      <c r="N938" s="5"/>
      <c r="O938" s="5"/>
      <c r="P938" s="5"/>
    </row>
    <row r="939" ht="15.75" customHeight="1">
      <c r="N939" s="5"/>
      <c r="O939" s="5"/>
      <c r="P939" s="5"/>
    </row>
    <row r="940" ht="15.75" customHeight="1">
      <c r="N940" s="5"/>
      <c r="O940" s="5"/>
      <c r="P940" s="5"/>
    </row>
    <row r="941" ht="15.75" customHeight="1">
      <c r="N941" s="5"/>
      <c r="O941" s="5"/>
      <c r="P941" s="5"/>
    </row>
    <row r="942" ht="15.75" customHeight="1">
      <c r="N942" s="5"/>
      <c r="O942" s="5"/>
      <c r="P942" s="5"/>
    </row>
    <row r="943" ht="15.75" customHeight="1">
      <c r="N943" s="5"/>
      <c r="O943" s="5"/>
      <c r="P943" s="5"/>
    </row>
    <row r="944" ht="15.75" customHeight="1">
      <c r="N944" s="5"/>
      <c r="O944" s="5"/>
      <c r="P944" s="5"/>
    </row>
    <row r="945" ht="15.75" customHeight="1">
      <c r="N945" s="5"/>
      <c r="O945" s="5"/>
      <c r="P945" s="5"/>
    </row>
    <row r="946" ht="15.75" customHeight="1">
      <c r="N946" s="5"/>
      <c r="O946" s="5"/>
      <c r="P946" s="5"/>
    </row>
    <row r="947" ht="15.75" customHeight="1">
      <c r="N947" s="5"/>
      <c r="O947" s="5"/>
      <c r="P947" s="5"/>
    </row>
    <row r="948" ht="15.75" customHeight="1">
      <c r="N948" s="5"/>
      <c r="O948" s="5"/>
      <c r="P948" s="5"/>
    </row>
    <row r="949" ht="15.75" customHeight="1">
      <c r="N949" s="5"/>
      <c r="O949" s="5"/>
      <c r="P949" s="5"/>
    </row>
    <row r="950" ht="15.75" customHeight="1">
      <c r="N950" s="5"/>
      <c r="O950" s="5"/>
      <c r="P950" s="5"/>
    </row>
    <row r="951" ht="15.75" customHeight="1">
      <c r="N951" s="5"/>
      <c r="O951" s="5"/>
      <c r="P951" s="5"/>
    </row>
    <row r="952" ht="15.75" customHeight="1">
      <c r="N952" s="5"/>
      <c r="O952" s="5"/>
      <c r="P952" s="5"/>
    </row>
    <row r="953" ht="15.75" customHeight="1">
      <c r="N953" s="5"/>
      <c r="O953" s="5"/>
      <c r="P953" s="5"/>
    </row>
    <row r="954" ht="15.75" customHeight="1">
      <c r="N954" s="5"/>
      <c r="O954" s="5"/>
      <c r="P954" s="5"/>
    </row>
    <row r="955" ht="15.75" customHeight="1">
      <c r="N955" s="5"/>
      <c r="O955" s="5"/>
      <c r="P955" s="5"/>
    </row>
    <row r="956" ht="15.75" customHeight="1">
      <c r="N956" s="5"/>
      <c r="O956" s="5"/>
      <c r="P956" s="5"/>
    </row>
    <row r="957" ht="15.75" customHeight="1">
      <c r="N957" s="5"/>
      <c r="O957" s="5"/>
      <c r="P957" s="5"/>
    </row>
    <row r="958" ht="15.75" customHeight="1">
      <c r="N958" s="5"/>
      <c r="O958" s="5"/>
      <c r="P958" s="5"/>
    </row>
    <row r="959" ht="15.75" customHeight="1">
      <c r="N959" s="5"/>
      <c r="O959" s="5"/>
      <c r="P959" s="5"/>
    </row>
    <row r="960" ht="15.75" customHeight="1">
      <c r="N960" s="5"/>
      <c r="O960" s="5"/>
      <c r="P960" s="5"/>
    </row>
    <row r="961" ht="15.75" customHeight="1">
      <c r="N961" s="5"/>
      <c r="O961" s="5"/>
      <c r="P961" s="5"/>
    </row>
    <row r="962" ht="15.75" customHeight="1">
      <c r="N962" s="5"/>
      <c r="O962" s="5"/>
      <c r="P962" s="5"/>
    </row>
    <row r="963" ht="15.75" customHeight="1">
      <c r="N963" s="5"/>
      <c r="O963" s="5"/>
      <c r="P963" s="5"/>
    </row>
    <row r="964" ht="15.75" customHeight="1">
      <c r="N964" s="5"/>
      <c r="O964" s="5"/>
      <c r="P964" s="5"/>
    </row>
    <row r="965" ht="15.75" customHeight="1">
      <c r="N965" s="5"/>
      <c r="O965" s="5"/>
      <c r="P965" s="5"/>
    </row>
    <row r="966" ht="15.75" customHeight="1">
      <c r="N966" s="5"/>
      <c r="O966" s="5"/>
      <c r="P966" s="5"/>
    </row>
    <row r="967" ht="15.75" customHeight="1">
      <c r="N967" s="5"/>
      <c r="O967" s="5"/>
      <c r="P967" s="5"/>
    </row>
    <row r="968" ht="15.75" customHeight="1">
      <c r="N968" s="5"/>
      <c r="O968" s="5"/>
      <c r="P968" s="5"/>
    </row>
    <row r="969" ht="15.75" customHeight="1">
      <c r="N969" s="5"/>
      <c r="O969" s="5"/>
      <c r="P969" s="5"/>
    </row>
    <row r="970" ht="15.75" customHeight="1">
      <c r="N970" s="5"/>
      <c r="O970" s="5"/>
      <c r="P970" s="5"/>
    </row>
    <row r="971" ht="15.75" customHeight="1">
      <c r="N971" s="5"/>
      <c r="O971" s="5"/>
      <c r="P971" s="5"/>
    </row>
    <row r="972" ht="15.75" customHeight="1">
      <c r="N972" s="5"/>
      <c r="O972" s="5"/>
      <c r="P972" s="5"/>
    </row>
    <row r="973" ht="15.75" customHeight="1">
      <c r="N973" s="5"/>
      <c r="O973" s="5"/>
      <c r="P973" s="5"/>
    </row>
    <row r="974" ht="15.75" customHeight="1">
      <c r="N974" s="5"/>
      <c r="O974" s="5"/>
      <c r="P974" s="5"/>
    </row>
    <row r="975" ht="15.75" customHeight="1">
      <c r="N975" s="5"/>
      <c r="O975" s="5"/>
      <c r="P975" s="5"/>
    </row>
    <row r="976" ht="15.75" customHeight="1">
      <c r="N976" s="5"/>
      <c r="O976" s="5"/>
      <c r="P976" s="5"/>
    </row>
    <row r="977" ht="15.75" customHeight="1">
      <c r="N977" s="5"/>
      <c r="O977" s="5"/>
      <c r="P977" s="5"/>
    </row>
    <row r="978" ht="15.75" customHeight="1">
      <c r="N978" s="5"/>
      <c r="O978" s="5"/>
      <c r="P978" s="5"/>
    </row>
    <row r="979" ht="15.75" customHeight="1">
      <c r="N979" s="5"/>
      <c r="O979" s="5"/>
      <c r="P979" s="5"/>
    </row>
    <row r="980" ht="15.75" customHeight="1">
      <c r="N980" s="5"/>
      <c r="O980" s="5"/>
      <c r="P980" s="5"/>
    </row>
    <row r="981" ht="15.75" customHeight="1">
      <c r="N981" s="5"/>
      <c r="O981" s="5"/>
      <c r="P981" s="5"/>
    </row>
    <row r="982" ht="15.75" customHeight="1">
      <c r="N982" s="5"/>
      <c r="O982" s="5"/>
      <c r="P982" s="5"/>
    </row>
    <row r="983" ht="15.75" customHeight="1">
      <c r="N983" s="5"/>
      <c r="O983" s="5"/>
      <c r="P983" s="5"/>
    </row>
    <row r="984" ht="15.75" customHeight="1">
      <c r="N984" s="5"/>
      <c r="O984" s="5"/>
      <c r="P984" s="5"/>
    </row>
    <row r="985" ht="15.75" customHeight="1">
      <c r="N985" s="5"/>
      <c r="O985" s="5"/>
      <c r="P985" s="5"/>
    </row>
    <row r="986" ht="15.75" customHeight="1">
      <c r="N986" s="5"/>
      <c r="O986" s="5"/>
      <c r="P986" s="5"/>
    </row>
    <row r="987" ht="15.75" customHeight="1">
      <c r="N987" s="5"/>
      <c r="O987" s="5"/>
      <c r="P987" s="5"/>
    </row>
    <row r="988" ht="15.75" customHeight="1">
      <c r="N988" s="5"/>
      <c r="O988" s="5"/>
      <c r="P988" s="5"/>
    </row>
    <row r="989" ht="15.75" customHeight="1">
      <c r="N989" s="5"/>
      <c r="O989" s="5"/>
      <c r="P989" s="5"/>
    </row>
    <row r="990" ht="15.75" customHeight="1">
      <c r="N990" s="5"/>
      <c r="O990" s="5"/>
      <c r="P990" s="5"/>
    </row>
    <row r="991" ht="15.75" customHeight="1">
      <c r="N991" s="5"/>
      <c r="O991" s="5"/>
      <c r="P991" s="5"/>
    </row>
    <row r="992" ht="15.75" customHeight="1">
      <c r="N992" s="5"/>
      <c r="O992" s="5"/>
      <c r="P992" s="5"/>
    </row>
    <row r="993" ht="15.75" customHeight="1">
      <c r="N993" s="5"/>
      <c r="O993" s="5"/>
      <c r="P993" s="5"/>
    </row>
    <row r="994" ht="15.75" customHeight="1">
      <c r="N994" s="5"/>
      <c r="O994" s="5"/>
      <c r="P994" s="5"/>
    </row>
    <row r="995" ht="15.75" customHeight="1">
      <c r="N995" s="5"/>
      <c r="O995" s="5"/>
      <c r="P995" s="5"/>
    </row>
    <row r="996" ht="15.75" customHeight="1">
      <c r="N996" s="5"/>
      <c r="O996" s="5"/>
      <c r="P996" s="5"/>
    </row>
    <row r="997" ht="15.75" customHeight="1">
      <c r="N997" s="5"/>
      <c r="O997" s="5"/>
      <c r="P997" s="5"/>
    </row>
    <row r="998" ht="15.75" customHeight="1">
      <c r="N998" s="5"/>
      <c r="O998" s="5"/>
      <c r="P998" s="5"/>
    </row>
    <row r="999" ht="15.75" customHeight="1">
      <c r="N999" s="5"/>
      <c r="O999" s="5"/>
      <c r="P999" s="5"/>
    </row>
    <row r="1000" ht="15.75" customHeight="1">
      <c r="N1000" s="5"/>
      <c r="O1000" s="5"/>
      <c r="P1000" s="5"/>
    </row>
    <row r="1001" ht="15.75" customHeight="1">
      <c r="N1001" s="5"/>
      <c r="O1001" s="5"/>
      <c r="P1001" s="5"/>
    </row>
    <row r="1002" ht="15.75" customHeight="1">
      <c r="N1002" s="5"/>
      <c r="O1002" s="5"/>
      <c r="P1002" s="5"/>
    </row>
    <row r="1003" ht="15.75" customHeight="1">
      <c r="N1003" s="5"/>
      <c r="O1003" s="5"/>
      <c r="P1003" s="5"/>
    </row>
  </sheetData>
  <mergeCells count="271">
    <mergeCell ref="C14:D14"/>
    <mergeCell ref="E14:F14"/>
    <mergeCell ref="L14:M14"/>
    <mergeCell ref="N14:P14"/>
    <mergeCell ref="C15:P15"/>
    <mergeCell ref="L16:M16"/>
    <mergeCell ref="N16:P16"/>
    <mergeCell ref="L17:M17"/>
    <mergeCell ref="N17:P17"/>
    <mergeCell ref="L18:M18"/>
    <mergeCell ref="N18:P18"/>
    <mergeCell ref="L19:M19"/>
    <mergeCell ref="N19:P19"/>
    <mergeCell ref="C20:P20"/>
    <mergeCell ref="C10:D10"/>
    <mergeCell ref="C12:D12"/>
    <mergeCell ref="C9:D9"/>
    <mergeCell ref="C16:D18"/>
    <mergeCell ref="G14:K14"/>
    <mergeCell ref="G16:K16"/>
    <mergeCell ref="G17:K17"/>
    <mergeCell ref="G18:K18"/>
    <mergeCell ref="C19:D19"/>
    <mergeCell ref="G19:K19"/>
    <mergeCell ref="C21:D21"/>
    <mergeCell ref="E21:F21"/>
    <mergeCell ref="G22:K22"/>
    <mergeCell ref="G23:K24"/>
    <mergeCell ref="L6:M7"/>
    <mergeCell ref="N6:P7"/>
    <mergeCell ref="L9:M9"/>
    <mergeCell ref="N9:P9"/>
    <mergeCell ref="D7:F7"/>
    <mergeCell ref="C8:P8"/>
    <mergeCell ref="B2:N3"/>
    <mergeCell ref="C4:K4"/>
    <mergeCell ref="L4:M4"/>
    <mergeCell ref="N4:P4"/>
    <mergeCell ref="C5:P5"/>
    <mergeCell ref="B6:B7"/>
    <mergeCell ref="D6:F6"/>
    <mergeCell ref="E10:I10"/>
    <mergeCell ref="J10:K10"/>
    <mergeCell ref="L10:M10"/>
    <mergeCell ref="N10:P10"/>
    <mergeCell ref="C11:D11"/>
    <mergeCell ref="E11:I11"/>
    <mergeCell ref="L11:M11"/>
    <mergeCell ref="N11:P11"/>
    <mergeCell ref="E12:I12"/>
    <mergeCell ref="J12:K12"/>
    <mergeCell ref="L12:M12"/>
    <mergeCell ref="N12:P12"/>
    <mergeCell ref="C13:P13"/>
    <mergeCell ref="L25:M25"/>
    <mergeCell ref="L26:M26"/>
    <mergeCell ref="L27:M27"/>
    <mergeCell ref="C33:P33"/>
    <mergeCell ref="L45:M45"/>
    <mergeCell ref="L46:M46"/>
    <mergeCell ref="L47:M47"/>
    <mergeCell ref="L48:M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L71:M71"/>
    <mergeCell ref="L72:M72"/>
    <mergeCell ref="L73:M73"/>
    <mergeCell ref="L74:M74"/>
    <mergeCell ref="L75:M75"/>
    <mergeCell ref="L76:M77"/>
    <mergeCell ref="L79:M79"/>
    <mergeCell ref="L80:M80"/>
    <mergeCell ref="L81:M81"/>
    <mergeCell ref="L82:M82"/>
    <mergeCell ref="L83:M83"/>
    <mergeCell ref="L84:M84"/>
    <mergeCell ref="L85:M85"/>
    <mergeCell ref="L86:M86"/>
    <mergeCell ref="L87:M87"/>
    <mergeCell ref="L88:M88"/>
    <mergeCell ref="L96:M96"/>
    <mergeCell ref="L97:M97"/>
    <mergeCell ref="L98:M98"/>
    <mergeCell ref="L99:M99"/>
    <mergeCell ref="L100:M100"/>
    <mergeCell ref="L101:M101"/>
    <mergeCell ref="L102:M102"/>
    <mergeCell ref="L89:M89"/>
    <mergeCell ref="L90:M90"/>
    <mergeCell ref="L91:M91"/>
    <mergeCell ref="L92:M92"/>
    <mergeCell ref="L93:M93"/>
    <mergeCell ref="L94:M94"/>
    <mergeCell ref="L95:M95"/>
    <mergeCell ref="G39:K40"/>
    <mergeCell ref="C41:D52"/>
    <mergeCell ref="E41:F52"/>
    <mergeCell ref="G41:K46"/>
    <mergeCell ref="G47:K52"/>
    <mergeCell ref="I57:K61"/>
    <mergeCell ref="I62:K67"/>
    <mergeCell ref="I68:K69"/>
    <mergeCell ref="G70:H74"/>
    <mergeCell ref="I70:K74"/>
    <mergeCell ref="C75:D78"/>
    <mergeCell ref="E75:F77"/>
    <mergeCell ref="E79:F99"/>
    <mergeCell ref="G83:H94"/>
    <mergeCell ref="G95:H99"/>
    <mergeCell ref="E100:F101"/>
    <mergeCell ref="E102:F102"/>
    <mergeCell ref="B8:B102"/>
    <mergeCell ref="C79:D99"/>
    <mergeCell ref="C100:D101"/>
    <mergeCell ref="C102:D102"/>
    <mergeCell ref="B103:B104"/>
    <mergeCell ref="G79:K82"/>
    <mergeCell ref="I83:K87"/>
    <mergeCell ref="I88:K92"/>
    <mergeCell ref="I93:K94"/>
    <mergeCell ref="I95:K99"/>
    <mergeCell ref="G100:K101"/>
    <mergeCell ref="G102:K102"/>
    <mergeCell ref="G6:H7"/>
    <mergeCell ref="I6:K7"/>
    <mergeCell ref="E9:I9"/>
    <mergeCell ref="J9:K9"/>
    <mergeCell ref="J11:K11"/>
    <mergeCell ref="G21:K21"/>
    <mergeCell ref="G75:K77"/>
    <mergeCell ref="E16:F19"/>
    <mergeCell ref="C22:D26"/>
    <mergeCell ref="E22:F22"/>
    <mergeCell ref="E23:F24"/>
    <mergeCell ref="E25:F25"/>
    <mergeCell ref="E26:F26"/>
    <mergeCell ref="G25:K25"/>
    <mergeCell ref="G26:K26"/>
    <mergeCell ref="C27:D32"/>
    <mergeCell ref="E27:F32"/>
    <mergeCell ref="G27:K32"/>
    <mergeCell ref="C34:D38"/>
    <mergeCell ref="E34:F38"/>
    <mergeCell ref="G34:K38"/>
    <mergeCell ref="C39:D40"/>
    <mergeCell ref="E39:F40"/>
    <mergeCell ref="C53:D74"/>
    <mergeCell ref="E53:F74"/>
    <mergeCell ref="G53:K56"/>
    <mergeCell ref="G57:H69"/>
    <mergeCell ref="N53:P53"/>
    <mergeCell ref="N54:P54"/>
    <mergeCell ref="N55:P55"/>
    <mergeCell ref="N56:P56"/>
    <mergeCell ref="N57:P57"/>
    <mergeCell ref="N58:P58"/>
    <mergeCell ref="N59:P59"/>
    <mergeCell ref="N60:P60"/>
    <mergeCell ref="N61:P61"/>
    <mergeCell ref="N62:P62"/>
    <mergeCell ref="N63:P63"/>
    <mergeCell ref="N64:P64"/>
    <mergeCell ref="N65:P65"/>
    <mergeCell ref="N66:P66"/>
    <mergeCell ref="N67:P67"/>
    <mergeCell ref="N68:P68"/>
    <mergeCell ref="N69:P69"/>
    <mergeCell ref="N70:P70"/>
    <mergeCell ref="N71:P71"/>
    <mergeCell ref="N72:P72"/>
    <mergeCell ref="N73:P73"/>
    <mergeCell ref="N74:P74"/>
    <mergeCell ref="N75:P75"/>
    <mergeCell ref="N76:P76"/>
    <mergeCell ref="N77:P77"/>
    <mergeCell ref="E78:P78"/>
    <mergeCell ref="N79:P79"/>
    <mergeCell ref="N80:P80"/>
    <mergeCell ref="N81:P81"/>
    <mergeCell ref="N82:P82"/>
    <mergeCell ref="N83:P83"/>
    <mergeCell ref="N84:P84"/>
    <mergeCell ref="N85:P85"/>
    <mergeCell ref="N86:P86"/>
    <mergeCell ref="N87:P87"/>
    <mergeCell ref="N88:P88"/>
    <mergeCell ref="N89:P89"/>
    <mergeCell ref="N90:P90"/>
    <mergeCell ref="N91:P91"/>
    <mergeCell ref="N92:P92"/>
    <mergeCell ref="N93:P93"/>
    <mergeCell ref="N94:P94"/>
    <mergeCell ref="N102:P102"/>
    <mergeCell ref="C103:P103"/>
    <mergeCell ref="C104:P104"/>
    <mergeCell ref="N95:P95"/>
    <mergeCell ref="N96:P96"/>
    <mergeCell ref="N97:P97"/>
    <mergeCell ref="N98:P98"/>
    <mergeCell ref="N99:P99"/>
    <mergeCell ref="N100:P100"/>
    <mergeCell ref="N101:P101"/>
    <mergeCell ref="L21:M21"/>
    <mergeCell ref="N21:P21"/>
    <mergeCell ref="L22:M22"/>
    <mergeCell ref="N22:P22"/>
    <mergeCell ref="L23:M24"/>
    <mergeCell ref="N23:P24"/>
    <mergeCell ref="N25:P25"/>
    <mergeCell ref="N26:P26"/>
    <mergeCell ref="N27:P27"/>
    <mergeCell ref="L28:M28"/>
    <mergeCell ref="N28:P28"/>
    <mergeCell ref="L29:M29"/>
    <mergeCell ref="N29:P29"/>
    <mergeCell ref="N30:P30"/>
    <mergeCell ref="L30:M30"/>
    <mergeCell ref="L31:M31"/>
    <mergeCell ref="L32:M32"/>
    <mergeCell ref="L34:M34"/>
    <mergeCell ref="L35:M35"/>
    <mergeCell ref="L36:M36"/>
    <mergeCell ref="L37:M37"/>
    <mergeCell ref="N31:P31"/>
    <mergeCell ref="N32:P32"/>
    <mergeCell ref="N34:P34"/>
    <mergeCell ref="N35:P35"/>
    <mergeCell ref="N36:P36"/>
    <mergeCell ref="N37:P37"/>
    <mergeCell ref="N38:P38"/>
    <mergeCell ref="L38:M38"/>
    <mergeCell ref="L39:M39"/>
    <mergeCell ref="L40:M40"/>
    <mergeCell ref="L41:M41"/>
    <mergeCell ref="L42:M42"/>
    <mergeCell ref="L43:M43"/>
    <mergeCell ref="L44:M44"/>
    <mergeCell ref="N39:P39"/>
    <mergeCell ref="N40:P40"/>
    <mergeCell ref="N41:P41"/>
    <mergeCell ref="N42:P42"/>
    <mergeCell ref="N43:P43"/>
    <mergeCell ref="N44:P44"/>
    <mergeCell ref="N45:P45"/>
    <mergeCell ref="N46:P46"/>
    <mergeCell ref="N47:P47"/>
    <mergeCell ref="N48:P48"/>
    <mergeCell ref="N49:P49"/>
    <mergeCell ref="N50:P50"/>
    <mergeCell ref="N51:P51"/>
    <mergeCell ref="N52:P52"/>
  </mergeCells>
  <hyperlinks>
    <hyperlink r:id="rId1" ref="N68"/>
    <hyperlink r:id="rId2" ref="N69"/>
    <hyperlink r:id="rId3" ref="N93"/>
    <hyperlink r:id="rId4" ref="N94"/>
    <hyperlink r:id="rId5" ref="C103"/>
  </hyperlinks>
  <printOptions/>
  <pageMargins bottom="0.75" footer="0.0" header="0.0" left="0.7" right="0.7" top="0.75"/>
  <pageSetup scale="50" orientation="portrait"/>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5"/>
    <col customWidth="1" min="3" max="4" width="16.63"/>
    <col customWidth="1" min="5" max="5" width="7.38"/>
    <col customWidth="1" min="6" max="6" width="8.13"/>
    <col customWidth="1" min="7" max="7" width="14.25"/>
    <col customWidth="1" min="9" max="9" width="12.88"/>
    <col customWidth="1" min="10" max="10" width="23.63"/>
    <col customWidth="1" min="11" max="11" width="48.5"/>
    <col customWidth="1" min="12" max="12" width="8.63"/>
    <col customWidth="1" min="13" max="13" width="12.38"/>
  </cols>
  <sheetData>
    <row r="1">
      <c r="A1" s="22"/>
      <c r="C1" s="27"/>
      <c r="D1" s="27"/>
      <c r="E1" s="27"/>
      <c r="I1" s="34"/>
      <c r="J1" s="34"/>
      <c r="K1" s="38"/>
    </row>
    <row r="2">
      <c r="B2" s="44" t="s">
        <v>22</v>
      </c>
      <c r="C2" s="47" t="s">
        <v>25</v>
      </c>
      <c r="D2" s="50" t="s">
        <v>28</v>
      </c>
      <c r="E2" s="54" t="s">
        <v>30</v>
      </c>
      <c r="F2" s="56"/>
      <c r="H2" s="63" t="s">
        <v>35</v>
      </c>
      <c r="I2" s="66" t="s">
        <v>39</v>
      </c>
      <c r="J2" s="69"/>
      <c r="K2" s="72" t="s">
        <v>46</v>
      </c>
      <c r="L2" s="75" t="s">
        <v>49</v>
      </c>
      <c r="M2" s="80" t="s">
        <v>51</v>
      </c>
      <c r="N2" s="82"/>
      <c r="O2" s="82"/>
      <c r="P2" s="82"/>
      <c r="Q2" s="82"/>
      <c r="R2" s="82"/>
      <c r="S2" s="82"/>
      <c r="T2" s="82"/>
      <c r="U2" s="82"/>
      <c r="V2" s="82"/>
      <c r="W2" s="82"/>
      <c r="X2" s="82"/>
      <c r="Y2" s="82"/>
      <c r="Z2" s="82"/>
      <c r="AA2" s="82"/>
      <c r="AB2" s="82"/>
      <c r="AC2" s="69"/>
      <c r="AD2" s="88"/>
      <c r="AE2" s="88"/>
      <c r="AF2" s="88"/>
      <c r="AG2" s="88"/>
      <c r="AH2" s="88"/>
      <c r="AI2" s="88"/>
      <c r="AJ2" s="88"/>
      <c r="AK2" s="88"/>
      <c r="AL2" s="88"/>
      <c r="AM2" s="88"/>
      <c r="AN2" s="88"/>
      <c r="AO2" s="88"/>
      <c r="AP2" s="88"/>
      <c r="AQ2" s="88"/>
      <c r="AR2" s="88"/>
      <c r="AS2" s="88"/>
      <c r="AT2" s="88"/>
      <c r="AU2" s="88"/>
    </row>
    <row r="3">
      <c r="B3" s="91" t="s">
        <v>61</v>
      </c>
      <c r="C3" s="93"/>
      <c r="D3" s="95"/>
      <c r="E3" s="95"/>
      <c r="F3" s="97"/>
      <c r="H3" s="100" t="s">
        <v>69</v>
      </c>
      <c r="I3" s="102" t="s">
        <v>72</v>
      </c>
      <c r="J3" s="104"/>
      <c r="K3" s="106" t="s">
        <v>78</v>
      </c>
      <c r="L3" s="107">
        <v>1.0</v>
      </c>
      <c r="M3" s="108" t="s">
        <v>84</v>
      </c>
      <c r="N3" s="109"/>
      <c r="O3" s="109"/>
      <c r="P3" s="22"/>
    </row>
    <row r="4">
      <c r="B4" s="114" t="s">
        <v>34</v>
      </c>
      <c r="C4" s="116" t="s">
        <v>93</v>
      </c>
      <c r="D4" s="118"/>
      <c r="E4" s="124" t="b">
        <v>0</v>
      </c>
      <c r="F4" s="125"/>
      <c r="H4" s="126"/>
      <c r="J4" s="104"/>
      <c r="K4" s="128" t="s">
        <v>104</v>
      </c>
      <c r="L4" s="131">
        <v>3.0</v>
      </c>
      <c r="M4" s="132" t="s">
        <v>84</v>
      </c>
      <c r="N4" s="135" t="s">
        <v>52</v>
      </c>
      <c r="O4" s="135" t="s">
        <v>86</v>
      </c>
    </row>
    <row r="5">
      <c r="B5" s="137" t="s">
        <v>48</v>
      </c>
      <c r="C5" s="139" t="s">
        <v>109</v>
      </c>
      <c r="D5" s="141"/>
      <c r="E5" s="144" t="b">
        <v>1</v>
      </c>
      <c r="F5" s="146"/>
      <c r="H5" s="147"/>
      <c r="J5" s="104"/>
      <c r="K5" s="149" t="s">
        <v>115</v>
      </c>
      <c r="L5" s="150">
        <v>6.0</v>
      </c>
      <c r="M5" s="152" t="s">
        <v>56</v>
      </c>
      <c r="N5" s="153" t="s">
        <v>54</v>
      </c>
      <c r="O5" s="153" t="s">
        <v>58</v>
      </c>
      <c r="P5" s="153" t="s">
        <v>43</v>
      </c>
      <c r="Q5" s="153" t="s">
        <v>60</v>
      </c>
      <c r="R5" s="153" t="s">
        <v>79</v>
      </c>
    </row>
    <row r="6">
      <c r="B6" s="157" t="s">
        <v>122</v>
      </c>
      <c r="C6" s="159" t="s">
        <v>124</v>
      </c>
      <c r="D6" s="159" t="s">
        <v>124</v>
      </c>
      <c r="E6" s="144" t="b">
        <v>1</v>
      </c>
      <c r="F6" s="146"/>
      <c r="H6" s="165" t="s">
        <v>144</v>
      </c>
      <c r="I6" s="62"/>
      <c r="J6" s="167"/>
      <c r="K6" s="149" t="s">
        <v>146</v>
      </c>
      <c r="L6" s="131">
        <v>7.0</v>
      </c>
      <c r="M6" s="152" t="s">
        <v>50</v>
      </c>
      <c r="N6" s="153" t="s">
        <v>57</v>
      </c>
      <c r="O6" s="153" t="s">
        <v>45</v>
      </c>
      <c r="P6" s="135" t="s">
        <v>97</v>
      </c>
      <c r="Q6" s="153" t="s">
        <v>95</v>
      </c>
      <c r="R6" s="135" t="s">
        <v>80</v>
      </c>
      <c r="S6" s="135" t="s">
        <v>89</v>
      </c>
    </row>
    <row r="7">
      <c r="B7" s="173" t="s">
        <v>71</v>
      </c>
      <c r="C7" s="175" t="s">
        <v>155</v>
      </c>
      <c r="D7" s="177"/>
      <c r="E7" s="144" t="b">
        <v>1</v>
      </c>
      <c r="F7" s="146"/>
      <c r="H7" s="100" t="s">
        <v>160</v>
      </c>
      <c r="I7" s="181" t="s">
        <v>162</v>
      </c>
      <c r="J7" s="104"/>
      <c r="K7" s="184" t="s">
        <v>78</v>
      </c>
      <c r="L7" s="187">
        <v>1.0</v>
      </c>
      <c r="M7" s="189" t="s">
        <v>67</v>
      </c>
      <c r="N7" s="22"/>
      <c r="O7" s="22"/>
      <c r="P7" s="22"/>
      <c r="Q7" s="22"/>
      <c r="R7" s="109"/>
      <c r="S7" s="109"/>
      <c r="T7" s="109"/>
      <c r="U7" s="27"/>
      <c r="V7" s="109"/>
      <c r="W7" s="109"/>
      <c r="X7" s="22"/>
    </row>
    <row r="8">
      <c r="B8" s="173" t="s">
        <v>168</v>
      </c>
      <c r="C8" s="203" t="s">
        <v>169</v>
      </c>
      <c r="D8" s="203" t="s">
        <v>169</v>
      </c>
      <c r="E8" s="144" t="b">
        <v>1</v>
      </c>
      <c r="F8" s="208"/>
      <c r="H8" s="126"/>
      <c r="I8" s="210"/>
      <c r="J8" s="104"/>
      <c r="K8" s="128" t="s">
        <v>174</v>
      </c>
      <c r="L8" s="150">
        <v>12.0</v>
      </c>
      <c r="M8" s="189" t="s">
        <v>36</v>
      </c>
      <c r="N8" s="214" t="s">
        <v>32</v>
      </c>
      <c r="O8" s="153" t="s">
        <v>74</v>
      </c>
      <c r="P8" s="153" t="s">
        <v>85</v>
      </c>
      <c r="Q8" s="135" t="s">
        <v>37</v>
      </c>
      <c r="R8" s="135" t="s">
        <v>179</v>
      </c>
      <c r="S8" s="135" t="s">
        <v>71</v>
      </c>
      <c r="T8" s="220" t="s">
        <v>53</v>
      </c>
      <c r="U8" s="135" t="s">
        <v>181</v>
      </c>
      <c r="V8" s="135" t="s">
        <v>55</v>
      </c>
      <c r="W8" s="135" t="s">
        <v>90</v>
      </c>
      <c r="X8" s="153" t="s">
        <v>75</v>
      </c>
      <c r="Y8" s="99" t="s">
        <v>185</v>
      </c>
      <c r="Z8" s="135"/>
    </row>
    <row r="9">
      <c r="B9" s="228" t="s">
        <v>42</v>
      </c>
      <c r="C9" s="232" t="s">
        <v>189</v>
      </c>
      <c r="D9" s="236" t="s">
        <v>189</v>
      </c>
      <c r="E9" s="144" t="b">
        <v>1</v>
      </c>
      <c r="F9" s="208"/>
      <c r="H9" s="126"/>
      <c r="I9" s="210"/>
      <c r="J9" s="104"/>
      <c r="K9" s="149" t="s">
        <v>193</v>
      </c>
      <c r="L9" s="150">
        <v>4.0</v>
      </c>
      <c r="M9" s="152" t="s">
        <v>65</v>
      </c>
      <c r="N9" s="152" t="s">
        <v>29</v>
      </c>
      <c r="O9" s="135" t="s">
        <v>81</v>
      </c>
      <c r="P9" s="153" t="s">
        <v>59</v>
      </c>
    </row>
    <row r="10">
      <c r="B10" s="244" t="s">
        <v>36</v>
      </c>
      <c r="C10" s="245" t="s">
        <v>189</v>
      </c>
      <c r="D10" s="249" t="s">
        <v>189</v>
      </c>
      <c r="E10" s="144" t="b">
        <v>1</v>
      </c>
      <c r="F10" s="146"/>
      <c r="H10" s="126"/>
      <c r="I10" s="210"/>
      <c r="J10" s="104"/>
      <c r="K10" s="149" t="s">
        <v>194</v>
      </c>
      <c r="L10" s="131">
        <v>16.0</v>
      </c>
      <c r="M10" s="152" t="s">
        <v>48</v>
      </c>
      <c r="N10" s="214" t="s">
        <v>197</v>
      </c>
      <c r="O10" s="220" t="s">
        <v>63</v>
      </c>
      <c r="P10" s="220" t="s">
        <v>82</v>
      </c>
      <c r="Q10" s="153" t="s">
        <v>34</v>
      </c>
      <c r="R10" s="135" t="s">
        <v>168</v>
      </c>
      <c r="S10" s="135" t="s">
        <v>42</v>
      </c>
      <c r="T10" s="135" t="s">
        <v>199</v>
      </c>
      <c r="U10" s="153" t="s">
        <v>76</v>
      </c>
      <c r="V10" s="135" t="s">
        <v>83</v>
      </c>
      <c r="W10" s="135" t="s">
        <v>181</v>
      </c>
      <c r="X10" s="153" t="s">
        <v>67</v>
      </c>
      <c r="Y10" s="135" t="s">
        <v>92</v>
      </c>
      <c r="Z10" s="153" t="s">
        <v>66</v>
      </c>
      <c r="AA10" s="153" t="s">
        <v>87</v>
      </c>
      <c r="AB10" s="99" t="s">
        <v>77</v>
      </c>
      <c r="AD10" s="257"/>
      <c r="AF10" s="258"/>
      <c r="AG10" s="258"/>
      <c r="AH10" s="258"/>
      <c r="AI10" s="258"/>
      <c r="AJ10" s="258"/>
      <c r="AK10" s="258"/>
      <c r="AL10" s="258"/>
      <c r="AM10" s="258"/>
      <c r="AN10" s="258"/>
      <c r="AO10" s="258"/>
      <c r="AP10" s="258"/>
      <c r="AQ10" s="258"/>
      <c r="AR10" s="258"/>
      <c r="AS10" s="258"/>
      <c r="AT10" s="258"/>
      <c r="AU10" s="258"/>
    </row>
    <row r="11">
      <c r="B11" s="263" t="s">
        <v>40</v>
      </c>
      <c r="C11" s="266"/>
      <c r="D11" s="269"/>
      <c r="E11" s="144" t="b">
        <v>1</v>
      </c>
      <c r="F11" s="146"/>
      <c r="H11" s="126"/>
      <c r="I11" s="210"/>
      <c r="J11" s="104"/>
      <c r="K11" s="149" t="s">
        <v>207</v>
      </c>
      <c r="L11" s="150">
        <v>1.0</v>
      </c>
      <c r="M11" s="152" t="s">
        <v>208</v>
      </c>
      <c r="N11" s="258"/>
      <c r="O11" s="258"/>
    </row>
    <row r="12">
      <c r="B12" s="228" t="s">
        <v>32</v>
      </c>
      <c r="C12" s="277" t="s">
        <v>189</v>
      </c>
      <c r="D12" s="279" t="s">
        <v>189</v>
      </c>
      <c r="E12" s="144" t="b">
        <v>1</v>
      </c>
      <c r="F12" s="146"/>
      <c r="H12" s="147"/>
      <c r="I12" s="231"/>
      <c r="J12" s="167"/>
      <c r="K12" s="281" t="s">
        <v>213</v>
      </c>
      <c r="L12" s="282">
        <v>2.0</v>
      </c>
      <c r="M12" s="152" t="s">
        <v>122</v>
      </c>
      <c r="N12" s="283" t="s">
        <v>62</v>
      </c>
      <c r="O12" s="284"/>
    </row>
    <row r="13">
      <c r="B13" s="228" t="s">
        <v>53</v>
      </c>
      <c r="C13" s="159" t="s">
        <v>215</v>
      </c>
      <c r="D13" s="286"/>
      <c r="E13" s="144" t="b">
        <v>1</v>
      </c>
      <c r="F13" s="208"/>
      <c r="H13" s="165" t="s">
        <v>217</v>
      </c>
      <c r="I13" s="288" t="s">
        <v>218</v>
      </c>
      <c r="J13" s="104"/>
      <c r="K13" s="289" t="s">
        <v>219</v>
      </c>
      <c r="L13" s="291">
        <v>5.0</v>
      </c>
      <c r="M13" s="292" t="s">
        <v>71</v>
      </c>
      <c r="N13" s="135" t="s">
        <v>65</v>
      </c>
      <c r="O13" s="153" t="s">
        <v>81</v>
      </c>
      <c r="P13" s="153" t="s">
        <v>92</v>
      </c>
      <c r="Q13" s="153" t="s">
        <v>76</v>
      </c>
      <c r="R13" s="22"/>
    </row>
    <row r="14">
      <c r="B14" s="228" t="s">
        <v>197</v>
      </c>
      <c r="C14" s="293" t="s">
        <v>222</v>
      </c>
      <c r="D14" s="293" t="s">
        <v>224</v>
      </c>
      <c r="E14" s="144" t="b">
        <v>1</v>
      </c>
      <c r="F14" s="208"/>
      <c r="H14" s="126"/>
      <c r="J14" s="104"/>
      <c r="K14" s="149" t="s">
        <v>225</v>
      </c>
      <c r="L14" s="295">
        <v>1.0</v>
      </c>
      <c r="M14" s="296" t="s">
        <v>42</v>
      </c>
      <c r="N14" s="258"/>
      <c r="O14" s="258"/>
    </row>
    <row r="15">
      <c r="B15" s="173" t="s">
        <v>208</v>
      </c>
      <c r="C15" s="293" t="s">
        <v>222</v>
      </c>
      <c r="D15" s="293" t="s">
        <v>222</v>
      </c>
      <c r="E15" s="144" t="b">
        <v>1</v>
      </c>
      <c r="F15" s="208"/>
      <c r="H15" s="126"/>
      <c r="J15" s="104"/>
      <c r="K15" s="289" t="s">
        <v>229</v>
      </c>
      <c r="L15" s="291">
        <v>7.0</v>
      </c>
      <c r="M15" s="292" t="s">
        <v>32</v>
      </c>
      <c r="N15" s="135" t="s">
        <v>67</v>
      </c>
      <c r="O15" s="153" t="s">
        <v>82</v>
      </c>
      <c r="P15" s="153" t="s">
        <v>83</v>
      </c>
      <c r="Q15" s="135" t="s">
        <v>75</v>
      </c>
      <c r="R15" s="135" t="s">
        <v>63</v>
      </c>
      <c r="S15" s="135" t="s">
        <v>87</v>
      </c>
      <c r="T15" s="109"/>
      <c r="U15" s="109"/>
      <c r="W15" s="109"/>
    </row>
    <row r="16">
      <c r="B16" s="299" t="s">
        <v>199</v>
      </c>
      <c r="C16" s="300" t="s">
        <v>169</v>
      </c>
      <c r="D16" s="300" t="s">
        <v>169</v>
      </c>
      <c r="E16" s="144" t="b">
        <v>1</v>
      </c>
      <c r="F16" s="208"/>
      <c r="H16" s="126"/>
      <c r="J16" s="104"/>
      <c r="K16" s="281" t="s">
        <v>235</v>
      </c>
      <c r="L16" s="295">
        <v>1.0</v>
      </c>
      <c r="M16" s="301" t="s">
        <v>168</v>
      </c>
      <c r="O16" s="302"/>
    </row>
    <row r="17">
      <c r="B17" s="303" t="s">
        <v>37</v>
      </c>
      <c r="C17" s="304" t="s">
        <v>189</v>
      </c>
      <c r="D17" s="305" t="s">
        <v>240</v>
      </c>
      <c r="E17" s="144" t="b">
        <v>1</v>
      </c>
      <c r="F17" s="146"/>
      <c r="H17" s="126"/>
      <c r="J17" s="104"/>
      <c r="K17" s="149" t="s">
        <v>236</v>
      </c>
      <c r="L17" s="306">
        <v>6.0</v>
      </c>
      <c r="M17" s="108" t="s">
        <v>37</v>
      </c>
      <c r="N17" s="153" t="s">
        <v>40</v>
      </c>
      <c r="O17" s="153" t="s">
        <v>29</v>
      </c>
      <c r="P17" s="99" t="s">
        <v>90</v>
      </c>
      <c r="Q17" s="153" t="s">
        <v>243</v>
      </c>
      <c r="R17" s="153" t="s">
        <v>66</v>
      </c>
      <c r="S17" s="153"/>
      <c r="T17" s="153"/>
    </row>
    <row r="18">
      <c r="B18" s="244" t="s">
        <v>67</v>
      </c>
      <c r="C18" s="177"/>
      <c r="D18" s="309"/>
      <c r="E18" s="144" t="b">
        <v>1</v>
      </c>
      <c r="F18" s="146"/>
      <c r="H18" s="126"/>
      <c r="J18" s="104"/>
      <c r="K18" s="281" t="s">
        <v>246</v>
      </c>
      <c r="L18" s="295">
        <v>1.0</v>
      </c>
      <c r="M18" s="301" t="s">
        <v>53</v>
      </c>
    </row>
    <row r="19">
      <c r="B19" s="173" t="s">
        <v>181</v>
      </c>
      <c r="C19" s="95"/>
      <c r="D19" s="313" t="s">
        <v>222</v>
      </c>
      <c r="E19" s="144" t="b">
        <v>1</v>
      </c>
      <c r="F19" s="146"/>
      <c r="H19" s="126"/>
      <c r="J19" s="104"/>
      <c r="K19" s="149" t="s">
        <v>249</v>
      </c>
      <c r="L19" s="291">
        <v>5.0</v>
      </c>
      <c r="M19" s="214" t="s">
        <v>181</v>
      </c>
      <c r="N19" s="153" t="s">
        <v>48</v>
      </c>
      <c r="O19" s="99" t="s">
        <v>55</v>
      </c>
      <c r="P19" s="153" t="s">
        <v>74</v>
      </c>
      <c r="Q19" s="153" t="s">
        <v>85</v>
      </c>
      <c r="R19" s="22"/>
      <c r="S19" s="22"/>
      <c r="T19" s="22"/>
      <c r="U19" s="22"/>
      <c r="V19" s="22"/>
      <c r="W19" s="22"/>
      <c r="X19" s="22"/>
    </row>
    <row r="20">
      <c r="B20" s="228" t="s">
        <v>29</v>
      </c>
      <c r="C20" s="317" t="s">
        <v>189</v>
      </c>
      <c r="D20" s="317" t="s">
        <v>189</v>
      </c>
      <c r="E20" s="144" t="b">
        <v>1</v>
      </c>
      <c r="F20" s="208"/>
      <c r="H20" s="126"/>
      <c r="J20" s="104"/>
      <c r="K20" s="281" t="s">
        <v>253</v>
      </c>
      <c r="L20" s="295">
        <v>1.0</v>
      </c>
      <c r="M20" s="301" t="s">
        <v>199</v>
      </c>
    </row>
    <row r="21">
      <c r="B21" s="263" t="s">
        <v>65</v>
      </c>
      <c r="C21" s="318"/>
      <c r="D21" s="319" t="s">
        <v>256</v>
      </c>
      <c r="E21" s="144" t="b">
        <v>1</v>
      </c>
      <c r="F21" s="146"/>
      <c r="H21" s="126"/>
      <c r="J21" s="104"/>
      <c r="K21" s="149" t="s">
        <v>244</v>
      </c>
      <c r="L21" s="258">
        <v>4.0</v>
      </c>
      <c r="M21" s="320" t="s">
        <v>208</v>
      </c>
      <c r="N21" s="301" t="s">
        <v>197</v>
      </c>
      <c r="O21" s="301" t="s">
        <v>36</v>
      </c>
      <c r="P21" s="301" t="s">
        <v>67</v>
      </c>
    </row>
    <row r="22">
      <c r="B22" s="322" t="s">
        <v>81</v>
      </c>
      <c r="C22" s="323"/>
      <c r="D22" s="318"/>
      <c r="E22" s="144" t="b">
        <v>1</v>
      </c>
      <c r="F22" s="208"/>
      <c r="H22" s="147"/>
      <c r="I22" s="62"/>
      <c r="J22" s="167"/>
      <c r="K22" s="325" t="s">
        <v>241</v>
      </c>
      <c r="L22" s="327">
        <v>2.0</v>
      </c>
      <c r="M22" s="292" t="s">
        <v>122</v>
      </c>
      <c r="N22" s="328" t="s">
        <v>62</v>
      </c>
      <c r="O22" s="258"/>
      <c r="P22" s="258"/>
      <c r="Q22" s="258"/>
      <c r="R22" s="258"/>
      <c r="S22" s="258"/>
      <c r="T22" s="258"/>
      <c r="U22" s="258"/>
      <c r="V22" s="258"/>
      <c r="W22" s="258"/>
      <c r="X22" s="258"/>
      <c r="Y22" s="258"/>
      <c r="Z22" s="258"/>
      <c r="AA22" s="258"/>
      <c r="AB22" s="258"/>
      <c r="AC22" s="258"/>
      <c r="AD22" s="258"/>
      <c r="AE22" s="258"/>
      <c r="AF22" s="258"/>
      <c r="AG22" s="258"/>
      <c r="AH22" s="258"/>
      <c r="AI22" s="258"/>
      <c r="AJ22" s="258"/>
      <c r="AK22" s="258"/>
      <c r="AL22" s="258"/>
      <c r="AM22" s="258"/>
      <c r="AN22" s="258"/>
      <c r="AO22" s="258"/>
      <c r="AP22" s="258"/>
      <c r="AQ22" s="258"/>
      <c r="AR22" s="258"/>
      <c r="AS22" s="258"/>
      <c r="AT22" s="258"/>
      <c r="AU22" s="258"/>
    </row>
    <row r="23" ht="15.75" customHeight="1">
      <c r="B23" s="329" t="s">
        <v>83</v>
      </c>
      <c r="C23" s="330"/>
      <c r="D23" s="144" t="s">
        <v>215</v>
      </c>
      <c r="E23" s="144" t="b">
        <v>1</v>
      </c>
      <c r="F23" s="332"/>
      <c r="G23" s="333" t="s">
        <v>270</v>
      </c>
      <c r="H23" s="100" t="s">
        <v>272</v>
      </c>
      <c r="I23" s="334" t="s">
        <v>274</v>
      </c>
      <c r="J23" s="104"/>
      <c r="K23" s="336" t="s">
        <v>276</v>
      </c>
      <c r="L23" s="337">
        <v>10.0</v>
      </c>
      <c r="M23" s="338" t="s">
        <v>43</v>
      </c>
      <c r="N23" s="328" t="s">
        <v>45</v>
      </c>
      <c r="O23" s="328" t="s">
        <v>52</v>
      </c>
      <c r="P23" s="328" t="s">
        <v>50</v>
      </c>
      <c r="Q23" s="283" t="s">
        <v>80</v>
      </c>
      <c r="R23" s="328" t="s">
        <v>97</v>
      </c>
      <c r="S23" s="328" t="s">
        <v>79</v>
      </c>
      <c r="T23" s="328" t="s">
        <v>77</v>
      </c>
      <c r="U23" s="328" t="s">
        <v>89</v>
      </c>
      <c r="V23" s="153" t="s">
        <v>96</v>
      </c>
      <c r="AN23" s="258"/>
      <c r="AO23" s="258"/>
      <c r="AP23" s="258"/>
      <c r="AQ23" s="258"/>
      <c r="AR23" s="258"/>
      <c r="AS23" s="258"/>
      <c r="AT23" s="258"/>
      <c r="AU23" s="258"/>
    </row>
    <row r="24" ht="15.75" customHeight="1">
      <c r="B24" s="329" t="s">
        <v>62</v>
      </c>
      <c r="C24" s="339"/>
      <c r="D24" s="319" t="s">
        <v>256</v>
      </c>
      <c r="E24" s="144" t="b">
        <v>1</v>
      </c>
      <c r="F24" s="208"/>
      <c r="H24" s="126"/>
      <c r="I24" s="210"/>
      <c r="J24" s="104"/>
      <c r="K24" s="261" t="s">
        <v>283</v>
      </c>
      <c r="L24" s="150">
        <v>2.0</v>
      </c>
      <c r="M24" s="340" t="s">
        <v>71</v>
      </c>
      <c r="N24" s="341" t="s">
        <v>75</v>
      </c>
      <c r="O24" s="302"/>
      <c r="P24" s="302"/>
      <c r="Q24" s="342"/>
      <c r="R24" s="342"/>
      <c r="S24" s="342"/>
      <c r="T24" s="342"/>
      <c r="AN24" s="258"/>
      <c r="AO24" s="258"/>
      <c r="AP24" s="258"/>
      <c r="AQ24" s="258"/>
      <c r="AR24" s="258"/>
      <c r="AS24" s="258"/>
      <c r="AT24" s="258"/>
      <c r="AU24" s="258"/>
    </row>
    <row r="25" ht="15.75" customHeight="1">
      <c r="B25" s="343" t="s">
        <v>63</v>
      </c>
      <c r="C25" s="286"/>
      <c r="D25" s="344" t="s">
        <v>287</v>
      </c>
      <c r="E25" s="144" t="b">
        <v>1</v>
      </c>
      <c r="F25" s="345"/>
      <c r="H25" s="126"/>
      <c r="I25" s="210"/>
      <c r="J25" s="104"/>
      <c r="K25" s="106" t="s">
        <v>289</v>
      </c>
      <c r="L25" s="150">
        <v>2.0</v>
      </c>
      <c r="M25" s="340" t="s">
        <v>84</v>
      </c>
      <c r="N25" s="341" t="s">
        <v>86</v>
      </c>
      <c r="O25" s="302"/>
      <c r="P25" s="302"/>
      <c r="Q25" s="342"/>
      <c r="R25" s="342"/>
      <c r="S25" s="342"/>
      <c r="T25" s="342"/>
      <c r="AN25" s="258"/>
      <c r="AO25" s="258"/>
      <c r="AP25" s="258"/>
      <c r="AQ25" s="258"/>
      <c r="AR25" s="258"/>
      <c r="AS25" s="258"/>
      <c r="AT25" s="258"/>
      <c r="AU25" s="258"/>
    </row>
    <row r="26" ht="15.75" customHeight="1">
      <c r="B26" s="349" t="s">
        <v>55</v>
      </c>
      <c r="D26" s="350" t="s">
        <v>291</v>
      </c>
      <c r="E26" s="144" t="b">
        <v>1</v>
      </c>
      <c r="F26" s="208"/>
      <c r="H26" s="126"/>
      <c r="I26" s="210"/>
      <c r="J26" s="104"/>
      <c r="K26" s="261" t="s">
        <v>292</v>
      </c>
      <c r="L26" s="150">
        <v>3.0</v>
      </c>
      <c r="M26" s="340" t="s">
        <v>197</v>
      </c>
      <c r="N26" s="341" t="s">
        <v>74</v>
      </c>
      <c r="O26" s="341" t="s">
        <v>37</v>
      </c>
      <c r="P26" s="302"/>
      <c r="Q26" s="342"/>
      <c r="R26" s="342"/>
      <c r="S26" s="342"/>
      <c r="T26" s="342"/>
      <c r="AN26" s="258"/>
      <c r="AO26" s="258"/>
      <c r="AP26" s="258"/>
      <c r="AQ26" s="258"/>
      <c r="AR26" s="258"/>
      <c r="AS26" s="258"/>
      <c r="AT26" s="258"/>
      <c r="AU26" s="258"/>
    </row>
    <row r="27" ht="15.75" customHeight="1">
      <c r="B27" s="356" t="s">
        <v>74</v>
      </c>
      <c r="C27" s="357"/>
      <c r="D27" s="358"/>
      <c r="E27" s="144" t="b">
        <v>1</v>
      </c>
      <c r="F27" s="146"/>
      <c r="H27" s="126"/>
      <c r="I27" s="210"/>
      <c r="J27" s="104"/>
      <c r="K27" s="261" t="s">
        <v>295</v>
      </c>
      <c r="L27" s="150">
        <v>3.0</v>
      </c>
      <c r="M27" s="340" t="s">
        <v>181</v>
      </c>
      <c r="N27" s="328" t="s">
        <v>63</v>
      </c>
      <c r="O27" s="328" t="s">
        <v>59</v>
      </c>
      <c r="P27" s="342"/>
      <c r="Q27" s="342"/>
      <c r="R27" s="342"/>
      <c r="S27" s="342"/>
      <c r="T27" s="342"/>
      <c r="AN27" s="258"/>
      <c r="AO27" s="258"/>
      <c r="AP27" s="258"/>
      <c r="AQ27" s="258"/>
      <c r="AR27" s="258"/>
      <c r="AS27" s="258"/>
      <c r="AT27" s="258"/>
      <c r="AU27" s="258"/>
    </row>
    <row r="28" ht="15.75" customHeight="1">
      <c r="B28" s="359" t="s">
        <v>90</v>
      </c>
      <c r="C28" s="318"/>
      <c r="D28" s="360"/>
      <c r="E28" s="144" t="b">
        <v>1</v>
      </c>
      <c r="F28" s="146"/>
      <c r="H28" s="126"/>
      <c r="I28" s="210"/>
      <c r="J28" s="104"/>
      <c r="K28" s="261" t="s">
        <v>299</v>
      </c>
      <c r="L28" s="150">
        <v>2.0</v>
      </c>
      <c r="M28" s="292" t="s">
        <v>42</v>
      </c>
      <c r="N28" s="328" t="s">
        <v>53</v>
      </c>
      <c r="O28" s="258"/>
      <c r="P28" s="258"/>
      <c r="Q28" s="258"/>
      <c r="R28" s="258"/>
      <c r="S28" s="258"/>
      <c r="T28" s="258"/>
      <c r="U28" s="258"/>
      <c r="V28" s="258"/>
      <c r="W28" s="258"/>
      <c r="X28" s="258"/>
      <c r="Y28" s="258"/>
      <c r="Z28" s="258"/>
      <c r="AA28" s="258"/>
      <c r="AB28" s="258"/>
      <c r="AC28" s="258"/>
      <c r="AD28" s="258"/>
      <c r="AE28" s="258"/>
      <c r="AF28" s="258"/>
      <c r="AG28" s="258"/>
      <c r="AH28" s="258"/>
      <c r="AI28" s="258"/>
      <c r="AJ28" s="258"/>
      <c r="AK28" s="258"/>
      <c r="AL28" s="258"/>
      <c r="AM28" s="258"/>
      <c r="AN28" s="258"/>
      <c r="AO28" s="258"/>
      <c r="AP28" s="258"/>
      <c r="AQ28" s="258"/>
      <c r="AR28" s="258"/>
      <c r="AS28" s="258"/>
      <c r="AT28" s="258"/>
      <c r="AU28" s="258"/>
    </row>
    <row r="29" ht="15.75" customHeight="1">
      <c r="B29" s="361" t="s">
        <v>75</v>
      </c>
      <c r="C29" s="319"/>
      <c r="D29" s="362"/>
      <c r="E29" s="144" t="b">
        <v>1</v>
      </c>
      <c r="F29" s="146"/>
      <c r="H29" s="147"/>
      <c r="I29" s="231"/>
      <c r="J29" s="167"/>
      <c r="K29" s="364" t="s">
        <v>304</v>
      </c>
      <c r="L29" s="366" t="s">
        <v>267</v>
      </c>
      <c r="M29" s="258" t="s">
        <v>267</v>
      </c>
      <c r="N29" s="258"/>
      <c r="O29" s="258"/>
      <c r="P29" s="258"/>
      <c r="Q29" s="258"/>
      <c r="R29" s="22"/>
      <c r="S29" s="22"/>
      <c r="T29" s="22"/>
      <c r="U29" s="22"/>
      <c r="V29" s="22"/>
    </row>
    <row r="30" ht="15.75" customHeight="1">
      <c r="B30" s="356" t="s">
        <v>92</v>
      </c>
      <c r="C30" s="177"/>
      <c r="D30" s="368"/>
      <c r="E30" s="144" t="b">
        <v>1</v>
      </c>
      <c r="F30" s="146"/>
      <c r="H30" s="100" t="s">
        <v>309</v>
      </c>
      <c r="I30" s="334" t="s">
        <v>264</v>
      </c>
      <c r="J30" s="104"/>
      <c r="K30" s="106" t="s">
        <v>312</v>
      </c>
      <c r="L30" s="372">
        <v>4.0</v>
      </c>
      <c r="M30" s="374" t="s">
        <v>84</v>
      </c>
      <c r="N30" s="376" t="s">
        <v>86</v>
      </c>
      <c r="O30" s="376" t="s">
        <v>122</v>
      </c>
      <c r="P30" s="376" t="s">
        <v>52</v>
      </c>
      <c r="Q30" s="378"/>
      <c r="R30" s="378"/>
      <c r="S30" s="378"/>
      <c r="T30" s="378"/>
      <c r="U30" s="378"/>
      <c r="V30" s="378"/>
      <c r="W30" s="378"/>
      <c r="X30" s="109"/>
    </row>
    <row r="31" ht="15.75" customHeight="1">
      <c r="B31" s="381" t="s">
        <v>59</v>
      </c>
      <c r="C31" s="362"/>
      <c r="D31" s="383"/>
      <c r="E31" s="144" t="b">
        <v>1</v>
      </c>
      <c r="F31" s="146"/>
      <c r="H31" s="126"/>
      <c r="I31" s="210"/>
      <c r="J31" s="104"/>
      <c r="K31" s="387" t="s">
        <v>322</v>
      </c>
      <c r="L31" s="389">
        <v>10.0</v>
      </c>
      <c r="M31" s="391" t="s">
        <v>29</v>
      </c>
      <c r="N31" s="391" t="s">
        <v>43</v>
      </c>
      <c r="O31" s="393" t="s">
        <v>32</v>
      </c>
      <c r="P31" s="393" t="s">
        <v>48</v>
      </c>
      <c r="Q31" s="396" t="s">
        <v>36</v>
      </c>
      <c r="R31" s="396" t="s">
        <v>52</v>
      </c>
      <c r="S31" s="398" t="s">
        <v>37</v>
      </c>
      <c r="T31" s="398" t="s">
        <v>54</v>
      </c>
      <c r="U31" s="400" t="s">
        <v>42</v>
      </c>
      <c r="V31" s="400" t="s">
        <v>67</v>
      </c>
      <c r="W31" s="109"/>
      <c r="X31" s="109"/>
    </row>
    <row r="32" ht="15.75" customHeight="1">
      <c r="B32" s="356" t="s">
        <v>66</v>
      </c>
      <c r="C32" s="318"/>
      <c r="D32" s="407"/>
      <c r="E32" s="144" t="b">
        <v>1</v>
      </c>
      <c r="F32" s="146"/>
      <c r="H32" s="147"/>
      <c r="I32" s="231"/>
      <c r="J32" s="167"/>
      <c r="K32" s="413" t="s">
        <v>267</v>
      </c>
      <c r="L32" s="416" t="s">
        <v>267</v>
      </c>
      <c r="M32" s="419" t="s">
        <v>267</v>
      </c>
      <c r="N32" s="109"/>
      <c r="O32" s="109"/>
      <c r="P32" s="109"/>
      <c r="Q32" s="109"/>
      <c r="R32" s="109"/>
      <c r="S32" s="109"/>
      <c r="T32" s="109"/>
      <c r="U32" s="109"/>
      <c r="V32" s="109"/>
      <c r="W32" s="109"/>
    </row>
    <row r="33" ht="15.75" customHeight="1">
      <c r="B33" s="361" t="s">
        <v>87</v>
      </c>
      <c r="C33" s="139" t="s">
        <v>109</v>
      </c>
      <c r="D33" s="427"/>
      <c r="E33" s="144" t="b">
        <v>1</v>
      </c>
      <c r="F33" s="429"/>
      <c r="H33" s="165" t="s">
        <v>357</v>
      </c>
      <c r="I33" s="334" t="s">
        <v>360</v>
      </c>
      <c r="J33" s="104"/>
      <c r="K33" s="149" t="s">
        <v>364</v>
      </c>
      <c r="L33" s="439">
        <v>2.0</v>
      </c>
      <c r="M33" s="153" t="s">
        <v>67</v>
      </c>
      <c r="N33" s="153" t="s">
        <v>79</v>
      </c>
    </row>
    <row r="34" ht="15.75" customHeight="1">
      <c r="B34" s="445" t="s">
        <v>368</v>
      </c>
      <c r="C34" s="447"/>
      <c r="D34" s="449"/>
      <c r="E34" s="124" t="b">
        <v>0</v>
      </c>
      <c r="F34" s="451"/>
      <c r="H34" s="126"/>
      <c r="I34" s="210"/>
      <c r="J34" s="104"/>
      <c r="K34" s="149" t="s">
        <v>277</v>
      </c>
      <c r="L34" s="439">
        <v>2.0</v>
      </c>
      <c r="M34" s="453" t="s">
        <v>199</v>
      </c>
      <c r="N34" s="22" t="s">
        <v>168</v>
      </c>
      <c r="S34" s="22"/>
    </row>
    <row r="35" ht="15.75" customHeight="1">
      <c r="B35" s="359" t="s">
        <v>82</v>
      </c>
      <c r="C35" s="344" t="s">
        <v>287</v>
      </c>
      <c r="D35" s="456"/>
      <c r="E35" s="144" t="b">
        <v>1</v>
      </c>
      <c r="F35" s="208"/>
      <c r="H35" s="126"/>
      <c r="I35" s="210"/>
      <c r="J35" s="104"/>
      <c r="K35" s="149" t="s">
        <v>279</v>
      </c>
      <c r="L35" s="439">
        <v>5.0</v>
      </c>
      <c r="M35" s="391" t="s">
        <v>29</v>
      </c>
      <c r="N35" s="393" t="s">
        <v>32</v>
      </c>
      <c r="O35" s="396" t="s">
        <v>36</v>
      </c>
      <c r="P35" s="398" t="s">
        <v>37</v>
      </c>
      <c r="Q35" s="400" t="s">
        <v>42</v>
      </c>
      <c r="S35" s="22"/>
    </row>
    <row r="36" ht="15.75" customHeight="1">
      <c r="B36" s="460" t="s">
        <v>76</v>
      </c>
      <c r="C36" s="461" t="s">
        <v>256</v>
      </c>
      <c r="D36" s="463"/>
      <c r="E36" s="144" t="b">
        <v>1</v>
      </c>
      <c r="F36" s="146"/>
      <c r="H36" s="126"/>
      <c r="I36" s="210"/>
      <c r="J36" s="104"/>
      <c r="K36" s="149" t="s">
        <v>387</v>
      </c>
      <c r="L36" s="467">
        <v>1.0</v>
      </c>
      <c r="M36" s="453" t="s">
        <v>97</v>
      </c>
      <c r="N36" s="153"/>
      <c r="S36" s="22"/>
      <c r="W36" s="22"/>
    </row>
    <row r="37" ht="15.75" customHeight="1">
      <c r="B37" s="356" t="s">
        <v>85</v>
      </c>
      <c r="C37" s="344" t="s">
        <v>287</v>
      </c>
      <c r="D37" s="474"/>
      <c r="E37" s="144" t="b">
        <v>1</v>
      </c>
      <c r="F37" s="146"/>
      <c r="H37" s="126"/>
      <c r="I37" s="210"/>
      <c r="J37" s="104"/>
      <c r="K37" s="128" t="s">
        <v>236</v>
      </c>
      <c r="L37" s="439"/>
      <c r="M37" s="475"/>
      <c r="N37" s="22"/>
      <c r="S37" s="22"/>
      <c r="T37" s="22"/>
      <c r="U37" s="22"/>
      <c r="V37" s="22"/>
      <c r="W37" s="22"/>
      <c r="X37" s="22"/>
    </row>
    <row r="38" ht="15.75" customHeight="1">
      <c r="B38" s="356" t="s">
        <v>399</v>
      </c>
      <c r="C38" s="323"/>
      <c r="D38" s="383"/>
      <c r="E38" s="144"/>
      <c r="F38" s="146"/>
      <c r="H38" s="126"/>
      <c r="I38" s="210"/>
      <c r="J38" s="104"/>
      <c r="K38" s="149" t="s">
        <v>284</v>
      </c>
      <c r="L38" s="439">
        <v>2.0</v>
      </c>
      <c r="M38" s="482" t="s">
        <v>208</v>
      </c>
      <c r="N38" s="153" t="s">
        <v>197</v>
      </c>
      <c r="S38" s="22"/>
      <c r="T38" s="22"/>
      <c r="U38" s="22"/>
      <c r="V38" s="22"/>
      <c r="W38" s="22"/>
      <c r="X38" s="22"/>
    </row>
    <row r="39" ht="15.75" customHeight="1">
      <c r="F39" s="486"/>
      <c r="H39" s="126"/>
      <c r="I39" s="210"/>
      <c r="J39" s="104"/>
      <c r="K39" s="149" t="s">
        <v>286</v>
      </c>
      <c r="L39" s="439">
        <v>5.0</v>
      </c>
      <c r="M39" s="490" t="s">
        <v>36</v>
      </c>
      <c r="N39" s="153" t="s">
        <v>54</v>
      </c>
      <c r="O39" s="153" t="s">
        <v>83</v>
      </c>
      <c r="P39" s="153" t="s">
        <v>48</v>
      </c>
      <c r="Q39" s="153" t="s">
        <v>43</v>
      </c>
      <c r="S39" s="22"/>
      <c r="T39" s="22"/>
      <c r="U39" s="22"/>
      <c r="V39" s="22"/>
      <c r="W39" s="22"/>
      <c r="X39" s="22"/>
    </row>
    <row r="40" ht="15.75" customHeight="1">
      <c r="B40" s="491" t="s">
        <v>417</v>
      </c>
      <c r="C40" s="492"/>
      <c r="D40" s="492"/>
      <c r="E40" s="339"/>
      <c r="F40" s="494"/>
      <c r="H40" s="126"/>
      <c r="I40" s="210"/>
      <c r="J40" s="104"/>
      <c r="K40" s="149"/>
      <c r="L40" s="439"/>
      <c r="M40" s="22"/>
      <c r="N40" s="22"/>
      <c r="O40" s="22"/>
      <c r="P40" s="258"/>
      <c r="Q40" s="258"/>
      <c r="R40" s="22"/>
      <c r="S40" s="22"/>
      <c r="T40" s="22"/>
      <c r="U40" s="22"/>
      <c r="V40" s="22"/>
      <c r="W40" s="22"/>
      <c r="X40" s="22"/>
      <c r="Y40" s="22"/>
      <c r="Z40" s="22"/>
      <c r="AA40" s="22"/>
      <c r="AB40" s="22"/>
      <c r="AC40" s="22"/>
    </row>
    <row r="41" ht="15.75" customHeight="1">
      <c r="B41" s="500" t="s">
        <v>57</v>
      </c>
      <c r="C41" s="177"/>
      <c r="D41" s="139" t="s">
        <v>109</v>
      </c>
      <c r="E41" s="144" t="b">
        <v>1</v>
      </c>
      <c r="F41" s="146"/>
      <c r="H41" s="147"/>
      <c r="I41" s="231"/>
      <c r="J41" s="167"/>
      <c r="K41" s="149" t="s">
        <v>433</v>
      </c>
      <c r="L41" s="439">
        <v>29.0</v>
      </c>
      <c r="M41" s="504" t="s">
        <v>435</v>
      </c>
      <c r="N41" s="504"/>
      <c r="O41" s="504"/>
      <c r="P41" s="505"/>
      <c r="Q41" s="505"/>
      <c r="R41" s="504"/>
      <c r="S41" s="504"/>
      <c r="T41" s="504"/>
      <c r="U41" s="504"/>
      <c r="V41" s="504"/>
      <c r="W41" s="504"/>
      <c r="X41" s="504"/>
      <c r="Y41" s="504"/>
      <c r="Z41" s="504"/>
      <c r="AA41" s="504"/>
      <c r="AB41" s="504"/>
      <c r="AC41" s="504"/>
    </row>
    <row r="42" ht="60.75" customHeight="1">
      <c r="B42" s="510" t="s">
        <v>58</v>
      </c>
      <c r="C42" s="357"/>
      <c r="D42" s="360"/>
      <c r="E42" s="144" t="b">
        <v>1</v>
      </c>
      <c r="F42" s="146"/>
      <c r="H42" s="334" t="s">
        <v>444</v>
      </c>
      <c r="I42" s="512" t="s">
        <v>445</v>
      </c>
      <c r="J42" s="104"/>
      <c r="K42" s="515" t="s">
        <v>447</v>
      </c>
      <c r="L42" s="82"/>
      <c r="M42" s="82"/>
      <c r="N42" s="82"/>
      <c r="O42" s="82"/>
      <c r="P42" s="504"/>
      <c r="Q42" s="504"/>
      <c r="R42" s="504"/>
      <c r="S42" s="504"/>
      <c r="T42" s="504"/>
      <c r="U42" s="504"/>
      <c r="V42" s="504"/>
      <c r="W42" s="504"/>
      <c r="X42" s="504"/>
      <c r="Y42" s="504"/>
      <c r="Z42" s="504"/>
      <c r="AA42" s="504"/>
      <c r="AB42" s="504"/>
      <c r="AC42" s="504"/>
    </row>
    <row r="43" ht="15.75" customHeight="1">
      <c r="B43" s="500" t="s">
        <v>50</v>
      </c>
      <c r="C43" s="492"/>
      <c r="D43" s="344" t="s">
        <v>287</v>
      </c>
      <c r="E43" s="144" t="b">
        <v>1</v>
      </c>
      <c r="F43" s="146"/>
      <c r="H43" s="210"/>
      <c r="I43" s="210"/>
      <c r="J43" s="104"/>
      <c r="K43" s="518" t="s">
        <v>455</v>
      </c>
      <c r="L43" s="519">
        <v>2.0</v>
      </c>
      <c r="M43" s="153" t="s">
        <v>208</v>
      </c>
      <c r="N43" s="153" t="s">
        <v>197</v>
      </c>
    </row>
    <row r="44" ht="15.75" customHeight="1">
      <c r="B44" s="500"/>
      <c r="C44" s="492"/>
      <c r="D44" s="344"/>
      <c r="E44" s="144" t="b">
        <v>0</v>
      </c>
      <c r="F44" s="146"/>
      <c r="H44" s="210"/>
      <c r="I44" s="210"/>
      <c r="J44" s="104"/>
      <c r="K44" s="522" t="s">
        <v>459</v>
      </c>
      <c r="L44" s="524">
        <v>2.0</v>
      </c>
      <c r="M44" s="153" t="s">
        <v>84</v>
      </c>
      <c r="N44" s="153" t="s">
        <v>122</v>
      </c>
    </row>
    <row r="45" ht="15.75" customHeight="1">
      <c r="B45" s="500" t="s">
        <v>43</v>
      </c>
      <c r="C45" s="461"/>
      <c r="D45" s="526" t="s">
        <v>291</v>
      </c>
      <c r="E45" s="144" t="b">
        <v>1</v>
      </c>
      <c r="F45" s="146"/>
      <c r="H45" s="210"/>
      <c r="I45" s="210"/>
      <c r="J45" s="104"/>
      <c r="K45" s="128" t="s">
        <v>287</v>
      </c>
      <c r="L45" s="528">
        <v>2.0</v>
      </c>
      <c r="M45" s="153" t="s">
        <v>82</v>
      </c>
      <c r="N45" s="153" t="s">
        <v>85</v>
      </c>
      <c r="O45" s="153"/>
    </row>
    <row r="46" ht="15.75" customHeight="1">
      <c r="B46" s="530" t="s">
        <v>45</v>
      </c>
      <c r="C46" s="362"/>
      <c r="D46" s="531"/>
      <c r="E46" s="144" t="b">
        <v>1</v>
      </c>
      <c r="F46" s="146"/>
      <c r="H46" s="210"/>
      <c r="I46" s="210"/>
      <c r="J46" s="104"/>
      <c r="K46" s="149" t="s">
        <v>307</v>
      </c>
      <c r="L46" s="528">
        <v>2.0</v>
      </c>
      <c r="M46" s="153" t="s">
        <v>56</v>
      </c>
      <c r="N46" s="153" t="s">
        <v>86</v>
      </c>
      <c r="O46" s="153"/>
    </row>
    <row r="47" ht="15.75" customHeight="1">
      <c r="B47" s="534" t="s">
        <v>52</v>
      </c>
      <c r="C47" s="93"/>
      <c r="D47" s="269"/>
      <c r="E47" s="144" t="b">
        <v>1</v>
      </c>
      <c r="F47" s="146"/>
      <c r="H47" s="210"/>
      <c r="I47" s="210"/>
      <c r="J47" s="104"/>
      <c r="K47" s="149" t="s">
        <v>310</v>
      </c>
      <c r="L47" s="524">
        <v>2.0</v>
      </c>
      <c r="M47" s="153" t="s">
        <v>48</v>
      </c>
      <c r="N47" s="153" t="s">
        <v>79</v>
      </c>
      <c r="P47" s="22"/>
      <c r="Q47" s="22"/>
      <c r="R47" s="22"/>
      <c r="S47" s="22"/>
    </row>
    <row r="48" ht="15.75" customHeight="1">
      <c r="B48" s="536" t="s">
        <v>84</v>
      </c>
      <c r="C48" s="159" t="s">
        <v>124</v>
      </c>
      <c r="D48" s="159" t="s">
        <v>124</v>
      </c>
      <c r="E48" s="144" t="b">
        <v>1</v>
      </c>
      <c r="F48" s="146"/>
      <c r="H48" s="210"/>
      <c r="I48" s="231"/>
      <c r="J48" s="167"/>
      <c r="K48" s="539" t="s">
        <v>483</v>
      </c>
      <c r="L48" s="540">
        <v>2.0</v>
      </c>
      <c r="M48" s="541" t="s">
        <v>53</v>
      </c>
      <c r="N48" s="541" t="s">
        <v>80</v>
      </c>
      <c r="O48" s="542"/>
      <c r="P48" s="504"/>
      <c r="Q48" s="504"/>
      <c r="R48" s="504"/>
      <c r="S48" s="504"/>
      <c r="T48" s="504"/>
      <c r="U48" s="504"/>
      <c r="V48" s="504"/>
      <c r="W48" s="504"/>
      <c r="X48" s="504"/>
      <c r="Y48" s="504"/>
      <c r="Z48" s="504"/>
      <c r="AA48" s="504"/>
      <c r="AB48" s="504"/>
      <c r="AC48" s="504"/>
    </row>
    <row r="49" ht="14.25" customHeight="1">
      <c r="B49" s="546" t="s">
        <v>54</v>
      </c>
      <c r="C49" s="360"/>
      <c r="D49" s="318"/>
      <c r="E49" s="144" t="b">
        <v>1</v>
      </c>
      <c r="F49" s="146"/>
      <c r="H49" s="210"/>
      <c r="I49" s="548" t="s">
        <v>492</v>
      </c>
      <c r="J49" s="549" t="s">
        <v>495</v>
      </c>
      <c r="K49" s="149" t="s">
        <v>317</v>
      </c>
      <c r="L49" s="439">
        <v>1.0</v>
      </c>
      <c r="M49" s="328" t="s">
        <v>48</v>
      </c>
      <c r="N49" s="22"/>
      <c r="O49" s="550"/>
    </row>
    <row r="50" ht="15.75" customHeight="1">
      <c r="B50" s="546" t="s">
        <v>56</v>
      </c>
      <c r="C50" s="461" t="s">
        <v>256</v>
      </c>
      <c r="D50" s="552" t="s">
        <v>291</v>
      </c>
      <c r="E50" s="144" t="b">
        <v>1</v>
      </c>
      <c r="F50" s="146"/>
      <c r="H50" s="210"/>
      <c r="I50" s="210"/>
      <c r="J50" s="126"/>
      <c r="K50" s="149" t="s">
        <v>501</v>
      </c>
      <c r="L50" s="439">
        <v>5.0</v>
      </c>
      <c r="M50" s="391" t="s">
        <v>29</v>
      </c>
      <c r="N50" s="393" t="s">
        <v>32</v>
      </c>
      <c r="O50" s="396" t="s">
        <v>36</v>
      </c>
      <c r="P50" s="398" t="s">
        <v>37</v>
      </c>
      <c r="Q50" s="400" t="s">
        <v>42</v>
      </c>
    </row>
    <row r="51" ht="15.75" customHeight="1">
      <c r="B51" s="359" t="s">
        <v>80</v>
      </c>
      <c r="C51" s="144" t="s">
        <v>215</v>
      </c>
      <c r="D51" s="93"/>
      <c r="E51" s="144" t="b">
        <v>1</v>
      </c>
      <c r="F51" s="146"/>
      <c r="H51" s="210"/>
      <c r="I51" s="210"/>
      <c r="J51" s="126"/>
      <c r="K51" s="149" t="s">
        <v>169</v>
      </c>
      <c r="L51" s="439">
        <v>2.0</v>
      </c>
      <c r="M51" s="153" t="s">
        <v>199</v>
      </c>
      <c r="N51" s="22" t="s">
        <v>168</v>
      </c>
    </row>
    <row r="52" ht="15.75" customHeight="1">
      <c r="B52" s="361" t="s">
        <v>97</v>
      </c>
      <c r="C52" s="144"/>
      <c r="D52" s="561"/>
      <c r="E52" s="144" t="b">
        <v>1</v>
      </c>
      <c r="F52" s="429"/>
      <c r="H52" s="210"/>
      <c r="I52" s="210"/>
      <c r="J52" s="126"/>
      <c r="K52" s="149" t="s">
        <v>224</v>
      </c>
      <c r="L52" s="439">
        <v>2.0</v>
      </c>
      <c r="M52" s="296" t="s">
        <v>71</v>
      </c>
      <c r="N52" s="153" t="s">
        <v>54</v>
      </c>
      <c r="O52" s="22"/>
      <c r="P52" s="22"/>
    </row>
    <row r="53" ht="15.75" customHeight="1">
      <c r="B53" s="359" t="s">
        <v>79</v>
      </c>
      <c r="C53" s="323"/>
      <c r="D53" s="93"/>
      <c r="E53" s="144" t="b">
        <v>1</v>
      </c>
      <c r="F53" s="146"/>
      <c r="H53" s="210"/>
      <c r="I53" s="210"/>
      <c r="J53" s="570"/>
      <c r="K53" s="149" t="s">
        <v>300</v>
      </c>
      <c r="L53" s="439">
        <v>4.0</v>
      </c>
      <c r="M53" s="301" t="s">
        <v>76</v>
      </c>
      <c r="N53" s="153" t="s">
        <v>97</v>
      </c>
      <c r="O53" s="153" t="s">
        <v>75</v>
      </c>
      <c r="P53" s="328" t="s">
        <v>89</v>
      </c>
      <c r="Q53" s="22"/>
      <c r="R53" s="22"/>
      <c r="S53" s="22"/>
      <c r="T53" s="22"/>
      <c r="U53" s="22"/>
      <c r="V53" s="22"/>
      <c r="W53" s="22"/>
      <c r="X53" s="22"/>
      <c r="Y53" s="22"/>
      <c r="Z53" s="22"/>
      <c r="AA53" s="22"/>
      <c r="AB53" s="22"/>
      <c r="AC53" s="22"/>
    </row>
    <row r="54" ht="15.75" customHeight="1">
      <c r="B54" s="359" t="s">
        <v>77</v>
      </c>
      <c r="C54" s="492"/>
      <c r="D54" s="360"/>
      <c r="E54" s="144" t="b">
        <v>0</v>
      </c>
      <c r="F54" s="146"/>
      <c r="H54" s="210"/>
      <c r="I54" s="210"/>
      <c r="J54" s="580" t="s">
        <v>531</v>
      </c>
      <c r="K54" s="289" t="s">
        <v>317</v>
      </c>
      <c r="L54" s="583">
        <v>1.0</v>
      </c>
      <c r="M54" s="586" t="s">
        <v>79</v>
      </c>
      <c r="N54" s="550"/>
      <c r="O54" s="588"/>
      <c r="P54" s="588"/>
      <c r="Q54" s="588"/>
      <c r="R54" s="588"/>
      <c r="S54" s="588"/>
      <c r="T54" s="588"/>
      <c r="U54" s="588"/>
      <c r="V54" s="588"/>
      <c r="W54" s="588"/>
      <c r="X54" s="588"/>
      <c r="Y54" s="588"/>
      <c r="Z54" s="588"/>
      <c r="AA54" s="588"/>
      <c r="AB54" s="588"/>
      <c r="AC54" s="588"/>
    </row>
    <row r="55" ht="15.75" customHeight="1">
      <c r="B55" s="359" t="s">
        <v>89</v>
      </c>
      <c r="C55" s="323"/>
      <c r="D55" s="93"/>
      <c r="E55" s="144" t="b">
        <v>1</v>
      </c>
      <c r="F55" s="146"/>
      <c r="H55" s="210"/>
      <c r="I55" s="210"/>
      <c r="J55" s="126"/>
      <c r="K55" s="149" t="s">
        <v>501</v>
      </c>
      <c r="L55" s="439">
        <v>5.0</v>
      </c>
      <c r="M55" s="391" t="s">
        <v>29</v>
      </c>
      <c r="N55" s="393" t="s">
        <v>32</v>
      </c>
      <c r="O55" s="396" t="s">
        <v>36</v>
      </c>
      <c r="P55" s="398" t="s">
        <v>37</v>
      </c>
      <c r="Q55" s="400" t="s">
        <v>42</v>
      </c>
    </row>
    <row r="56" ht="15.75" customHeight="1">
      <c r="B56" s="359" t="s">
        <v>96</v>
      </c>
      <c r="C56" s="360"/>
      <c r="D56" s="596"/>
      <c r="E56" s="144" t="b">
        <v>0</v>
      </c>
      <c r="F56" s="146"/>
      <c r="H56" s="210"/>
      <c r="I56" s="210"/>
      <c r="J56" s="126"/>
      <c r="K56" s="149" t="s">
        <v>169</v>
      </c>
      <c r="L56" s="439">
        <v>2.0</v>
      </c>
      <c r="M56" s="153" t="s">
        <v>199</v>
      </c>
      <c r="N56" s="22" t="s">
        <v>168</v>
      </c>
    </row>
    <row r="57" ht="15.75" customHeight="1">
      <c r="B57" s="359" t="s">
        <v>86</v>
      </c>
      <c r="C57" s="319" t="s">
        <v>256</v>
      </c>
      <c r="D57" s="526" t="s">
        <v>291</v>
      </c>
      <c r="E57" s="144" t="b">
        <v>1</v>
      </c>
      <c r="F57" s="146"/>
      <c r="H57" s="210"/>
      <c r="I57" s="210"/>
      <c r="J57" s="126"/>
      <c r="K57" s="128" t="s">
        <v>553</v>
      </c>
      <c r="L57" s="439">
        <v>2.0</v>
      </c>
      <c r="M57" s="296" t="s">
        <v>77</v>
      </c>
      <c r="N57" s="153" t="s">
        <v>55</v>
      </c>
      <c r="O57" s="22"/>
    </row>
    <row r="58" ht="15.75" customHeight="1">
      <c r="B58" s="359" t="s">
        <v>60</v>
      </c>
      <c r="C58" s="492"/>
      <c r="D58" s="360"/>
      <c r="E58" s="144" t="b">
        <v>1</v>
      </c>
      <c r="F58" s="600"/>
      <c r="H58" s="210"/>
      <c r="I58" s="210"/>
      <c r="J58" s="147"/>
      <c r="K58" s="601" t="s">
        <v>556</v>
      </c>
      <c r="L58" s="602">
        <v>4.0</v>
      </c>
      <c r="M58" s="603" t="s">
        <v>54</v>
      </c>
      <c r="N58" s="541" t="s">
        <v>87</v>
      </c>
      <c r="O58" s="541" t="s">
        <v>75</v>
      </c>
      <c r="P58" s="541" t="s">
        <v>81</v>
      </c>
      <c r="Q58" s="504"/>
      <c r="R58" s="504"/>
      <c r="S58" s="604"/>
      <c r="T58" s="604"/>
      <c r="U58" s="604"/>
      <c r="V58" s="604"/>
      <c r="W58" s="604"/>
      <c r="X58" s="604"/>
      <c r="Y58" s="604"/>
      <c r="Z58" s="604"/>
      <c r="AA58" s="604"/>
      <c r="AB58" s="604"/>
      <c r="AC58" s="604"/>
      <c r="AD58" s="604"/>
      <c r="AE58" s="604"/>
    </row>
    <row r="59" ht="18.0" customHeight="1">
      <c r="B59" s="359" t="s">
        <v>95</v>
      </c>
      <c r="C59" s="93"/>
      <c r="D59" s="159" t="s">
        <v>215</v>
      </c>
      <c r="E59" s="144" t="b">
        <v>1</v>
      </c>
      <c r="F59" s="208"/>
      <c r="H59" s="210"/>
      <c r="I59" s="210"/>
      <c r="J59" s="606" t="s">
        <v>566</v>
      </c>
      <c r="K59" s="261" t="s">
        <v>569</v>
      </c>
      <c r="L59" s="607"/>
      <c r="M59" s="22"/>
      <c r="N59" s="22"/>
      <c r="O59" s="22"/>
      <c r="P59" s="22"/>
    </row>
    <row r="60" ht="15.75" customHeight="1">
      <c r="B60" s="608" t="s">
        <v>572</v>
      </c>
      <c r="E60" s="609"/>
      <c r="F60" s="611"/>
      <c r="H60" s="210"/>
      <c r="I60" s="210"/>
      <c r="J60" s="126"/>
      <c r="K60" s="128" t="s">
        <v>575</v>
      </c>
      <c r="L60" s="467">
        <v>1.0</v>
      </c>
      <c r="M60" s="301" t="s">
        <v>96</v>
      </c>
      <c r="N60" s="153"/>
    </row>
    <row r="61" ht="15.75" customHeight="1">
      <c r="E61" s="345"/>
      <c r="F61" s="611"/>
      <c r="H61" s="210"/>
      <c r="I61" s="210"/>
      <c r="J61" s="126"/>
      <c r="K61" s="613" t="s">
        <v>579</v>
      </c>
      <c r="L61" s="439">
        <v>2.0</v>
      </c>
      <c r="M61" s="301" t="s">
        <v>55</v>
      </c>
      <c r="N61" s="153" t="s">
        <v>76</v>
      </c>
    </row>
    <row r="62" ht="15.75" customHeight="1">
      <c r="B62" s="614"/>
      <c r="C62" s="616"/>
      <c r="D62" s="616"/>
      <c r="E62" s="345"/>
      <c r="F62" s="611"/>
      <c r="H62" s="210"/>
      <c r="I62" s="210"/>
      <c r="J62" s="126"/>
      <c r="K62" s="149" t="s">
        <v>582</v>
      </c>
      <c r="L62" s="439"/>
      <c r="M62" s="22"/>
      <c r="N62" s="22"/>
      <c r="P62" s="22"/>
      <c r="R62" s="22"/>
    </row>
    <row r="63" ht="15.75" customHeight="1">
      <c r="B63" s="618"/>
      <c r="C63" s="616"/>
      <c r="D63" s="619"/>
      <c r="E63" s="345"/>
      <c r="F63" s="611"/>
      <c r="H63" s="210"/>
      <c r="I63" s="210"/>
      <c r="J63" s="126"/>
      <c r="K63" s="128" t="s">
        <v>586</v>
      </c>
      <c r="L63" s="439">
        <v>2.0</v>
      </c>
      <c r="M63" s="301" t="s">
        <v>77</v>
      </c>
      <c r="N63" s="153" t="s">
        <v>71</v>
      </c>
    </row>
    <row r="64" ht="15.75" customHeight="1">
      <c r="B64" s="614"/>
      <c r="F64" s="302"/>
      <c r="H64" s="210"/>
      <c r="I64" s="210"/>
      <c r="J64" s="126"/>
      <c r="K64" s="622" t="s">
        <v>579</v>
      </c>
      <c r="L64" s="439">
        <v>2.0</v>
      </c>
      <c r="M64" s="301" t="s">
        <v>81</v>
      </c>
      <c r="N64" s="153" t="s">
        <v>89</v>
      </c>
      <c r="O64" s="22"/>
      <c r="P64" s="22"/>
      <c r="Q64" s="22"/>
      <c r="R64" s="22"/>
    </row>
    <row r="65" ht="15.75" customHeight="1">
      <c r="F65" s="302"/>
      <c r="G65" s="302"/>
      <c r="H65" s="210"/>
      <c r="I65" s="210"/>
      <c r="J65" s="126"/>
      <c r="K65" s="289" t="s">
        <v>593</v>
      </c>
      <c r="L65" s="439"/>
      <c r="M65" s="22"/>
      <c r="N65" s="22"/>
    </row>
    <row r="66" ht="15.75" customHeight="1">
      <c r="B66" s="99" t="s">
        <v>597</v>
      </c>
      <c r="C66" s="99" t="s">
        <v>598</v>
      </c>
      <c r="F66" s="302"/>
      <c r="G66" s="302"/>
      <c r="H66" s="210"/>
      <c r="I66" s="210"/>
      <c r="J66" s="126"/>
      <c r="K66" s="622" t="s">
        <v>600</v>
      </c>
      <c r="L66" s="439">
        <v>2.0</v>
      </c>
      <c r="M66" s="301" t="s">
        <v>43</v>
      </c>
      <c r="N66" s="153" t="s">
        <v>48</v>
      </c>
    </row>
    <row r="67" ht="15.75" customHeight="1">
      <c r="C67" s="99" t="s">
        <v>602</v>
      </c>
      <c r="F67" s="302"/>
      <c r="G67" s="302"/>
      <c r="H67" s="210"/>
      <c r="I67" s="231"/>
      <c r="J67" s="147"/>
      <c r="K67" s="613" t="s">
        <v>579</v>
      </c>
      <c r="L67" s="602">
        <v>2.0</v>
      </c>
      <c r="M67" s="153" t="s">
        <v>87</v>
      </c>
      <c r="N67" s="153" t="s">
        <v>97</v>
      </c>
    </row>
    <row r="68" ht="15.75" customHeight="1">
      <c r="C68" s="99" t="s">
        <v>605</v>
      </c>
      <c r="F68" s="302"/>
      <c r="G68" s="302"/>
      <c r="H68" s="210"/>
      <c r="I68" s="629" t="s">
        <v>606</v>
      </c>
      <c r="J68" s="630" t="s">
        <v>610</v>
      </c>
      <c r="K68" s="149" t="s">
        <v>317</v>
      </c>
      <c r="L68" s="439">
        <v>1.0</v>
      </c>
      <c r="M68" s="153" t="s">
        <v>54</v>
      </c>
      <c r="N68" s="22"/>
    </row>
    <row r="69" ht="15.75" customHeight="1">
      <c r="C69" s="99" t="s">
        <v>614</v>
      </c>
      <c r="F69" s="302"/>
      <c r="G69" s="302"/>
      <c r="H69" s="210"/>
      <c r="I69" s="210"/>
      <c r="J69" s="126"/>
      <c r="K69" s="149" t="s">
        <v>501</v>
      </c>
      <c r="L69" s="439">
        <v>5.0</v>
      </c>
      <c r="M69" s="391" t="s">
        <v>29</v>
      </c>
      <c r="N69" s="393" t="s">
        <v>32</v>
      </c>
      <c r="O69" s="396" t="s">
        <v>36</v>
      </c>
      <c r="P69" s="398" t="s">
        <v>37</v>
      </c>
      <c r="Q69" s="400" t="s">
        <v>42</v>
      </c>
    </row>
    <row r="70" ht="15.75" customHeight="1">
      <c r="C70" s="99" t="s">
        <v>617</v>
      </c>
      <c r="F70" s="302"/>
      <c r="G70" s="302"/>
      <c r="H70" s="210"/>
      <c r="I70" s="210"/>
      <c r="J70" s="126"/>
      <c r="K70" s="149" t="s">
        <v>169</v>
      </c>
      <c r="L70" s="439">
        <v>2.0</v>
      </c>
      <c r="M70" s="153" t="s">
        <v>199</v>
      </c>
      <c r="N70" s="22" t="s">
        <v>168</v>
      </c>
    </row>
    <row r="71" ht="15.75" customHeight="1">
      <c r="F71" s="302"/>
      <c r="G71" s="302"/>
      <c r="H71" s="210"/>
      <c r="I71" s="210"/>
      <c r="J71" s="126"/>
      <c r="K71" s="128" t="s">
        <v>620</v>
      </c>
      <c r="L71" s="467">
        <v>5.0</v>
      </c>
      <c r="M71" s="301" t="s">
        <v>43</v>
      </c>
      <c r="N71" s="153" t="s">
        <v>77</v>
      </c>
      <c r="O71" s="153" t="s">
        <v>80</v>
      </c>
      <c r="P71" s="153" t="s">
        <v>81</v>
      </c>
      <c r="Q71" s="153" t="s">
        <v>56</v>
      </c>
      <c r="R71" s="22"/>
      <c r="S71" s="22"/>
      <c r="T71" s="22"/>
      <c r="U71" s="22"/>
      <c r="V71" s="22"/>
    </row>
    <row r="72" ht="15.75" customHeight="1">
      <c r="F72" s="302"/>
      <c r="G72" s="302"/>
      <c r="H72" s="210"/>
      <c r="I72" s="210"/>
      <c r="J72" s="126"/>
      <c r="K72" s="128" t="s">
        <v>625</v>
      </c>
      <c r="L72" s="467">
        <v>4.0</v>
      </c>
      <c r="M72" s="301" t="s">
        <v>48</v>
      </c>
      <c r="N72" s="153" t="s">
        <v>75</v>
      </c>
      <c r="O72" s="153" t="s">
        <v>53</v>
      </c>
      <c r="P72" s="153" t="s">
        <v>55</v>
      </c>
      <c r="Q72" s="22"/>
      <c r="R72" s="22"/>
      <c r="S72" s="22"/>
      <c r="T72" s="22"/>
      <c r="U72" s="22"/>
      <c r="V72" s="22"/>
    </row>
    <row r="73" ht="15.75" customHeight="1">
      <c r="F73" s="302"/>
      <c r="G73" s="302"/>
      <c r="H73" s="210"/>
      <c r="I73" s="210"/>
      <c r="J73" s="126"/>
      <c r="K73" s="128" t="s">
        <v>627</v>
      </c>
      <c r="L73" s="467">
        <v>1.0</v>
      </c>
      <c r="M73" s="301" t="s">
        <v>71</v>
      </c>
      <c r="N73" s="22"/>
      <c r="O73" s="22"/>
      <c r="P73" s="22"/>
      <c r="Q73" s="22"/>
      <c r="R73" s="22"/>
      <c r="S73" s="22"/>
      <c r="T73" s="22"/>
      <c r="U73" s="22"/>
      <c r="V73" s="22"/>
    </row>
    <row r="74" ht="15.75" customHeight="1">
      <c r="B74" s="633"/>
      <c r="C74" s="633"/>
      <c r="D74" s="633"/>
      <c r="E74" s="633"/>
      <c r="F74" s="302"/>
      <c r="G74" s="302"/>
      <c r="H74" s="231"/>
      <c r="I74" s="231"/>
      <c r="J74" s="147"/>
      <c r="K74" s="128" t="s">
        <v>632</v>
      </c>
      <c r="L74" s="467">
        <v>2.0</v>
      </c>
      <c r="M74" s="301" t="s">
        <v>97</v>
      </c>
      <c r="N74" s="153" t="s">
        <v>79</v>
      </c>
      <c r="O74" s="22"/>
      <c r="P74" s="22"/>
      <c r="Q74" s="22"/>
      <c r="R74" s="22"/>
      <c r="S74" s="22"/>
      <c r="T74" s="22"/>
      <c r="U74" s="22"/>
      <c r="V74" s="22"/>
      <c r="W74" s="22"/>
      <c r="X74" s="22"/>
      <c r="Y74" s="22"/>
      <c r="Z74" s="22"/>
      <c r="AA74" s="22"/>
      <c r="AB74" s="22"/>
      <c r="AC74" s="22"/>
    </row>
    <row r="75" ht="24.75" customHeight="1">
      <c r="B75" s="635" t="s">
        <v>634</v>
      </c>
      <c r="C75" s="636" t="s">
        <v>189</v>
      </c>
      <c r="D75" s="638" t="s">
        <v>636</v>
      </c>
      <c r="E75" s="633"/>
      <c r="F75" s="302"/>
      <c r="G75" s="302"/>
      <c r="H75" s="165" t="s">
        <v>639</v>
      </c>
      <c r="I75" s="640" t="s">
        <v>641</v>
      </c>
      <c r="J75" s="94"/>
      <c r="K75" s="641" t="s">
        <v>409</v>
      </c>
      <c r="L75" s="641">
        <v>2.0</v>
      </c>
      <c r="M75" s="586" t="s">
        <v>84</v>
      </c>
      <c r="N75" s="586" t="s">
        <v>122</v>
      </c>
      <c r="O75" s="588"/>
      <c r="P75" s="588"/>
      <c r="Q75" s="588"/>
      <c r="R75" s="588"/>
      <c r="S75" s="588"/>
      <c r="T75" s="588"/>
      <c r="U75" s="588"/>
      <c r="V75" s="588"/>
      <c r="W75" s="588"/>
      <c r="X75" s="588"/>
      <c r="Y75" s="588"/>
      <c r="Z75" s="588"/>
      <c r="AA75" s="588"/>
      <c r="AB75" s="588"/>
      <c r="AC75" s="588"/>
      <c r="AD75" s="588"/>
      <c r="AE75" s="588"/>
      <c r="AF75" s="588"/>
      <c r="AG75" s="588"/>
      <c r="AH75" s="588"/>
      <c r="AI75" s="588"/>
      <c r="AJ75" s="588"/>
    </row>
    <row r="76" ht="24.75" customHeight="1">
      <c r="B76" s="644" t="s">
        <v>647</v>
      </c>
      <c r="C76" s="646" t="s">
        <v>29</v>
      </c>
      <c r="D76" s="648" t="s">
        <v>45</v>
      </c>
      <c r="E76" s="649"/>
      <c r="F76" s="302"/>
      <c r="G76" s="302"/>
      <c r="H76" s="147"/>
      <c r="I76" s="231"/>
      <c r="J76" s="167"/>
      <c r="K76" s="651" t="s">
        <v>414</v>
      </c>
      <c r="L76" s="651">
        <v>2.0</v>
      </c>
      <c r="M76" s="153" t="s">
        <v>199</v>
      </c>
      <c r="N76" s="22" t="s">
        <v>168</v>
      </c>
      <c r="Q76" s="604"/>
      <c r="R76" s="604"/>
      <c r="S76" s="604"/>
      <c r="T76" s="604"/>
      <c r="U76" s="604"/>
      <c r="V76" s="604"/>
      <c r="W76" s="604"/>
      <c r="X76" s="604"/>
      <c r="Y76" s="604"/>
      <c r="Z76" s="604"/>
      <c r="AA76" s="604"/>
      <c r="AB76" s="604"/>
      <c r="AC76" s="604"/>
      <c r="AD76" s="604"/>
      <c r="AE76" s="604"/>
      <c r="AF76" s="604"/>
      <c r="AG76" s="604"/>
      <c r="AH76" s="604"/>
      <c r="AI76" s="604"/>
      <c r="AJ76" s="604"/>
    </row>
    <row r="77">
      <c r="B77" s="652"/>
      <c r="C77" s="653"/>
      <c r="D77" s="648" t="s">
        <v>58</v>
      </c>
      <c r="E77" s="654"/>
      <c r="F77" s="302"/>
      <c r="G77" s="302"/>
      <c r="H77" s="334" t="s">
        <v>657</v>
      </c>
      <c r="I77" s="503" t="s">
        <v>659</v>
      </c>
      <c r="J77" s="104"/>
      <c r="K77" s="655" t="s">
        <v>662</v>
      </c>
      <c r="L77" s="98"/>
      <c r="M77" s="98"/>
      <c r="N77" s="98"/>
      <c r="O77" s="98"/>
      <c r="P77" s="98"/>
    </row>
    <row r="78" ht="20.25" customHeight="1">
      <c r="B78" s="652"/>
      <c r="C78" s="653"/>
      <c r="D78" s="656" t="s">
        <v>59</v>
      </c>
      <c r="E78" s="657"/>
      <c r="F78" s="302"/>
      <c r="G78" s="302"/>
      <c r="H78" s="210"/>
      <c r="I78" s="210"/>
      <c r="J78" s="104"/>
      <c r="K78" s="210"/>
    </row>
    <row r="79" ht="28.5" customHeight="1">
      <c r="B79" s="659"/>
      <c r="C79" s="661"/>
      <c r="D79" s="662" t="s">
        <v>74</v>
      </c>
      <c r="E79" s="663"/>
      <c r="F79" s="302"/>
      <c r="G79" s="302"/>
      <c r="H79" s="210"/>
      <c r="I79" s="210"/>
      <c r="J79" s="104"/>
      <c r="K79" s="231"/>
      <c r="L79" s="62"/>
      <c r="M79" s="62"/>
      <c r="N79" s="62"/>
      <c r="O79" s="62"/>
      <c r="P79" s="62"/>
      <c r="Q79" s="504"/>
      <c r="R79" s="504"/>
      <c r="S79" s="504"/>
      <c r="T79" s="504"/>
      <c r="U79" s="504"/>
      <c r="V79" s="504"/>
      <c r="W79" s="504"/>
      <c r="X79" s="504"/>
      <c r="Y79" s="504"/>
      <c r="Z79" s="504"/>
      <c r="AA79" s="504"/>
      <c r="AB79" s="504"/>
      <c r="AC79" s="504"/>
    </row>
    <row r="80" ht="15.75" customHeight="1">
      <c r="B80" s="664"/>
      <c r="C80" s="665"/>
      <c r="D80" s="666"/>
      <c r="E80" s="667"/>
      <c r="F80" s="302"/>
      <c r="G80" s="302"/>
      <c r="H80" s="210"/>
      <c r="I80" s="210"/>
      <c r="J80" s="104"/>
      <c r="K80" s="668" t="s">
        <v>455</v>
      </c>
      <c r="L80" s="528">
        <v>1.0</v>
      </c>
      <c r="M80" s="153" t="s">
        <v>208</v>
      </c>
      <c r="N80" s="153"/>
    </row>
    <row r="81" ht="15.75" customHeight="1">
      <c r="B81" s="644"/>
      <c r="C81" s="671"/>
      <c r="D81" s="672"/>
      <c r="E81" s="671"/>
      <c r="F81" s="302"/>
      <c r="G81" s="302"/>
      <c r="H81" s="210"/>
      <c r="I81" s="210"/>
      <c r="J81" s="104"/>
      <c r="K81" s="522" t="s">
        <v>677</v>
      </c>
      <c r="L81" s="524">
        <v>2.0</v>
      </c>
      <c r="M81" s="153" t="s">
        <v>84</v>
      </c>
      <c r="N81" s="153" t="s">
        <v>122</v>
      </c>
    </row>
    <row r="82" ht="15.75" customHeight="1">
      <c r="B82" s="675" t="s">
        <v>680</v>
      </c>
      <c r="C82" s="677" t="s">
        <v>32</v>
      </c>
      <c r="D82" s="679" t="s">
        <v>50</v>
      </c>
      <c r="E82" s="680"/>
      <c r="F82" s="302"/>
      <c r="G82" s="302"/>
      <c r="H82" s="210"/>
      <c r="I82" s="210"/>
      <c r="J82" s="104"/>
      <c r="K82" s="128" t="s">
        <v>287</v>
      </c>
      <c r="L82" s="528">
        <v>2.0</v>
      </c>
      <c r="M82" s="153" t="s">
        <v>63</v>
      </c>
      <c r="N82" s="153" t="s">
        <v>50</v>
      </c>
      <c r="O82" s="99"/>
    </row>
    <row r="83" ht="15.75" customHeight="1">
      <c r="B83" s="652"/>
      <c r="C83" s="667"/>
      <c r="D83" s="682" t="s">
        <v>60</v>
      </c>
      <c r="E83" s="683"/>
      <c r="F83" s="302"/>
      <c r="G83" s="302"/>
      <c r="H83" s="210"/>
      <c r="I83" s="210"/>
      <c r="J83" s="104"/>
      <c r="K83" s="149" t="s">
        <v>307</v>
      </c>
      <c r="L83" s="528">
        <v>2.0</v>
      </c>
      <c r="M83" s="153" t="s">
        <v>181</v>
      </c>
      <c r="N83" s="153" t="s">
        <v>62</v>
      </c>
    </row>
    <row r="84" ht="15.75" customHeight="1">
      <c r="B84" s="664"/>
      <c r="C84" s="685"/>
      <c r="D84" s="686" t="s">
        <v>62</v>
      </c>
      <c r="E84" s="687"/>
      <c r="F84" s="302"/>
      <c r="G84" s="302"/>
      <c r="H84" s="210"/>
      <c r="I84" s="210"/>
      <c r="J84" s="104"/>
      <c r="K84" s="149" t="s">
        <v>310</v>
      </c>
      <c r="L84" s="524">
        <v>2.0</v>
      </c>
      <c r="M84" s="22" t="s">
        <v>57</v>
      </c>
      <c r="N84" s="153" t="s">
        <v>58</v>
      </c>
      <c r="O84" s="22"/>
    </row>
    <row r="85" ht="15.75" customHeight="1">
      <c r="B85" s="688"/>
      <c r="C85" s="689"/>
      <c r="D85" s="691"/>
      <c r="E85" s="687"/>
      <c r="F85" s="302"/>
      <c r="G85" s="302"/>
      <c r="H85" s="210"/>
      <c r="I85" s="231"/>
      <c r="J85" s="167"/>
      <c r="K85" s="539" t="s">
        <v>313</v>
      </c>
      <c r="L85" s="540">
        <v>2.0</v>
      </c>
      <c r="M85" s="541" t="s">
        <v>50</v>
      </c>
      <c r="N85" s="541" t="s">
        <v>95</v>
      </c>
      <c r="O85" s="505"/>
      <c r="P85" s="504"/>
      <c r="Q85" s="504"/>
      <c r="R85" s="504"/>
      <c r="S85" s="504"/>
    </row>
    <row r="86" ht="15.75" customHeight="1">
      <c r="B86" s="664"/>
      <c r="C86" s="692"/>
      <c r="D86" s="682"/>
      <c r="E86" s="694"/>
      <c r="F86" s="302"/>
      <c r="G86" s="302"/>
      <c r="H86" s="210"/>
      <c r="I86" s="696" t="s">
        <v>699</v>
      </c>
      <c r="J86" s="697" t="s">
        <v>701</v>
      </c>
      <c r="K86" s="149" t="s">
        <v>317</v>
      </c>
      <c r="L86" s="439">
        <v>1.0</v>
      </c>
      <c r="M86" s="586" t="s">
        <v>58</v>
      </c>
      <c r="N86" s="550"/>
      <c r="O86" s="550"/>
      <c r="P86" s="550"/>
      <c r="Q86" s="550"/>
      <c r="R86" s="550"/>
    </row>
    <row r="87" ht="15.75" customHeight="1">
      <c r="B87" s="688"/>
      <c r="C87" s="699"/>
      <c r="D87" s="700"/>
      <c r="E87" s="701"/>
      <c r="F87" s="302"/>
      <c r="G87" s="302"/>
      <c r="H87" s="210"/>
      <c r="I87" s="210"/>
      <c r="J87" s="126"/>
      <c r="K87" s="149" t="s">
        <v>501</v>
      </c>
      <c r="L87" s="439">
        <v>5.0</v>
      </c>
      <c r="M87" s="391" t="s">
        <v>29</v>
      </c>
      <c r="N87" s="393" t="s">
        <v>32</v>
      </c>
      <c r="O87" s="396" t="s">
        <v>36</v>
      </c>
      <c r="P87" s="398" t="s">
        <v>37</v>
      </c>
      <c r="Q87" s="400" t="s">
        <v>42</v>
      </c>
    </row>
    <row r="88" ht="15.75" customHeight="1">
      <c r="B88" s="675" t="s">
        <v>710</v>
      </c>
      <c r="C88" s="702" t="s">
        <v>36</v>
      </c>
      <c r="D88" s="703" t="s">
        <v>52</v>
      </c>
      <c r="E88" s="704"/>
      <c r="F88" s="302"/>
      <c r="G88" s="302"/>
      <c r="H88" s="210"/>
      <c r="I88" s="210"/>
      <c r="J88" s="126"/>
      <c r="K88" s="149" t="s">
        <v>169</v>
      </c>
      <c r="L88" s="439">
        <v>2.0</v>
      </c>
      <c r="M88" s="153" t="s">
        <v>199</v>
      </c>
      <c r="N88" s="153" t="s">
        <v>168</v>
      </c>
    </row>
    <row r="89" ht="15.75" customHeight="1">
      <c r="B89" s="688"/>
      <c r="C89" s="661"/>
      <c r="D89" s="703" t="s">
        <v>181</v>
      </c>
      <c r="E89" s="709"/>
      <c r="F89" s="302"/>
      <c r="G89" s="302"/>
      <c r="H89" s="210"/>
      <c r="I89" s="210"/>
      <c r="J89" s="126"/>
      <c r="K89" s="149" t="s">
        <v>224</v>
      </c>
      <c r="L89" s="467">
        <v>1.0</v>
      </c>
      <c r="M89" s="220" t="s">
        <v>197</v>
      </c>
      <c r="N89" s="711"/>
      <c r="O89" s="22"/>
      <c r="P89" s="22"/>
    </row>
    <row r="90" ht="15.75" customHeight="1">
      <c r="B90" s="664"/>
      <c r="C90" s="692"/>
      <c r="D90" s="714" t="s">
        <v>63</v>
      </c>
      <c r="E90" s="716"/>
      <c r="F90" s="302"/>
      <c r="G90" s="302"/>
      <c r="H90" s="210"/>
      <c r="I90" s="210"/>
      <c r="J90" s="147"/>
      <c r="K90" s="281" t="s">
        <v>300</v>
      </c>
      <c r="L90" s="718">
        <v>4.0</v>
      </c>
      <c r="M90" s="719" t="s">
        <v>52</v>
      </c>
      <c r="N90" s="541" t="s">
        <v>83</v>
      </c>
      <c r="O90" s="541" t="s">
        <v>92</v>
      </c>
      <c r="P90" s="541" t="s">
        <v>90</v>
      </c>
      <c r="Q90" s="541"/>
      <c r="R90" s="541"/>
      <c r="S90" s="504"/>
      <c r="T90" s="504"/>
      <c r="U90" s="504"/>
      <c r="V90" s="504"/>
      <c r="W90" s="504"/>
      <c r="X90" s="504"/>
      <c r="Y90" s="504"/>
      <c r="Z90" s="504"/>
      <c r="AA90" s="504"/>
      <c r="AB90" s="504"/>
      <c r="AC90" s="504"/>
    </row>
    <row r="91" ht="15.75" customHeight="1">
      <c r="B91" s="688"/>
      <c r="C91" s="689"/>
      <c r="D91" s="714" t="s">
        <v>95</v>
      </c>
      <c r="E91" s="716"/>
      <c r="F91" s="302"/>
      <c r="G91" s="302"/>
      <c r="H91" s="210"/>
      <c r="I91" s="210"/>
      <c r="J91" s="720" t="s">
        <v>720</v>
      </c>
      <c r="K91" s="149" t="s">
        <v>317</v>
      </c>
      <c r="L91" s="439">
        <v>1.0</v>
      </c>
      <c r="M91" s="721" t="s">
        <v>57</v>
      </c>
      <c r="N91" s="550"/>
      <c r="O91" s="550"/>
      <c r="P91" s="550"/>
      <c r="Q91" s="550"/>
      <c r="R91" s="550"/>
    </row>
    <row r="92" ht="15.75" customHeight="1">
      <c r="B92" s="664"/>
      <c r="C92" s="722"/>
      <c r="D92" s="700"/>
      <c r="E92" s="701"/>
      <c r="F92" s="302"/>
      <c r="G92" s="723"/>
      <c r="H92" s="210"/>
      <c r="I92" s="210"/>
      <c r="J92" s="126"/>
      <c r="K92" s="149" t="s">
        <v>501</v>
      </c>
      <c r="L92" s="439">
        <v>5.0</v>
      </c>
      <c r="M92" s="391" t="s">
        <v>29</v>
      </c>
      <c r="N92" s="393" t="s">
        <v>32</v>
      </c>
      <c r="O92" s="396" t="s">
        <v>36</v>
      </c>
      <c r="P92" s="398" t="s">
        <v>37</v>
      </c>
      <c r="Q92" s="400" t="s">
        <v>42</v>
      </c>
    </row>
    <row r="93" ht="15.75" customHeight="1">
      <c r="B93" s="675" t="s">
        <v>722</v>
      </c>
      <c r="C93" s="724" t="s">
        <v>37</v>
      </c>
      <c r="D93" s="725" t="s">
        <v>65</v>
      </c>
      <c r="E93" s="726"/>
      <c r="F93" s="302"/>
      <c r="G93" s="302"/>
      <c r="H93" s="210"/>
      <c r="I93" s="210"/>
      <c r="J93" s="126"/>
      <c r="K93" s="149" t="s">
        <v>169</v>
      </c>
      <c r="L93" s="439">
        <v>2.0</v>
      </c>
      <c r="M93" s="220" t="s">
        <v>199</v>
      </c>
      <c r="N93" s="153" t="s">
        <v>168</v>
      </c>
    </row>
    <row r="94" ht="15.75" customHeight="1">
      <c r="B94" s="664"/>
      <c r="C94" s="685"/>
      <c r="D94" s="725" t="s">
        <v>40</v>
      </c>
      <c r="E94" s="619"/>
      <c r="F94" s="302"/>
      <c r="G94" s="302"/>
      <c r="H94" s="210"/>
      <c r="I94" s="210"/>
      <c r="J94" s="126"/>
      <c r="K94" s="149" t="s">
        <v>224</v>
      </c>
      <c r="L94" s="439">
        <v>2.0</v>
      </c>
      <c r="M94" s="220" t="s">
        <v>83</v>
      </c>
      <c r="N94" s="153" t="s">
        <v>65</v>
      </c>
      <c r="O94" s="22"/>
    </row>
    <row r="95" ht="15.75" customHeight="1">
      <c r="B95" s="688"/>
      <c r="C95" s="689"/>
      <c r="D95" s="727" t="s">
        <v>66</v>
      </c>
      <c r="E95" s="619"/>
      <c r="F95" s="302"/>
      <c r="G95" s="302"/>
      <c r="H95" s="210"/>
      <c r="I95" s="210"/>
      <c r="J95" s="147"/>
      <c r="K95" s="364" t="s">
        <v>300</v>
      </c>
      <c r="L95" s="728">
        <v>4.0</v>
      </c>
      <c r="M95" s="719" t="s">
        <v>90</v>
      </c>
      <c r="N95" s="541" t="s">
        <v>59</v>
      </c>
      <c r="O95" s="541" t="s">
        <v>92</v>
      </c>
      <c r="P95" s="541" t="s">
        <v>74</v>
      </c>
      <c r="Q95" s="504"/>
      <c r="R95" s="504"/>
      <c r="S95" s="22"/>
      <c r="T95" s="22"/>
      <c r="U95" s="22"/>
      <c r="V95" s="22"/>
      <c r="W95" s="22"/>
      <c r="X95" s="22"/>
      <c r="AA95" s="22"/>
      <c r="AB95" s="22"/>
    </row>
    <row r="96" ht="15.75" customHeight="1">
      <c r="B96" s="664"/>
      <c r="C96" s="692"/>
      <c r="D96" s="729" t="s">
        <v>90</v>
      </c>
      <c r="E96" s="730"/>
      <c r="F96" s="302"/>
      <c r="G96" s="302"/>
      <c r="H96" s="210"/>
      <c r="I96" s="210"/>
      <c r="J96" s="731" t="s">
        <v>727</v>
      </c>
      <c r="K96" s="128" t="s">
        <v>728</v>
      </c>
      <c r="L96" s="439"/>
      <c r="M96" s="732"/>
      <c r="N96" s="550"/>
      <c r="O96" s="550"/>
      <c r="P96" s="550"/>
      <c r="Q96" s="550"/>
    </row>
    <row r="97" ht="15.75" customHeight="1">
      <c r="B97" s="688"/>
      <c r="C97" s="699"/>
      <c r="D97" s="733"/>
      <c r="E97" s="667"/>
      <c r="F97" s="302"/>
      <c r="G97" s="302"/>
      <c r="H97" s="210"/>
      <c r="I97" s="210"/>
      <c r="J97" s="126"/>
      <c r="K97" s="128" t="s">
        <v>730</v>
      </c>
      <c r="L97" s="467">
        <v>2.0</v>
      </c>
      <c r="M97" s="220" t="s">
        <v>52</v>
      </c>
      <c r="N97" s="99" t="s">
        <v>65</v>
      </c>
      <c r="O97" s="22"/>
    </row>
    <row r="98" ht="15.75" customHeight="1">
      <c r="B98" s="675" t="s">
        <v>732</v>
      </c>
      <c r="C98" s="734" t="s">
        <v>42</v>
      </c>
      <c r="D98" s="734" t="s">
        <v>57</v>
      </c>
      <c r="E98" s="735"/>
      <c r="F98" s="302"/>
      <c r="G98" s="302"/>
      <c r="H98" s="210"/>
      <c r="I98" s="210"/>
      <c r="J98" s="126"/>
      <c r="K98" s="613" t="s">
        <v>733</v>
      </c>
      <c r="L98" s="718">
        <v>2.0</v>
      </c>
      <c r="M98" s="719" t="s">
        <v>66</v>
      </c>
      <c r="N98" s="541" t="s">
        <v>40</v>
      </c>
      <c r="O98" s="719"/>
      <c r="P98" s="504"/>
      <c r="Q98" s="504"/>
      <c r="R98" s="504"/>
      <c r="S98" s="504"/>
      <c r="T98" s="504"/>
      <c r="U98" s="504"/>
      <c r="V98" s="504"/>
      <c r="W98" s="504"/>
      <c r="X98" s="504"/>
      <c r="Y98" s="504"/>
      <c r="Z98" s="504"/>
      <c r="AA98" s="504"/>
      <c r="AB98" s="504"/>
      <c r="AC98" s="504"/>
      <c r="AD98" s="22"/>
    </row>
    <row r="99" ht="15.75" customHeight="1">
      <c r="B99" s="688"/>
      <c r="C99" s="661"/>
      <c r="D99" s="734" t="s">
        <v>67</v>
      </c>
      <c r="E99" s="738"/>
      <c r="F99" s="302"/>
      <c r="G99" s="302"/>
      <c r="H99" s="210"/>
      <c r="I99" s="210"/>
      <c r="J99" s="126"/>
      <c r="K99" s="128" t="s">
        <v>735</v>
      </c>
      <c r="L99" s="439"/>
      <c r="M99" s="27"/>
      <c r="N99" s="22"/>
      <c r="O99" s="22"/>
    </row>
    <row r="100" ht="15.75" customHeight="1">
      <c r="B100" s="664"/>
      <c r="C100" s="692"/>
      <c r="D100" s="139" t="s">
        <v>83</v>
      </c>
      <c r="E100" s="740"/>
      <c r="F100" s="302"/>
      <c r="G100" s="302"/>
      <c r="H100" s="210"/>
      <c r="I100" s="210"/>
      <c r="J100" s="126"/>
      <c r="K100" s="128" t="s">
        <v>736</v>
      </c>
      <c r="L100" s="467">
        <v>3.0</v>
      </c>
      <c r="M100" s="220" t="s">
        <v>60</v>
      </c>
      <c r="N100" s="153" t="s">
        <v>67</v>
      </c>
      <c r="O100" s="99" t="s">
        <v>45</v>
      </c>
    </row>
    <row r="101" ht="15.75" customHeight="1">
      <c r="B101" s="688"/>
      <c r="C101" s="689"/>
      <c r="D101" s="139" t="s">
        <v>92</v>
      </c>
      <c r="E101" s="740"/>
      <c r="F101" s="302"/>
      <c r="G101" s="302"/>
      <c r="H101" s="210"/>
      <c r="I101" s="210"/>
      <c r="J101" s="126"/>
      <c r="K101" s="613" t="s">
        <v>737</v>
      </c>
      <c r="L101" s="718">
        <v>3.0</v>
      </c>
      <c r="M101" s="719" t="s">
        <v>60</v>
      </c>
      <c r="N101" s="541" t="s">
        <v>67</v>
      </c>
      <c r="O101" s="743" t="s">
        <v>45</v>
      </c>
      <c r="P101" s="504"/>
      <c r="Q101" s="504"/>
      <c r="R101" s="504"/>
      <c r="S101" s="504"/>
      <c r="T101" s="504"/>
      <c r="U101" s="504"/>
      <c r="V101" s="504"/>
      <c r="W101" s="504"/>
      <c r="X101" s="504"/>
      <c r="Y101" s="504"/>
      <c r="Z101" s="504"/>
      <c r="AA101" s="504"/>
      <c r="AB101" s="504"/>
      <c r="AC101" s="504"/>
      <c r="AD101" s="22"/>
    </row>
    <row r="102" ht="15.75" customHeight="1">
      <c r="B102" s="746"/>
      <c r="C102" s="747"/>
      <c r="D102" s="383"/>
      <c r="E102" s="740"/>
      <c r="F102" s="302"/>
      <c r="G102" s="302"/>
      <c r="H102" s="210"/>
      <c r="I102" s="210"/>
      <c r="J102" s="126"/>
      <c r="K102" s="128" t="s">
        <v>739</v>
      </c>
      <c r="L102" s="439"/>
      <c r="M102" s="27"/>
      <c r="N102" s="22"/>
      <c r="O102" s="22"/>
    </row>
    <row r="103" ht="15.75" customHeight="1">
      <c r="C103" s="27"/>
      <c r="D103" s="27"/>
      <c r="E103" s="27"/>
      <c r="F103" s="302"/>
      <c r="G103" s="302"/>
      <c r="H103" s="210"/>
      <c r="I103" s="210"/>
      <c r="J103" s="126"/>
      <c r="K103" s="128" t="s">
        <v>586</v>
      </c>
      <c r="L103" s="153">
        <v>2.0</v>
      </c>
      <c r="M103" s="751" t="s">
        <v>74</v>
      </c>
      <c r="N103" s="153" t="s">
        <v>197</v>
      </c>
    </row>
    <row r="104" ht="15.75" customHeight="1">
      <c r="B104" s="753" t="s">
        <v>742</v>
      </c>
      <c r="C104" s="636" t="s">
        <v>189</v>
      </c>
      <c r="D104" s="638" t="s">
        <v>636</v>
      </c>
      <c r="E104" s="633"/>
      <c r="F104" s="302"/>
      <c r="G104" s="302"/>
      <c r="H104" s="210"/>
      <c r="I104" s="231"/>
      <c r="J104" s="147"/>
      <c r="K104" s="613" t="s">
        <v>745</v>
      </c>
      <c r="L104" s="602">
        <v>2.0</v>
      </c>
      <c r="M104" s="719" t="s">
        <v>197</v>
      </c>
      <c r="N104" s="541" t="s">
        <v>59</v>
      </c>
      <c r="O104" s="504"/>
      <c r="P104" s="504"/>
      <c r="Q104" s="504"/>
      <c r="R104" s="504"/>
      <c r="S104" s="504"/>
      <c r="T104" s="504"/>
      <c r="U104" s="504"/>
      <c r="V104" s="504"/>
      <c r="W104" s="504"/>
      <c r="X104" s="504"/>
      <c r="Y104" s="504"/>
      <c r="Z104" s="504"/>
      <c r="AA104" s="504"/>
      <c r="AB104" s="504"/>
      <c r="AC104" s="504"/>
      <c r="AD104" s="22"/>
    </row>
    <row r="105" ht="15.75" customHeight="1">
      <c r="B105" s="644" t="s">
        <v>647</v>
      </c>
      <c r="C105" s="646" t="s">
        <v>29</v>
      </c>
      <c r="D105" s="648" t="s">
        <v>43</v>
      </c>
      <c r="E105" s="649"/>
      <c r="F105" s="757"/>
      <c r="G105" s="757"/>
      <c r="H105" s="210"/>
      <c r="I105" s="696" t="s">
        <v>747</v>
      </c>
      <c r="J105" s="758" t="s">
        <v>748</v>
      </c>
      <c r="K105" s="149" t="s">
        <v>317</v>
      </c>
      <c r="L105" s="439">
        <v>3.0</v>
      </c>
      <c r="M105" s="721" t="s">
        <v>67</v>
      </c>
      <c r="N105" s="586" t="s">
        <v>83</v>
      </c>
      <c r="O105" s="586" t="s">
        <v>59</v>
      </c>
      <c r="P105" s="550"/>
      <c r="Q105" s="550"/>
      <c r="R105" s="550"/>
    </row>
    <row r="106">
      <c r="B106" s="652"/>
      <c r="C106" s="653"/>
      <c r="D106" s="656" t="s">
        <v>75</v>
      </c>
      <c r="E106" s="654"/>
      <c r="F106" s="757"/>
      <c r="G106" s="757"/>
      <c r="H106" s="210"/>
      <c r="I106" s="210"/>
      <c r="J106" s="126"/>
      <c r="K106" s="149" t="s">
        <v>501</v>
      </c>
      <c r="L106" s="439">
        <v>5.0</v>
      </c>
      <c r="M106" s="391" t="s">
        <v>29</v>
      </c>
      <c r="N106" s="393" t="s">
        <v>32</v>
      </c>
      <c r="O106" s="396" t="s">
        <v>36</v>
      </c>
      <c r="P106" s="398" t="s">
        <v>37</v>
      </c>
      <c r="Q106" s="400" t="s">
        <v>42</v>
      </c>
    </row>
    <row r="107" ht="15.75" customHeight="1">
      <c r="B107" s="652"/>
      <c r="C107" s="653"/>
      <c r="D107" s="656" t="s">
        <v>85</v>
      </c>
      <c r="E107" s="654"/>
      <c r="F107" s="757"/>
      <c r="G107" s="757"/>
      <c r="H107" s="210"/>
      <c r="I107" s="210"/>
      <c r="J107" s="126"/>
      <c r="K107" s="149" t="s">
        <v>169</v>
      </c>
      <c r="L107" s="439">
        <v>2.0</v>
      </c>
      <c r="M107" s="220" t="s">
        <v>199</v>
      </c>
      <c r="N107" s="153" t="s">
        <v>168</v>
      </c>
    </row>
    <row r="108" ht="15.75" customHeight="1">
      <c r="B108" s="659"/>
      <c r="C108" s="661"/>
      <c r="D108" s="662" t="s">
        <v>86</v>
      </c>
      <c r="E108" s="759"/>
      <c r="F108" s="757"/>
      <c r="G108" s="757"/>
      <c r="H108" s="210"/>
      <c r="I108" s="210"/>
      <c r="J108" s="126"/>
      <c r="K108" s="128" t="s">
        <v>749</v>
      </c>
      <c r="L108" s="439">
        <v>5.0</v>
      </c>
      <c r="M108" s="220" t="s">
        <v>65</v>
      </c>
      <c r="N108" s="153" t="s">
        <v>197</v>
      </c>
      <c r="O108" s="153" t="s">
        <v>52</v>
      </c>
      <c r="P108" s="153" t="s">
        <v>74</v>
      </c>
      <c r="Q108" s="153" t="s">
        <v>40</v>
      </c>
    </row>
    <row r="109" ht="15.75" customHeight="1">
      <c r="B109" s="664"/>
      <c r="C109" s="665"/>
      <c r="D109" s="666"/>
      <c r="E109" s="667"/>
      <c r="F109" s="302"/>
      <c r="G109" s="302"/>
      <c r="H109" s="231"/>
      <c r="I109" s="231"/>
      <c r="J109" s="147"/>
      <c r="K109" s="281" t="s">
        <v>300</v>
      </c>
      <c r="L109" s="602">
        <v>2.0</v>
      </c>
      <c r="M109" s="719" t="s">
        <v>58</v>
      </c>
      <c r="N109" s="541" t="s">
        <v>60</v>
      </c>
      <c r="O109" s="504"/>
      <c r="P109" s="504"/>
      <c r="Q109" s="504"/>
      <c r="R109" s="504"/>
      <c r="S109" s="504"/>
      <c r="T109" s="504"/>
      <c r="U109" s="504"/>
      <c r="V109" s="504"/>
      <c r="W109" s="504"/>
      <c r="X109" s="504"/>
      <c r="Y109" s="504"/>
      <c r="Z109" s="504"/>
      <c r="AA109" s="504"/>
      <c r="AB109" s="504"/>
      <c r="AC109" s="504"/>
    </row>
    <row r="110" ht="15.75" customHeight="1">
      <c r="B110" s="644"/>
      <c r="C110" s="671"/>
      <c r="D110" s="672"/>
      <c r="E110" s="671"/>
      <c r="F110" s="302"/>
      <c r="G110" s="302"/>
      <c r="H110" s="760" t="s">
        <v>750</v>
      </c>
      <c r="I110" s="761" t="s">
        <v>507</v>
      </c>
      <c r="J110" s="104"/>
      <c r="K110" s="149" t="s">
        <v>508</v>
      </c>
      <c r="L110" s="439">
        <v>2.0</v>
      </c>
      <c r="M110" s="153" t="s">
        <v>84</v>
      </c>
      <c r="N110" s="153" t="s">
        <v>122</v>
      </c>
      <c r="O110" s="550"/>
      <c r="P110" s="550"/>
      <c r="Q110" s="550"/>
      <c r="R110" s="550"/>
    </row>
    <row r="111" ht="15.75" customHeight="1">
      <c r="B111" s="675" t="s">
        <v>680</v>
      </c>
      <c r="C111" s="677" t="s">
        <v>32</v>
      </c>
      <c r="D111" s="763" t="s">
        <v>48</v>
      </c>
      <c r="E111" s="680"/>
      <c r="F111" s="302"/>
      <c r="G111" s="302"/>
      <c r="H111" s="231"/>
      <c r="I111" s="231"/>
      <c r="J111" s="167"/>
      <c r="K111" s="281" t="s">
        <v>510</v>
      </c>
      <c r="L111" s="602">
        <v>2.0</v>
      </c>
      <c r="M111" s="153" t="s">
        <v>199</v>
      </c>
      <c r="N111" s="153" t="s">
        <v>168</v>
      </c>
      <c r="O111" s="504"/>
      <c r="P111" s="504"/>
      <c r="Q111" s="504"/>
      <c r="R111" s="504"/>
      <c r="S111" s="504"/>
      <c r="T111" s="504"/>
      <c r="U111" s="504"/>
      <c r="V111" s="504"/>
      <c r="W111" s="504"/>
      <c r="X111" s="504"/>
      <c r="Y111" s="504"/>
      <c r="Z111" s="504"/>
      <c r="AA111" s="504"/>
      <c r="AB111" s="504"/>
      <c r="AC111" s="504"/>
    </row>
    <row r="112" ht="15.75" customHeight="1">
      <c r="B112" s="664"/>
      <c r="C112" s="685"/>
      <c r="D112" s="686" t="s">
        <v>96</v>
      </c>
      <c r="E112" s="687"/>
      <c r="F112" s="302"/>
      <c r="G112" s="302"/>
      <c r="H112" s="334" t="s">
        <v>751</v>
      </c>
      <c r="I112" s="334" t="s">
        <v>516</v>
      </c>
      <c r="J112" s="104"/>
      <c r="K112" s="165" t="s">
        <v>752</v>
      </c>
      <c r="L112" s="764" t="s">
        <v>753</v>
      </c>
      <c r="M112" s="586" t="s">
        <v>754</v>
      </c>
      <c r="N112" s="550"/>
      <c r="O112" s="550"/>
      <c r="P112" s="550"/>
      <c r="Q112" s="550"/>
      <c r="R112" s="550"/>
    </row>
    <row r="113" ht="15.75" customHeight="1">
      <c r="B113" s="688"/>
      <c r="C113" s="689"/>
      <c r="D113" s="765" t="s">
        <v>77</v>
      </c>
      <c r="E113" s="683"/>
      <c r="F113" s="302"/>
      <c r="G113" s="302"/>
      <c r="H113" s="231"/>
      <c r="I113" s="231"/>
      <c r="J113" s="167"/>
      <c r="K113" s="147"/>
      <c r="L113" s="167"/>
      <c r="M113" s="22" t="s">
        <v>755</v>
      </c>
    </row>
    <row r="114" ht="15.75" customHeight="1">
      <c r="B114" s="652"/>
      <c r="C114" s="667"/>
      <c r="D114" s="766" t="s">
        <v>87</v>
      </c>
      <c r="E114" s="716"/>
      <c r="F114" s="302"/>
      <c r="G114" s="302"/>
      <c r="M114" s="99"/>
    </row>
    <row r="115" ht="15.75" customHeight="1">
      <c r="B115" s="652"/>
      <c r="C115" s="667"/>
      <c r="D115" s="767" t="s">
        <v>76</v>
      </c>
      <c r="E115" s="716"/>
      <c r="F115" s="302"/>
      <c r="G115" s="302"/>
      <c r="M115" s="99"/>
    </row>
    <row r="116" ht="15.75" customHeight="1">
      <c r="B116" s="664"/>
      <c r="C116" s="692"/>
      <c r="D116" s="111"/>
      <c r="E116" s="716"/>
      <c r="F116" s="302"/>
      <c r="G116" s="302"/>
      <c r="M116" s="99" t="s">
        <v>756</v>
      </c>
    </row>
    <row r="117" ht="15.75" customHeight="1">
      <c r="B117" s="768" t="s">
        <v>710</v>
      </c>
      <c r="C117" s="769" t="s">
        <v>36</v>
      </c>
      <c r="D117" s="703" t="s">
        <v>53</v>
      </c>
      <c r="E117" s="716"/>
      <c r="F117" s="302"/>
      <c r="G117" s="302"/>
      <c r="H117" s="770" t="s">
        <v>757</v>
      </c>
      <c r="I117" s="771" t="s">
        <v>758</v>
      </c>
      <c r="J117" s="82"/>
      <c r="K117" s="69"/>
      <c r="L117" s="772">
        <v>4.0</v>
      </c>
      <c r="M117" s="773" t="s">
        <v>82</v>
      </c>
      <c r="N117" s="774" t="s">
        <v>63</v>
      </c>
      <c r="O117" s="774" t="s">
        <v>85</v>
      </c>
      <c r="P117" s="774" t="s">
        <v>50</v>
      </c>
      <c r="Q117" s="775"/>
      <c r="R117" s="775"/>
    </row>
    <row r="118" ht="15.75" customHeight="1">
      <c r="B118" s="664"/>
      <c r="C118" s="722"/>
      <c r="D118" s="776" t="s">
        <v>80</v>
      </c>
      <c r="E118" s="701"/>
      <c r="F118" s="302"/>
      <c r="G118" s="302"/>
      <c r="I118" s="34"/>
      <c r="J118" s="34"/>
      <c r="K118" s="34"/>
    </row>
    <row r="119" ht="15.75" customHeight="1">
      <c r="B119" s="664"/>
      <c r="C119" s="692"/>
      <c r="D119" s="714" t="s">
        <v>79</v>
      </c>
      <c r="E119" s="726"/>
      <c r="F119" s="302"/>
      <c r="G119" s="302"/>
      <c r="I119" s="34"/>
      <c r="J119" s="34"/>
      <c r="K119" s="34"/>
    </row>
    <row r="120" ht="15.75" customHeight="1">
      <c r="B120" s="688"/>
      <c r="C120" s="689"/>
      <c r="D120" s="714" t="s">
        <v>89</v>
      </c>
      <c r="E120" s="619"/>
      <c r="F120" s="302"/>
      <c r="G120" s="302"/>
      <c r="I120" s="34"/>
      <c r="J120" s="34"/>
      <c r="K120" s="34"/>
    </row>
    <row r="121" ht="15.75" customHeight="1">
      <c r="B121" s="664"/>
      <c r="C121" s="722"/>
      <c r="D121" s="700"/>
      <c r="E121" s="777"/>
      <c r="F121" s="302"/>
      <c r="G121" s="302"/>
      <c r="I121" s="34"/>
      <c r="J121" s="34"/>
      <c r="K121" s="34"/>
    </row>
    <row r="122" ht="15.75" customHeight="1">
      <c r="B122" s="675" t="s">
        <v>722</v>
      </c>
      <c r="C122" s="724" t="s">
        <v>37</v>
      </c>
      <c r="D122" s="725" t="s">
        <v>54</v>
      </c>
      <c r="E122" s="778"/>
      <c r="F122" s="302"/>
      <c r="G122" s="302"/>
      <c r="I122" s="34"/>
      <c r="J122" s="34"/>
      <c r="K122" s="34"/>
    </row>
    <row r="123" ht="15.75" customHeight="1">
      <c r="B123" s="664"/>
      <c r="C123" s="685"/>
      <c r="D123" s="727" t="s">
        <v>81</v>
      </c>
      <c r="E123" s="667"/>
      <c r="F123" s="302"/>
      <c r="G123" s="302"/>
      <c r="I123" s="34"/>
      <c r="J123" s="34"/>
      <c r="K123" s="34"/>
    </row>
    <row r="124" ht="15.75" customHeight="1">
      <c r="B124" s="688"/>
      <c r="C124" s="689"/>
      <c r="D124" s="727" t="s">
        <v>96</v>
      </c>
      <c r="E124" s="735"/>
      <c r="F124" s="302"/>
      <c r="G124" s="302"/>
      <c r="I124" s="34"/>
      <c r="J124" s="34"/>
      <c r="K124" s="34"/>
    </row>
    <row r="125" ht="15.75" customHeight="1">
      <c r="B125" s="664"/>
      <c r="C125" s="692"/>
      <c r="D125" s="729" t="s">
        <v>55</v>
      </c>
      <c r="E125" s="735"/>
      <c r="F125" s="302"/>
      <c r="G125" s="302"/>
      <c r="I125" s="34"/>
      <c r="J125" s="34"/>
      <c r="K125" s="34"/>
    </row>
    <row r="126" ht="15.75" customHeight="1">
      <c r="B126" s="688"/>
      <c r="C126" s="699"/>
      <c r="D126" s="733"/>
      <c r="E126" s="779"/>
      <c r="F126" s="302"/>
      <c r="G126" s="302"/>
      <c r="I126" s="34"/>
      <c r="J126" s="34"/>
      <c r="K126" s="34"/>
    </row>
    <row r="127" ht="15.75" customHeight="1">
      <c r="B127" s="675" t="s">
        <v>732</v>
      </c>
      <c r="C127" s="734" t="s">
        <v>42</v>
      </c>
      <c r="D127" s="734" t="s">
        <v>56</v>
      </c>
      <c r="E127" s="740"/>
      <c r="F127" s="302"/>
      <c r="G127" s="302"/>
      <c r="I127" s="34"/>
      <c r="J127" s="34"/>
      <c r="K127" s="34"/>
    </row>
    <row r="128" ht="15.75" customHeight="1">
      <c r="B128" s="688"/>
      <c r="C128" s="661"/>
      <c r="D128" s="734" t="s">
        <v>71</v>
      </c>
      <c r="E128" s="740"/>
      <c r="F128" s="302"/>
      <c r="G128" s="302"/>
      <c r="I128" s="34"/>
      <c r="J128" s="34"/>
      <c r="K128" s="34"/>
    </row>
    <row r="129" ht="15.75" customHeight="1">
      <c r="B129" s="664"/>
      <c r="C129" s="692"/>
      <c r="D129" s="139" t="s">
        <v>82</v>
      </c>
      <c r="E129" s="740"/>
      <c r="F129" s="302"/>
      <c r="G129" s="302"/>
      <c r="I129" s="34"/>
      <c r="J129" s="34"/>
      <c r="K129" s="34"/>
    </row>
    <row r="130" ht="15.75" customHeight="1">
      <c r="B130" s="688"/>
      <c r="C130" s="689"/>
      <c r="D130" s="139" t="s">
        <v>97</v>
      </c>
      <c r="E130" s="740"/>
      <c r="F130" s="302"/>
      <c r="G130" s="302"/>
      <c r="I130" s="34"/>
      <c r="J130" s="34"/>
      <c r="K130" s="34"/>
    </row>
    <row r="131" ht="15.75" customHeight="1">
      <c r="B131" s="746"/>
      <c r="C131" s="747"/>
      <c r="D131" s="139"/>
      <c r="E131" s="740"/>
      <c r="F131" s="302"/>
      <c r="G131" s="302"/>
      <c r="I131" s="34"/>
      <c r="J131" s="34"/>
      <c r="K131" s="34"/>
    </row>
    <row r="132" ht="15.75" customHeight="1">
      <c r="B132" s="302"/>
      <c r="C132" s="781"/>
      <c r="D132" s="781"/>
      <c r="E132" s="781"/>
      <c r="F132" s="302"/>
      <c r="G132" s="302"/>
      <c r="I132" s="34"/>
      <c r="J132" s="34"/>
      <c r="K132" s="34"/>
    </row>
    <row r="133" ht="15.75" customHeight="1">
      <c r="B133" s="302"/>
      <c r="C133" s="781"/>
      <c r="D133" s="781"/>
      <c r="E133" s="781"/>
      <c r="F133" s="302"/>
      <c r="G133" s="302"/>
      <c r="I133" s="34"/>
      <c r="J133" s="34"/>
      <c r="K133" s="34"/>
    </row>
    <row r="134" ht="15.75" customHeight="1">
      <c r="B134" s="302"/>
      <c r="C134" s="781"/>
      <c r="D134" s="781"/>
      <c r="E134" s="781"/>
      <c r="F134" s="302"/>
      <c r="G134" s="302"/>
      <c r="I134" s="34"/>
      <c r="J134" s="34"/>
      <c r="K134" s="34"/>
    </row>
    <row r="135" ht="15.75" customHeight="1">
      <c r="B135" s="302"/>
      <c r="C135" s="781"/>
      <c r="D135" s="781"/>
      <c r="E135" s="781"/>
      <c r="F135" s="302"/>
      <c r="G135" s="302"/>
      <c r="I135" s="34"/>
      <c r="J135" s="34"/>
      <c r="K135" s="34"/>
    </row>
    <row r="136" ht="15.75" customHeight="1">
      <c r="B136" s="302"/>
      <c r="C136" s="781"/>
      <c r="D136" s="781"/>
      <c r="E136" s="781"/>
      <c r="F136" s="302"/>
      <c r="G136" s="302"/>
      <c r="I136" s="34"/>
      <c r="J136" s="34"/>
      <c r="K136" s="34"/>
    </row>
    <row r="137" ht="15.75" customHeight="1">
      <c r="B137" s="302"/>
      <c r="C137" s="781"/>
      <c r="D137" s="781"/>
      <c r="E137" s="781"/>
      <c r="F137" s="302"/>
      <c r="G137" s="302"/>
      <c r="I137" s="34"/>
      <c r="J137" s="34"/>
      <c r="K137" s="34"/>
    </row>
    <row r="138" ht="15.75" customHeight="1">
      <c r="B138" s="302"/>
      <c r="C138" s="781"/>
      <c r="D138" s="781"/>
      <c r="E138" s="781"/>
      <c r="F138" s="302"/>
      <c r="G138" s="302"/>
      <c r="I138" s="34"/>
      <c r="J138" s="34"/>
      <c r="K138" s="34"/>
    </row>
    <row r="139" ht="15.75" customHeight="1">
      <c r="B139" s="302"/>
      <c r="C139" s="781"/>
      <c r="D139" s="781"/>
      <c r="E139" s="781"/>
      <c r="F139" s="302"/>
      <c r="G139" s="302"/>
      <c r="I139" s="34"/>
      <c r="J139" s="34"/>
      <c r="K139" s="34"/>
    </row>
    <row r="140" ht="15.75" customHeight="1">
      <c r="B140" s="302"/>
      <c r="C140" s="781"/>
      <c r="D140" s="781"/>
      <c r="E140" s="781"/>
      <c r="F140" s="302"/>
      <c r="G140" s="302"/>
      <c r="I140" s="34"/>
      <c r="J140" s="34"/>
      <c r="K140" s="34"/>
    </row>
    <row r="141" ht="15.75" customHeight="1">
      <c r="B141" s="302"/>
      <c r="C141" s="781"/>
      <c r="D141" s="781"/>
      <c r="E141" s="781"/>
      <c r="F141" s="302"/>
      <c r="G141" s="302"/>
      <c r="I141" s="34"/>
      <c r="J141" s="34"/>
      <c r="K141" s="34"/>
    </row>
    <row r="142" ht="15.75" customHeight="1">
      <c r="B142" s="302"/>
      <c r="C142" s="781"/>
      <c r="D142" s="781"/>
      <c r="E142" s="781"/>
      <c r="F142" s="302"/>
      <c r="G142" s="302"/>
      <c r="I142" s="34"/>
      <c r="J142" s="34"/>
      <c r="K142" s="34"/>
    </row>
    <row r="143" ht="15.75" customHeight="1">
      <c r="B143" s="302"/>
      <c r="C143" s="781"/>
      <c r="D143" s="781"/>
      <c r="E143" s="781"/>
      <c r="F143" s="302"/>
      <c r="I143" s="34"/>
      <c r="J143" s="34"/>
      <c r="K143" s="34"/>
    </row>
    <row r="144" ht="15.75" customHeight="1">
      <c r="B144" s="302"/>
      <c r="C144" s="781"/>
      <c r="D144" s="781"/>
      <c r="E144" s="781"/>
      <c r="I144" s="34"/>
      <c r="J144" s="34"/>
      <c r="K144" s="34"/>
    </row>
    <row r="145" ht="15.75" customHeight="1">
      <c r="B145" s="302"/>
      <c r="C145" s="781"/>
      <c r="D145" s="781"/>
      <c r="E145" s="781"/>
      <c r="I145" s="34"/>
      <c r="J145" s="34"/>
      <c r="K145" s="34"/>
    </row>
    <row r="146" ht="15.75" customHeight="1">
      <c r="B146" s="302"/>
      <c r="C146" s="781"/>
      <c r="D146" s="781"/>
      <c r="E146" s="781"/>
      <c r="I146" s="34"/>
      <c r="J146" s="34"/>
      <c r="K146" s="34"/>
    </row>
    <row r="147" ht="15.75" customHeight="1">
      <c r="B147" s="302"/>
      <c r="C147" s="781"/>
      <c r="D147" s="781"/>
      <c r="E147" s="781"/>
      <c r="F147" s="302"/>
      <c r="G147" s="302"/>
      <c r="I147" s="34"/>
      <c r="J147" s="34"/>
      <c r="K147" s="34"/>
    </row>
    <row r="148" ht="15.75" customHeight="1">
      <c r="B148" s="302"/>
      <c r="C148" s="781"/>
      <c r="D148" s="781"/>
      <c r="E148" s="781"/>
      <c r="F148" s="302"/>
      <c r="G148" s="302"/>
      <c r="I148" s="34"/>
      <c r="J148" s="34"/>
      <c r="K148" s="34"/>
    </row>
    <row r="149" ht="15.75" customHeight="1">
      <c r="B149" s="302"/>
      <c r="C149" s="781"/>
      <c r="D149" s="781"/>
      <c r="E149" s="781"/>
      <c r="F149" s="302"/>
      <c r="G149" s="302"/>
      <c r="I149" s="34"/>
      <c r="J149" s="34"/>
      <c r="K149" s="34"/>
    </row>
    <row r="150" ht="15.75" customHeight="1">
      <c r="B150" s="302"/>
      <c r="C150" s="781"/>
      <c r="D150" s="781"/>
      <c r="E150" s="781"/>
      <c r="F150" s="302"/>
      <c r="G150" s="302"/>
      <c r="I150" s="34"/>
      <c r="J150" s="34"/>
      <c r="K150" s="34"/>
    </row>
    <row r="151" ht="15.75" customHeight="1">
      <c r="B151" s="302"/>
      <c r="C151" s="781"/>
      <c r="D151" s="781"/>
      <c r="E151" s="781"/>
      <c r="F151" s="302"/>
      <c r="G151" s="302"/>
      <c r="I151" s="34"/>
      <c r="J151" s="34"/>
      <c r="K151" s="34"/>
    </row>
    <row r="152" ht="15.75" customHeight="1">
      <c r="B152" s="302"/>
      <c r="C152" s="781"/>
      <c r="D152" s="781"/>
      <c r="E152" s="781"/>
      <c r="F152" s="302"/>
      <c r="G152" s="302"/>
      <c r="I152" s="34"/>
      <c r="J152" s="34"/>
      <c r="K152" s="34"/>
    </row>
    <row r="153" ht="15.75" customHeight="1">
      <c r="B153" s="302"/>
      <c r="C153" s="781"/>
      <c r="D153" s="781"/>
      <c r="E153" s="781"/>
      <c r="F153" s="302"/>
      <c r="G153" s="302"/>
      <c r="I153" s="34"/>
      <c r="J153" s="34"/>
      <c r="K153" s="34"/>
    </row>
    <row r="154" ht="15.75" customHeight="1">
      <c r="B154" s="302"/>
      <c r="C154" s="781"/>
      <c r="D154" s="781"/>
      <c r="E154" s="781"/>
      <c r="F154" s="302"/>
      <c r="G154" s="302"/>
      <c r="I154" s="34"/>
      <c r="J154" s="34"/>
      <c r="K154" s="34"/>
    </row>
    <row r="155" ht="15.75" customHeight="1">
      <c r="B155" s="302"/>
      <c r="C155" s="781"/>
      <c r="D155" s="781"/>
      <c r="E155" s="781"/>
      <c r="F155" s="302"/>
      <c r="G155" s="302"/>
      <c r="I155" s="34"/>
      <c r="J155" s="34"/>
      <c r="K155" s="34"/>
    </row>
    <row r="156" ht="15.75" customHeight="1">
      <c r="B156" s="302"/>
      <c r="C156" s="781"/>
      <c r="D156" s="781"/>
      <c r="E156" s="781"/>
      <c r="F156" s="302"/>
      <c r="G156" s="302"/>
      <c r="I156" s="34"/>
      <c r="J156" s="34"/>
      <c r="K156" s="34"/>
    </row>
    <row r="157" ht="15.75" customHeight="1">
      <c r="B157" s="302"/>
      <c r="C157" s="781"/>
      <c r="D157" s="781"/>
      <c r="E157" s="781"/>
      <c r="F157" s="302"/>
      <c r="G157" s="302"/>
      <c r="I157" s="34"/>
      <c r="J157" s="34"/>
      <c r="K157" s="34"/>
    </row>
    <row r="158" ht="15.75" customHeight="1">
      <c r="B158" s="302"/>
      <c r="C158" s="781"/>
      <c r="D158" s="781"/>
      <c r="E158" s="781"/>
      <c r="F158" s="302"/>
      <c r="G158" s="302"/>
      <c r="I158" s="34"/>
      <c r="J158" s="34"/>
      <c r="K158" s="34"/>
    </row>
    <row r="159" ht="15.75" customHeight="1">
      <c r="B159" s="302"/>
      <c r="C159" s="781"/>
      <c r="D159" s="781"/>
      <c r="E159" s="781"/>
      <c r="F159" s="302"/>
      <c r="G159" s="302"/>
      <c r="I159" s="34"/>
      <c r="J159" s="34"/>
      <c r="K159" s="34"/>
    </row>
    <row r="160" ht="15.75" customHeight="1">
      <c r="C160" s="27"/>
      <c r="D160" s="27"/>
      <c r="E160" s="27"/>
      <c r="I160" s="34"/>
      <c r="J160" s="34"/>
      <c r="K160" s="34"/>
    </row>
    <row r="161" ht="15.75" customHeight="1">
      <c r="C161" s="27"/>
      <c r="D161" s="27"/>
      <c r="E161" s="27"/>
      <c r="I161" s="34"/>
      <c r="J161" s="34"/>
      <c r="K161" s="34"/>
    </row>
    <row r="162" ht="15.75" customHeight="1">
      <c r="C162" s="27"/>
      <c r="D162" s="27"/>
      <c r="E162" s="27"/>
      <c r="I162" s="34"/>
      <c r="J162" s="34"/>
      <c r="K162" s="34"/>
    </row>
    <row r="163" ht="15.75" customHeight="1">
      <c r="C163" s="27"/>
      <c r="D163" s="27"/>
      <c r="E163" s="27"/>
      <c r="I163" s="34"/>
      <c r="J163" s="34"/>
      <c r="K163" s="34"/>
    </row>
    <row r="164" ht="15.75" customHeight="1">
      <c r="C164" s="27"/>
      <c r="D164" s="27"/>
      <c r="E164" s="27"/>
      <c r="I164" s="34"/>
      <c r="J164" s="34"/>
      <c r="K164" s="34"/>
    </row>
    <row r="165" ht="15.75" customHeight="1">
      <c r="C165" s="27"/>
      <c r="D165" s="27"/>
      <c r="E165" s="27"/>
      <c r="I165" s="34"/>
      <c r="J165" s="34"/>
      <c r="K165" s="34"/>
    </row>
    <row r="166" ht="15.75" customHeight="1">
      <c r="C166" s="27"/>
      <c r="D166" s="27"/>
      <c r="E166" s="27"/>
      <c r="I166" s="34"/>
      <c r="J166" s="34"/>
      <c r="K166" s="34"/>
    </row>
    <row r="167" ht="15.75" customHeight="1">
      <c r="C167" s="27"/>
      <c r="D167" s="27"/>
      <c r="E167" s="27"/>
      <c r="I167" s="34"/>
      <c r="J167" s="34"/>
      <c r="K167" s="34"/>
    </row>
    <row r="168" ht="15.75" customHeight="1">
      <c r="C168" s="27"/>
      <c r="D168" s="27"/>
      <c r="E168" s="27"/>
      <c r="I168" s="34"/>
      <c r="J168" s="34"/>
      <c r="K168" s="34"/>
    </row>
    <row r="169" ht="15.75" customHeight="1">
      <c r="C169" s="27"/>
      <c r="D169" s="27"/>
      <c r="E169" s="27"/>
      <c r="I169" s="34"/>
      <c r="J169" s="34"/>
      <c r="K169" s="34"/>
    </row>
    <row r="170" ht="15.75" customHeight="1">
      <c r="C170" s="27"/>
      <c r="D170" s="27"/>
      <c r="E170" s="27"/>
      <c r="I170" s="34"/>
      <c r="J170" s="34"/>
      <c r="K170" s="34"/>
    </row>
    <row r="171" ht="15.75" customHeight="1">
      <c r="C171" s="27"/>
      <c r="D171" s="27"/>
      <c r="E171" s="27"/>
      <c r="I171" s="34"/>
      <c r="J171" s="34"/>
      <c r="K171" s="34"/>
    </row>
    <row r="172" ht="15.75" customHeight="1">
      <c r="C172" s="27"/>
      <c r="D172" s="27"/>
      <c r="E172" s="27"/>
      <c r="I172" s="34"/>
      <c r="J172" s="34"/>
      <c r="K172" s="34"/>
    </row>
    <row r="173" ht="15.75" customHeight="1">
      <c r="C173" s="27"/>
      <c r="D173" s="27"/>
      <c r="E173" s="27"/>
      <c r="I173" s="34"/>
      <c r="J173" s="34"/>
      <c r="K173" s="34"/>
    </row>
    <row r="174" ht="15.75" customHeight="1">
      <c r="C174" s="27"/>
      <c r="D174" s="27"/>
      <c r="E174" s="27"/>
      <c r="I174" s="34"/>
      <c r="J174" s="34"/>
      <c r="K174" s="34"/>
    </row>
    <row r="175" ht="15.75" customHeight="1">
      <c r="C175" s="27"/>
      <c r="D175" s="27"/>
      <c r="E175" s="27"/>
      <c r="I175" s="34"/>
      <c r="J175" s="34"/>
      <c r="K175" s="34"/>
    </row>
    <row r="176" ht="15.75" customHeight="1">
      <c r="C176" s="27"/>
      <c r="D176" s="27"/>
      <c r="E176" s="27"/>
      <c r="I176" s="34"/>
      <c r="J176" s="34"/>
      <c r="K176" s="34"/>
    </row>
    <row r="177" ht="15.75" customHeight="1">
      <c r="C177" s="27"/>
      <c r="D177" s="27"/>
      <c r="E177" s="27"/>
      <c r="I177" s="34"/>
      <c r="J177" s="34"/>
      <c r="K177" s="34"/>
    </row>
    <row r="178" ht="15.75" customHeight="1">
      <c r="C178" s="27"/>
      <c r="D178" s="27"/>
      <c r="E178" s="27"/>
      <c r="I178" s="34"/>
      <c r="J178" s="34"/>
      <c r="K178" s="34"/>
    </row>
    <row r="179" ht="15.75" customHeight="1">
      <c r="C179" s="27"/>
      <c r="D179" s="27"/>
      <c r="E179" s="27"/>
      <c r="I179" s="34"/>
      <c r="J179" s="34"/>
      <c r="K179" s="34"/>
    </row>
    <row r="180" ht="15.75" customHeight="1">
      <c r="C180" s="27"/>
      <c r="D180" s="27"/>
      <c r="E180" s="27"/>
      <c r="I180" s="34"/>
      <c r="J180" s="34"/>
      <c r="K180" s="34"/>
    </row>
    <row r="181" ht="15.75" customHeight="1">
      <c r="C181" s="27"/>
      <c r="D181" s="27"/>
      <c r="E181" s="27"/>
      <c r="I181" s="34"/>
      <c r="J181" s="34"/>
      <c r="K181" s="34"/>
    </row>
    <row r="182" ht="15.75" customHeight="1">
      <c r="C182" s="27"/>
      <c r="D182" s="27"/>
      <c r="E182" s="27"/>
      <c r="I182" s="34"/>
      <c r="J182" s="34"/>
      <c r="K182" s="34"/>
    </row>
    <row r="183" ht="15.75" customHeight="1">
      <c r="C183" s="27"/>
      <c r="D183" s="27"/>
      <c r="E183" s="27"/>
      <c r="I183" s="34"/>
      <c r="J183" s="34"/>
      <c r="K183" s="34"/>
    </row>
    <row r="184" ht="15.75" customHeight="1">
      <c r="C184" s="27"/>
      <c r="D184" s="27"/>
      <c r="E184" s="27"/>
      <c r="I184" s="34"/>
      <c r="J184" s="34"/>
      <c r="K184" s="34"/>
    </row>
    <row r="185" ht="15.75" customHeight="1">
      <c r="C185" s="27"/>
      <c r="D185" s="27"/>
      <c r="E185" s="27"/>
      <c r="I185" s="34"/>
      <c r="J185" s="34"/>
      <c r="K185" s="34"/>
    </row>
    <row r="186" ht="15.75" customHeight="1">
      <c r="C186" s="27"/>
      <c r="D186" s="27"/>
      <c r="E186" s="27"/>
      <c r="I186" s="34"/>
      <c r="J186" s="34"/>
      <c r="K186" s="34"/>
    </row>
    <row r="187" ht="15.75" customHeight="1">
      <c r="C187" s="27"/>
      <c r="D187" s="27"/>
      <c r="E187" s="27"/>
      <c r="I187" s="34"/>
      <c r="J187" s="34"/>
      <c r="K187" s="34"/>
    </row>
    <row r="188" ht="15.75" customHeight="1">
      <c r="C188" s="27"/>
      <c r="D188" s="27"/>
      <c r="E188" s="27"/>
      <c r="I188" s="34"/>
      <c r="J188" s="34"/>
      <c r="K188" s="34"/>
    </row>
    <row r="189" ht="15.75" customHeight="1">
      <c r="C189" s="27"/>
      <c r="D189" s="27"/>
      <c r="E189" s="27"/>
      <c r="I189" s="34"/>
      <c r="J189" s="34"/>
      <c r="K189" s="34"/>
    </row>
    <row r="190" ht="15.75" customHeight="1">
      <c r="C190" s="27"/>
      <c r="D190" s="27"/>
      <c r="E190" s="27"/>
      <c r="I190" s="34"/>
      <c r="J190" s="34"/>
      <c r="K190" s="34"/>
    </row>
    <row r="191" ht="15.75" customHeight="1">
      <c r="C191" s="27"/>
      <c r="D191" s="27"/>
      <c r="E191" s="27"/>
      <c r="I191" s="34"/>
      <c r="J191" s="34"/>
      <c r="K191" s="34"/>
    </row>
    <row r="192" ht="15.75" customHeight="1">
      <c r="C192" s="27"/>
      <c r="D192" s="27"/>
      <c r="E192" s="27"/>
      <c r="I192" s="34"/>
      <c r="J192" s="34"/>
      <c r="K192" s="34"/>
    </row>
    <row r="193" ht="15.75" customHeight="1">
      <c r="C193" s="27"/>
      <c r="D193" s="27"/>
      <c r="E193" s="27"/>
      <c r="I193" s="34"/>
      <c r="J193" s="34"/>
      <c r="K193" s="34"/>
    </row>
    <row r="194" ht="15.75" customHeight="1">
      <c r="C194" s="27"/>
      <c r="D194" s="27"/>
      <c r="E194" s="27"/>
      <c r="I194" s="34"/>
      <c r="J194" s="34"/>
      <c r="K194" s="34"/>
    </row>
    <row r="195" ht="15.75" customHeight="1">
      <c r="C195" s="27"/>
      <c r="D195" s="27"/>
      <c r="E195" s="27"/>
      <c r="I195" s="34"/>
      <c r="J195" s="34"/>
      <c r="K195" s="34"/>
    </row>
    <row r="196" ht="15.75" customHeight="1">
      <c r="C196" s="27"/>
      <c r="D196" s="27"/>
      <c r="E196" s="27"/>
      <c r="I196" s="34"/>
      <c r="J196" s="34"/>
      <c r="K196" s="34"/>
    </row>
    <row r="197" ht="15.75" customHeight="1">
      <c r="C197" s="27"/>
      <c r="D197" s="27"/>
      <c r="E197" s="27"/>
      <c r="I197" s="34"/>
      <c r="J197" s="34"/>
      <c r="K197" s="34"/>
    </row>
    <row r="198" ht="15.75" customHeight="1">
      <c r="C198" s="27"/>
      <c r="D198" s="27"/>
      <c r="E198" s="27"/>
      <c r="I198" s="34"/>
      <c r="J198" s="34"/>
      <c r="K198" s="34"/>
    </row>
    <row r="199" ht="15.75" customHeight="1">
      <c r="C199" s="27"/>
      <c r="D199" s="27"/>
      <c r="E199" s="27"/>
      <c r="I199" s="34"/>
      <c r="J199" s="34"/>
      <c r="K199" s="34"/>
    </row>
    <row r="200" ht="15.75" customHeight="1">
      <c r="C200" s="27"/>
      <c r="D200" s="27"/>
      <c r="E200" s="27"/>
      <c r="I200" s="34"/>
      <c r="J200" s="34"/>
      <c r="K200" s="34"/>
    </row>
    <row r="201" ht="15.75" customHeight="1">
      <c r="C201" s="27"/>
      <c r="D201" s="27"/>
      <c r="E201" s="27"/>
      <c r="I201" s="34"/>
      <c r="J201" s="34"/>
      <c r="K201" s="34"/>
    </row>
    <row r="202" ht="15.75" customHeight="1">
      <c r="C202" s="27"/>
      <c r="D202" s="27"/>
      <c r="E202" s="27"/>
      <c r="I202" s="34"/>
      <c r="J202" s="34"/>
      <c r="K202" s="34"/>
    </row>
    <row r="203" ht="15.75" customHeight="1">
      <c r="C203" s="27"/>
      <c r="D203" s="27"/>
      <c r="E203" s="27"/>
      <c r="I203" s="34"/>
      <c r="J203" s="34"/>
      <c r="K203" s="34"/>
    </row>
    <row r="204" ht="15.75" customHeight="1">
      <c r="C204" s="27"/>
      <c r="D204" s="27"/>
      <c r="E204" s="27"/>
      <c r="I204" s="34"/>
      <c r="J204" s="34"/>
      <c r="K204" s="34"/>
    </row>
    <row r="205" ht="15.75" customHeight="1">
      <c r="C205" s="27"/>
      <c r="D205" s="27"/>
      <c r="E205" s="27"/>
      <c r="I205" s="34"/>
      <c r="J205" s="34"/>
      <c r="K205" s="34"/>
    </row>
    <row r="206" ht="15.75" customHeight="1">
      <c r="C206" s="27"/>
      <c r="D206" s="27"/>
      <c r="E206" s="27"/>
      <c r="I206" s="34"/>
      <c r="J206" s="34"/>
      <c r="K206" s="34"/>
    </row>
    <row r="207" ht="15.75" customHeight="1">
      <c r="C207" s="27"/>
      <c r="D207" s="27"/>
      <c r="E207" s="27"/>
      <c r="I207" s="34"/>
      <c r="J207" s="34"/>
      <c r="K207" s="34"/>
    </row>
    <row r="208" ht="15.75" customHeight="1">
      <c r="C208" s="27"/>
      <c r="D208" s="27"/>
      <c r="E208" s="27"/>
      <c r="I208" s="34"/>
      <c r="J208" s="34"/>
      <c r="K208" s="34"/>
    </row>
    <row r="209" ht="15.75" customHeight="1">
      <c r="C209" s="27"/>
      <c r="D209" s="27"/>
      <c r="E209" s="27"/>
      <c r="I209" s="34"/>
      <c r="J209" s="34"/>
      <c r="K209" s="34"/>
    </row>
    <row r="210" ht="15.75" customHeight="1">
      <c r="C210" s="27"/>
      <c r="D210" s="27"/>
      <c r="E210" s="27"/>
      <c r="I210" s="34"/>
      <c r="J210" s="34"/>
      <c r="K210" s="34"/>
    </row>
    <row r="211" ht="15.75" customHeight="1">
      <c r="C211" s="27"/>
      <c r="D211" s="27"/>
      <c r="E211" s="27"/>
      <c r="I211" s="34"/>
      <c r="J211" s="34"/>
      <c r="K211" s="34"/>
    </row>
    <row r="212" ht="15.75" customHeight="1">
      <c r="C212" s="27"/>
      <c r="D212" s="27"/>
      <c r="E212" s="27"/>
      <c r="I212" s="34"/>
      <c r="J212" s="34"/>
      <c r="K212" s="34"/>
    </row>
    <row r="213" ht="15.75" customHeight="1">
      <c r="C213" s="27"/>
      <c r="D213" s="27"/>
      <c r="E213" s="27"/>
      <c r="I213" s="34"/>
      <c r="J213" s="34"/>
      <c r="K213" s="34"/>
    </row>
    <row r="214" ht="15.75" customHeight="1">
      <c r="C214" s="27"/>
      <c r="D214" s="27"/>
      <c r="E214" s="27"/>
      <c r="I214" s="34"/>
      <c r="J214" s="34"/>
      <c r="K214" s="34"/>
    </row>
    <row r="215" ht="15.75" customHeight="1">
      <c r="C215" s="27"/>
      <c r="D215" s="27"/>
      <c r="E215" s="27"/>
      <c r="I215" s="34"/>
      <c r="J215" s="34"/>
      <c r="K215" s="34"/>
    </row>
    <row r="216" ht="15.75" customHeight="1">
      <c r="C216" s="27"/>
      <c r="D216" s="27"/>
      <c r="E216" s="27"/>
      <c r="I216" s="34"/>
      <c r="J216" s="34"/>
      <c r="K216" s="34"/>
    </row>
    <row r="217" ht="15.75" customHeight="1">
      <c r="C217" s="27"/>
      <c r="D217" s="27"/>
      <c r="E217" s="27"/>
      <c r="I217" s="34"/>
      <c r="J217" s="34"/>
      <c r="K217" s="34"/>
    </row>
    <row r="218" ht="15.75" customHeight="1">
      <c r="C218" s="27"/>
      <c r="D218" s="27"/>
      <c r="E218" s="27"/>
      <c r="I218" s="34"/>
      <c r="J218" s="34"/>
      <c r="K218" s="34"/>
    </row>
    <row r="219" ht="15.75" customHeight="1">
      <c r="C219" s="27"/>
      <c r="D219" s="27"/>
      <c r="E219" s="27"/>
      <c r="I219" s="34"/>
      <c r="J219" s="34"/>
      <c r="K219" s="34"/>
    </row>
    <row r="220" ht="15.75" customHeight="1">
      <c r="C220" s="27"/>
      <c r="D220" s="27"/>
      <c r="E220" s="27"/>
      <c r="I220" s="34"/>
      <c r="J220" s="34"/>
      <c r="K220" s="34"/>
    </row>
    <row r="221" ht="15.75" customHeight="1">
      <c r="C221" s="27"/>
      <c r="D221" s="27"/>
      <c r="E221" s="27"/>
      <c r="I221" s="34"/>
      <c r="J221" s="34"/>
      <c r="K221" s="34"/>
    </row>
    <row r="222" ht="15.75" customHeight="1">
      <c r="C222" s="27"/>
      <c r="D222" s="27"/>
      <c r="E222" s="27"/>
      <c r="I222" s="34"/>
      <c r="J222" s="34"/>
      <c r="K222" s="34"/>
    </row>
    <row r="223" ht="15.75" customHeight="1">
      <c r="C223" s="27"/>
      <c r="D223" s="27"/>
      <c r="E223" s="27"/>
      <c r="I223" s="34"/>
      <c r="J223" s="34"/>
      <c r="K223" s="34"/>
    </row>
    <row r="224" ht="15.75" customHeight="1">
      <c r="C224" s="27"/>
      <c r="D224" s="27"/>
      <c r="E224" s="27"/>
      <c r="I224" s="34"/>
      <c r="J224" s="34"/>
      <c r="K224" s="34"/>
    </row>
    <row r="225" ht="15.75" customHeight="1">
      <c r="C225" s="27"/>
      <c r="D225" s="27"/>
      <c r="E225" s="27"/>
      <c r="I225" s="34"/>
      <c r="J225" s="34"/>
      <c r="K225" s="34"/>
    </row>
    <row r="226" ht="15.75" customHeight="1">
      <c r="C226" s="27"/>
      <c r="D226" s="27"/>
      <c r="E226" s="27"/>
      <c r="I226" s="34"/>
      <c r="J226" s="34"/>
      <c r="K226" s="34"/>
    </row>
    <row r="227" ht="15.75" customHeight="1">
      <c r="C227" s="27"/>
      <c r="D227" s="27"/>
      <c r="E227" s="27"/>
      <c r="I227" s="34"/>
      <c r="J227" s="34"/>
      <c r="K227" s="34"/>
    </row>
    <row r="228" ht="15.75" customHeight="1">
      <c r="C228" s="27"/>
      <c r="D228" s="27"/>
      <c r="E228" s="27"/>
      <c r="I228" s="34"/>
      <c r="J228" s="34"/>
      <c r="K228" s="34"/>
    </row>
    <row r="229" ht="15.75" customHeight="1">
      <c r="C229" s="27"/>
      <c r="D229" s="27"/>
      <c r="E229" s="27"/>
      <c r="I229" s="34"/>
      <c r="J229" s="34"/>
      <c r="K229" s="34"/>
    </row>
    <row r="230" ht="15.75" customHeight="1">
      <c r="C230" s="27"/>
      <c r="D230" s="27"/>
      <c r="E230" s="27"/>
      <c r="I230" s="34"/>
      <c r="J230" s="34"/>
      <c r="K230" s="34"/>
    </row>
    <row r="231" ht="15.75" customHeight="1">
      <c r="C231" s="27"/>
      <c r="D231" s="27"/>
      <c r="E231" s="27"/>
      <c r="I231" s="34"/>
      <c r="J231" s="34"/>
      <c r="K231" s="34"/>
    </row>
    <row r="232" ht="15.75" customHeight="1">
      <c r="C232" s="27"/>
      <c r="D232" s="27"/>
      <c r="E232" s="27"/>
      <c r="I232" s="34"/>
      <c r="J232" s="34"/>
      <c r="K232" s="34"/>
    </row>
    <row r="233" ht="15.75" customHeight="1">
      <c r="C233" s="27"/>
      <c r="D233" s="27"/>
      <c r="E233" s="27"/>
      <c r="I233" s="34"/>
      <c r="J233" s="34"/>
      <c r="K233" s="34"/>
    </row>
    <row r="234" ht="15.75" customHeight="1">
      <c r="C234" s="27"/>
      <c r="D234" s="27"/>
      <c r="E234" s="27"/>
      <c r="I234" s="34"/>
      <c r="J234" s="34"/>
      <c r="K234" s="34"/>
    </row>
    <row r="235" ht="15.75" customHeight="1">
      <c r="C235" s="27"/>
      <c r="D235" s="27"/>
      <c r="E235" s="27"/>
      <c r="I235" s="34"/>
      <c r="J235" s="34"/>
      <c r="K235" s="34"/>
    </row>
    <row r="236" ht="15.75" customHeight="1">
      <c r="C236" s="27"/>
      <c r="D236" s="27"/>
      <c r="E236" s="27"/>
      <c r="I236" s="34"/>
      <c r="J236" s="34"/>
      <c r="K236" s="34"/>
    </row>
    <row r="237" ht="15.75" customHeight="1">
      <c r="C237" s="27"/>
      <c r="D237" s="27"/>
      <c r="E237" s="27"/>
      <c r="I237" s="34"/>
      <c r="J237" s="34"/>
      <c r="K237" s="34"/>
    </row>
    <row r="238" ht="15.75" customHeight="1">
      <c r="C238" s="27"/>
      <c r="D238" s="27"/>
      <c r="E238" s="27"/>
      <c r="I238" s="34"/>
      <c r="J238" s="34"/>
      <c r="K238" s="34"/>
    </row>
    <row r="239" ht="15.75" customHeight="1">
      <c r="C239" s="27"/>
      <c r="D239" s="27"/>
      <c r="E239" s="27"/>
      <c r="I239" s="34"/>
      <c r="J239" s="34"/>
      <c r="K239" s="34"/>
    </row>
    <row r="240" ht="15.75" customHeight="1">
      <c r="C240" s="27"/>
      <c r="D240" s="27"/>
      <c r="E240" s="27"/>
      <c r="I240" s="34"/>
      <c r="J240" s="34"/>
      <c r="K240" s="34"/>
    </row>
    <row r="241" ht="15.75" customHeight="1">
      <c r="C241" s="27"/>
      <c r="D241" s="27"/>
      <c r="E241" s="27"/>
      <c r="I241" s="34"/>
      <c r="J241" s="34"/>
      <c r="K241" s="34"/>
    </row>
    <row r="242" ht="15.75" customHeight="1">
      <c r="C242" s="27"/>
      <c r="D242" s="27"/>
      <c r="E242" s="27"/>
      <c r="I242" s="34"/>
      <c r="J242" s="34"/>
      <c r="K242" s="34"/>
    </row>
    <row r="243" ht="15.75" customHeight="1">
      <c r="C243" s="27"/>
      <c r="D243" s="27"/>
      <c r="E243" s="27"/>
      <c r="I243" s="34"/>
      <c r="J243" s="34"/>
      <c r="K243" s="34"/>
    </row>
    <row r="244" ht="15.75" customHeight="1">
      <c r="C244" s="27"/>
      <c r="D244" s="27"/>
      <c r="E244" s="27"/>
      <c r="I244" s="34"/>
      <c r="J244" s="34"/>
      <c r="K244" s="34"/>
    </row>
    <row r="245" ht="15.75" customHeight="1">
      <c r="C245" s="27"/>
      <c r="D245" s="27"/>
      <c r="E245" s="27"/>
      <c r="I245" s="34"/>
      <c r="J245" s="34"/>
      <c r="K245" s="34"/>
    </row>
    <row r="246" ht="15.75" customHeight="1">
      <c r="C246" s="27"/>
      <c r="D246" s="27"/>
      <c r="E246" s="27"/>
      <c r="I246" s="34"/>
      <c r="J246" s="34"/>
      <c r="K246" s="34"/>
    </row>
    <row r="247" ht="15.75" customHeight="1">
      <c r="C247" s="27"/>
      <c r="D247" s="27"/>
      <c r="E247" s="27"/>
      <c r="I247" s="34"/>
      <c r="J247" s="34"/>
      <c r="K247" s="34"/>
    </row>
    <row r="248" ht="15.75" customHeight="1">
      <c r="C248" s="27"/>
      <c r="D248" s="27"/>
      <c r="E248" s="27"/>
      <c r="I248" s="34"/>
      <c r="J248" s="34"/>
      <c r="K248" s="34"/>
    </row>
    <row r="249" ht="15.75" customHeight="1">
      <c r="C249" s="27"/>
      <c r="D249" s="27"/>
      <c r="E249" s="27"/>
      <c r="I249" s="34"/>
      <c r="J249" s="34"/>
      <c r="K249" s="34"/>
    </row>
    <row r="250" ht="15.75" customHeight="1">
      <c r="C250" s="27"/>
      <c r="D250" s="27"/>
      <c r="E250" s="27"/>
      <c r="I250" s="34"/>
      <c r="J250" s="34"/>
      <c r="K250" s="34"/>
    </row>
    <row r="251" ht="15.75" customHeight="1">
      <c r="C251" s="27"/>
      <c r="D251" s="27"/>
      <c r="E251" s="27"/>
      <c r="I251" s="34"/>
      <c r="J251" s="34"/>
      <c r="K251" s="34"/>
    </row>
    <row r="252" ht="15.75" customHeight="1">
      <c r="C252" s="27"/>
      <c r="D252" s="27"/>
      <c r="E252" s="27"/>
      <c r="I252" s="34"/>
      <c r="J252" s="34"/>
      <c r="K252" s="34"/>
    </row>
    <row r="253" ht="15.75" customHeight="1">
      <c r="C253" s="27"/>
      <c r="D253" s="27"/>
      <c r="E253" s="27"/>
      <c r="I253" s="34"/>
      <c r="J253" s="34"/>
      <c r="K253" s="34"/>
    </row>
    <row r="254" ht="15.75" customHeight="1">
      <c r="C254" s="27"/>
      <c r="D254" s="27"/>
      <c r="E254" s="27"/>
      <c r="I254" s="34"/>
      <c r="J254" s="34"/>
      <c r="K254" s="34"/>
    </row>
    <row r="255" ht="15.75" customHeight="1">
      <c r="C255" s="27"/>
      <c r="D255" s="27"/>
      <c r="E255" s="27"/>
      <c r="I255" s="34"/>
      <c r="J255" s="34"/>
      <c r="K255" s="34"/>
    </row>
    <row r="256" ht="15.75" customHeight="1">
      <c r="C256" s="27"/>
      <c r="D256" s="27"/>
      <c r="E256" s="27"/>
      <c r="I256" s="34"/>
      <c r="J256" s="34"/>
      <c r="K256" s="34"/>
    </row>
    <row r="257" ht="15.75" customHeight="1">
      <c r="C257" s="27"/>
      <c r="D257" s="27"/>
      <c r="E257" s="27"/>
      <c r="I257" s="34"/>
      <c r="J257" s="34"/>
      <c r="K257" s="34"/>
    </row>
    <row r="258" ht="15.75" customHeight="1">
      <c r="C258" s="27"/>
      <c r="D258" s="27"/>
      <c r="E258" s="27"/>
      <c r="I258" s="34"/>
      <c r="J258" s="34"/>
      <c r="K258" s="34"/>
    </row>
    <row r="259" ht="15.75" customHeight="1">
      <c r="C259" s="27"/>
      <c r="D259" s="27"/>
      <c r="E259" s="27"/>
      <c r="I259" s="34"/>
      <c r="J259" s="34"/>
      <c r="K259" s="34"/>
    </row>
    <row r="260" ht="15.75" customHeight="1">
      <c r="C260" s="27"/>
      <c r="D260" s="27"/>
      <c r="E260" s="27"/>
      <c r="I260" s="34"/>
      <c r="J260" s="34"/>
      <c r="K260" s="34"/>
    </row>
    <row r="261" ht="15.75" customHeight="1">
      <c r="C261" s="27"/>
      <c r="D261" s="27"/>
      <c r="E261" s="27"/>
      <c r="I261" s="34"/>
      <c r="J261" s="34"/>
      <c r="K261" s="34"/>
    </row>
    <row r="262" ht="15.75" customHeight="1">
      <c r="C262" s="27"/>
      <c r="D262" s="27"/>
      <c r="E262" s="27"/>
      <c r="I262" s="34"/>
      <c r="J262" s="34"/>
      <c r="K262" s="34"/>
    </row>
    <row r="263" ht="15.75" customHeight="1">
      <c r="C263" s="27"/>
      <c r="D263" s="27"/>
      <c r="E263" s="27"/>
      <c r="I263" s="34"/>
      <c r="J263" s="34"/>
      <c r="K263" s="34"/>
    </row>
    <row r="264" ht="15.75" customHeight="1">
      <c r="C264" s="27"/>
      <c r="D264" s="27"/>
      <c r="E264" s="27"/>
      <c r="I264" s="34"/>
      <c r="J264" s="34"/>
      <c r="K264" s="34"/>
    </row>
    <row r="265" ht="15.75" customHeight="1">
      <c r="C265" s="27"/>
      <c r="D265" s="27"/>
      <c r="E265" s="27"/>
      <c r="I265" s="34"/>
      <c r="J265" s="34"/>
      <c r="K265" s="34"/>
    </row>
    <row r="266" ht="15.75" customHeight="1">
      <c r="C266" s="27"/>
      <c r="D266" s="27"/>
      <c r="E266" s="27"/>
      <c r="I266" s="34"/>
      <c r="J266" s="34"/>
      <c r="K266" s="34"/>
    </row>
    <row r="267" ht="15.75" customHeight="1">
      <c r="C267" s="27"/>
      <c r="D267" s="27"/>
      <c r="E267" s="27"/>
      <c r="I267" s="34"/>
      <c r="J267" s="34"/>
      <c r="K267" s="34"/>
    </row>
    <row r="268" ht="15.75" customHeight="1">
      <c r="C268" s="27"/>
      <c r="D268" s="27"/>
      <c r="E268" s="27"/>
      <c r="I268" s="34"/>
      <c r="J268" s="34"/>
      <c r="K268" s="34"/>
    </row>
    <row r="269" ht="15.75" customHeight="1">
      <c r="C269" s="27"/>
      <c r="D269" s="27"/>
      <c r="E269" s="27"/>
      <c r="I269" s="34"/>
      <c r="J269" s="34"/>
      <c r="K269" s="34"/>
    </row>
    <row r="270" ht="15.75" customHeight="1">
      <c r="C270" s="27"/>
      <c r="D270" s="27"/>
      <c r="E270" s="27"/>
      <c r="I270" s="34"/>
      <c r="J270" s="34"/>
      <c r="K270" s="34"/>
    </row>
    <row r="271" ht="15.75" customHeight="1">
      <c r="C271" s="27"/>
      <c r="D271" s="27"/>
      <c r="E271" s="27"/>
      <c r="I271" s="34"/>
      <c r="J271" s="34"/>
      <c r="K271" s="34"/>
    </row>
    <row r="272" ht="15.75" customHeight="1">
      <c r="C272" s="27"/>
      <c r="D272" s="27"/>
      <c r="E272" s="27"/>
      <c r="I272" s="34"/>
      <c r="J272" s="34"/>
      <c r="K272" s="34"/>
    </row>
    <row r="273" ht="15.75" customHeight="1">
      <c r="C273" s="27"/>
      <c r="D273" s="27"/>
      <c r="E273" s="27"/>
      <c r="I273" s="34"/>
      <c r="J273" s="34"/>
      <c r="K273" s="34"/>
    </row>
    <row r="274" ht="15.75" customHeight="1">
      <c r="C274" s="27"/>
      <c r="D274" s="27"/>
      <c r="E274" s="27"/>
      <c r="I274" s="34"/>
      <c r="J274" s="34"/>
      <c r="K274" s="34"/>
    </row>
    <row r="275" ht="15.75" customHeight="1">
      <c r="C275" s="27"/>
      <c r="D275" s="27"/>
      <c r="E275" s="27"/>
      <c r="I275" s="34"/>
      <c r="J275" s="34"/>
      <c r="K275" s="34"/>
    </row>
    <row r="276" ht="15.75" customHeight="1">
      <c r="C276" s="27"/>
      <c r="D276" s="27"/>
      <c r="E276" s="27"/>
      <c r="I276" s="34"/>
      <c r="J276" s="34"/>
      <c r="K276" s="34"/>
    </row>
    <row r="277" ht="15.75" customHeight="1">
      <c r="C277" s="27"/>
      <c r="D277" s="27"/>
      <c r="E277" s="27"/>
      <c r="I277" s="34"/>
      <c r="J277" s="34"/>
      <c r="K277" s="34"/>
    </row>
    <row r="278" ht="15.75" customHeight="1">
      <c r="C278" s="27"/>
      <c r="D278" s="27"/>
      <c r="E278" s="27"/>
      <c r="I278" s="34"/>
      <c r="J278" s="34"/>
      <c r="K278" s="34"/>
    </row>
    <row r="279" ht="15.75" customHeight="1">
      <c r="C279" s="27"/>
      <c r="D279" s="27"/>
      <c r="E279" s="27"/>
      <c r="I279" s="34"/>
      <c r="J279" s="34"/>
      <c r="K279" s="34"/>
    </row>
    <row r="280" ht="15.75" customHeight="1">
      <c r="C280" s="27"/>
      <c r="D280" s="27"/>
      <c r="E280" s="27"/>
      <c r="I280" s="34"/>
      <c r="J280" s="34"/>
      <c r="K280" s="34"/>
    </row>
    <row r="281" ht="15.75" customHeight="1">
      <c r="C281" s="27"/>
      <c r="D281" s="27"/>
      <c r="E281" s="27"/>
      <c r="I281" s="34"/>
      <c r="J281" s="34"/>
      <c r="K281" s="34"/>
    </row>
    <row r="282" ht="15.75" customHeight="1">
      <c r="C282" s="27"/>
      <c r="D282" s="27"/>
      <c r="E282" s="27"/>
      <c r="I282" s="34"/>
      <c r="J282" s="34"/>
      <c r="K282" s="34"/>
    </row>
    <row r="283" ht="15.75" customHeight="1">
      <c r="C283" s="27"/>
      <c r="D283" s="27"/>
      <c r="E283" s="27"/>
      <c r="I283" s="34"/>
      <c r="J283" s="34"/>
      <c r="K283" s="34"/>
    </row>
    <row r="284" ht="15.75" customHeight="1">
      <c r="C284" s="27"/>
      <c r="D284" s="27"/>
      <c r="E284" s="27"/>
      <c r="I284" s="34"/>
      <c r="J284" s="34"/>
      <c r="K284" s="34"/>
    </row>
    <row r="285" ht="15.75" customHeight="1">
      <c r="C285" s="27"/>
      <c r="D285" s="27"/>
      <c r="E285" s="27"/>
      <c r="I285" s="34"/>
      <c r="J285" s="34"/>
      <c r="K285" s="34"/>
    </row>
    <row r="286" ht="15.75" customHeight="1">
      <c r="C286" s="27"/>
      <c r="D286" s="27"/>
      <c r="E286" s="27"/>
      <c r="I286" s="34"/>
      <c r="J286" s="34"/>
      <c r="K286" s="34"/>
    </row>
    <row r="287" ht="15.75" customHeight="1">
      <c r="C287" s="27"/>
      <c r="D287" s="27"/>
      <c r="E287" s="27"/>
      <c r="I287" s="34"/>
      <c r="J287" s="34"/>
      <c r="K287" s="34"/>
    </row>
    <row r="288" ht="15.75" customHeight="1">
      <c r="C288" s="27"/>
      <c r="D288" s="27"/>
      <c r="E288" s="27"/>
      <c r="I288" s="34"/>
      <c r="J288" s="34"/>
      <c r="K288" s="34"/>
    </row>
    <row r="289" ht="15.75" customHeight="1">
      <c r="C289" s="27"/>
      <c r="D289" s="27"/>
      <c r="E289" s="27"/>
      <c r="I289" s="34"/>
      <c r="J289" s="34"/>
      <c r="K289" s="34"/>
    </row>
    <row r="290" ht="15.75" customHeight="1">
      <c r="C290" s="27"/>
      <c r="D290" s="27"/>
      <c r="E290" s="27"/>
      <c r="I290" s="34"/>
      <c r="J290" s="34"/>
      <c r="K290" s="34"/>
    </row>
    <row r="291" ht="15.75" customHeight="1">
      <c r="C291" s="27"/>
      <c r="D291" s="27"/>
      <c r="E291" s="27"/>
      <c r="I291" s="34"/>
      <c r="J291" s="34"/>
      <c r="K291" s="34"/>
    </row>
    <row r="292" ht="15.75" customHeight="1">
      <c r="C292" s="27"/>
      <c r="D292" s="27"/>
      <c r="E292" s="27"/>
      <c r="I292" s="34"/>
      <c r="J292" s="34"/>
      <c r="K292" s="34"/>
    </row>
    <row r="293" ht="15.75" customHeight="1">
      <c r="C293" s="27"/>
      <c r="D293" s="27"/>
      <c r="E293" s="27"/>
      <c r="I293" s="34"/>
      <c r="J293" s="34"/>
      <c r="K293" s="34"/>
    </row>
    <row r="294" ht="15.75" customHeight="1">
      <c r="C294" s="27"/>
      <c r="D294" s="27"/>
      <c r="E294" s="27"/>
      <c r="I294" s="34"/>
      <c r="J294" s="34"/>
      <c r="K294" s="34"/>
    </row>
    <row r="295" ht="15.75" customHeight="1">
      <c r="C295" s="27"/>
      <c r="D295" s="27"/>
      <c r="E295" s="27"/>
      <c r="I295" s="34"/>
      <c r="J295" s="34"/>
      <c r="K295" s="34"/>
    </row>
    <row r="296" ht="15.75" customHeight="1">
      <c r="C296" s="27"/>
      <c r="D296" s="27"/>
      <c r="E296" s="27"/>
      <c r="I296" s="34"/>
      <c r="J296" s="34"/>
      <c r="K296" s="34"/>
    </row>
    <row r="297" ht="15.75" customHeight="1">
      <c r="C297" s="27"/>
      <c r="D297" s="27"/>
      <c r="E297" s="27"/>
      <c r="I297" s="34"/>
      <c r="J297" s="34"/>
      <c r="K297" s="34"/>
    </row>
    <row r="298" ht="15.75" customHeight="1">
      <c r="C298" s="27"/>
      <c r="D298" s="27"/>
      <c r="E298" s="27"/>
      <c r="I298" s="34"/>
      <c r="J298" s="34"/>
      <c r="K298" s="34"/>
    </row>
    <row r="299" ht="15.75" customHeight="1">
      <c r="C299" s="27"/>
      <c r="D299" s="27"/>
      <c r="E299" s="27"/>
      <c r="I299" s="34"/>
      <c r="J299" s="34"/>
      <c r="K299" s="34"/>
    </row>
    <row r="300" ht="15.75" customHeight="1">
      <c r="C300" s="27"/>
      <c r="D300" s="27"/>
      <c r="E300" s="27"/>
      <c r="I300" s="34"/>
      <c r="J300" s="34"/>
      <c r="K300" s="34"/>
    </row>
    <row r="301" ht="15.75" customHeight="1">
      <c r="C301" s="27"/>
      <c r="D301" s="27"/>
      <c r="E301" s="27"/>
      <c r="I301" s="34"/>
      <c r="J301" s="34"/>
      <c r="K301" s="34"/>
    </row>
    <row r="302" ht="15.75" customHeight="1">
      <c r="C302" s="27"/>
      <c r="D302" s="27"/>
      <c r="E302" s="27"/>
      <c r="I302" s="34"/>
      <c r="J302" s="34"/>
      <c r="K302" s="34"/>
    </row>
    <row r="303" ht="15.75" customHeight="1">
      <c r="C303" s="27"/>
      <c r="D303" s="27"/>
      <c r="E303" s="27"/>
      <c r="I303" s="34"/>
      <c r="J303" s="34"/>
      <c r="K303" s="34"/>
    </row>
    <row r="304" ht="15.75" customHeight="1">
      <c r="C304" s="27"/>
      <c r="D304" s="27"/>
      <c r="E304" s="27"/>
      <c r="I304" s="34"/>
      <c r="J304" s="34"/>
      <c r="K304" s="34"/>
    </row>
    <row r="305" ht="15.75" customHeight="1">
      <c r="C305" s="27"/>
      <c r="D305" s="27"/>
      <c r="E305" s="27"/>
      <c r="I305" s="34"/>
      <c r="J305" s="34"/>
      <c r="K305" s="34"/>
    </row>
    <row r="306" ht="15.75" customHeight="1">
      <c r="C306" s="27"/>
      <c r="D306" s="27"/>
      <c r="E306" s="27"/>
      <c r="I306" s="34"/>
      <c r="J306" s="34"/>
      <c r="K306" s="34"/>
    </row>
    <row r="307" ht="15.75" customHeight="1">
      <c r="C307" s="27"/>
      <c r="D307" s="27"/>
      <c r="E307" s="27"/>
      <c r="I307" s="34"/>
      <c r="J307" s="34"/>
      <c r="K307" s="34"/>
    </row>
    <row r="308" ht="15.75" customHeight="1">
      <c r="C308" s="27"/>
      <c r="D308" s="27"/>
      <c r="E308" s="27"/>
      <c r="I308" s="34"/>
      <c r="J308" s="34"/>
      <c r="K308" s="34"/>
    </row>
    <row r="309" ht="15.75" customHeight="1">
      <c r="C309" s="27"/>
      <c r="D309" s="27"/>
      <c r="E309" s="27"/>
      <c r="I309" s="34"/>
      <c r="J309" s="34"/>
      <c r="K309" s="34"/>
    </row>
    <row r="310" ht="15.75" customHeight="1">
      <c r="C310" s="27"/>
      <c r="D310" s="27"/>
      <c r="E310" s="27"/>
      <c r="I310" s="34"/>
      <c r="J310" s="34"/>
      <c r="K310" s="34"/>
    </row>
    <row r="311" ht="15.75" customHeight="1">
      <c r="C311" s="27"/>
      <c r="D311" s="27"/>
      <c r="E311" s="27"/>
      <c r="I311" s="34"/>
      <c r="J311" s="34"/>
      <c r="K311" s="34"/>
    </row>
    <row r="312" ht="15.75" customHeight="1">
      <c r="C312" s="27"/>
      <c r="D312" s="27"/>
      <c r="E312" s="27"/>
    </row>
    <row r="313" ht="15.75" customHeight="1">
      <c r="C313" s="27"/>
      <c r="D313" s="27"/>
      <c r="E313" s="27"/>
    </row>
    <row r="314" ht="15.75" customHeight="1">
      <c r="C314" s="27"/>
      <c r="D314" s="27"/>
      <c r="E314" s="27"/>
    </row>
    <row r="315" ht="15.75" customHeight="1">
      <c r="C315" s="27"/>
      <c r="D315" s="27"/>
      <c r="E315" s="27"/>
    </row>
    <row r="316" ht="15.75" customHeight="1">
      <c r="C316" s="27"/>
      <c r="D316" s="27"/>
      <c r="E316" s="27"/>
    </row>
    <row r="317" ht="15.75" customHeight="1">
      <c r="C317" s="27"/>
      <c r="D317" s="27"/>
      <c r="E317" s="27"/>
    </row>
    <row r="318" ht="15.75" customHeight="1">
      <c r="C318" s="27"/>
      <c r="D318" s="27"/>
      <c r="E318" s="27"/>
    </row>
    <row r="319" ht="15.75" customHeight="1">
      <c r="C319" s="27"/>
      <c r="D319" s="27"/>
      <c r="E319" s="27"/>
    </row>
    <row r="320" ht="15.75" customHeight="1">
      <c r="C320" s="27"/>
      <c r="D320" s="27"/>
      <c r="E320" s="27"/>
    </row>
    <row r="321" ht="15.75" customHeight="1">
      <c r="C321" s="27"/>
      <c r="D321" s="27"/>
      <c r="E321" s="27"/>
    </row>
    <row r="322" ht="15.75" customHeight="1">
      <c r="C322" s="27"/>
      <c r="D322" s="27"/>
      <c r="E322" s="27"/>
    </row>
    <row r="323" ht="15.75" customHeight="1">
      <c r="C323" s="27"/>
      <c r="D323" s="27"/>
      <c r="E323" s="27"/>
    </row>
    <row r="324" ht="15.75" customHeight="1">
      <c r="C324" s="27"/>
      <c r="D324" s="27"/>
      <c r="E324" s="27"/>
    </row>
    <row r="325" ht="15.75" customHeight="1">
      <c r="C325" s="27"/>
      <c r="D325" s="27"/>
      <c r="E325" s="27"/>
    </row>
    <row r="326" ht="15.75" customHeight="1">
      <c r="C326" s="27"/>
      <c r="D326" s="27"/>
      <c r="E326" s="27"/>
    </row>
    <row r="327" ht="15.75" customHeight="1">
      <c r="C327" s="27"/>
      <c r="D327" s="27"/>
      <c r="E327" s="27"/>
    </row>
    <row r="328" ht="15.75" customHeight="1">
      <c r="C328" s="27"/>
      <c r="D328" s="27"/>
      <c r="E328" s="27"/>
    </row>
    <row r="329" ht="15.75" customHeight="1">
      <c r="C329" s="27"/>
      <c r="D329" s="27"/>
      <c r="E329" s="27"/>
    </row>
    <row r="330" ht="15.75" customHeight="1">
      <c r="C330" s="27"/>
      <c r="D330" s="27"/>
      <c r="E330" s="27"/>
    </row>
    <row r="331" ht="15.75" customHeight="1">
      <c r="C331" s="27"/>
      <c r="D331" s="27"/>
      <c r="E331" s="27"/>
    </row>
    <row r="332" ht="15.75" customHeight="1">
      <c r="C332" s="27"/>
      <c r="D332" s="27"/>
      <c r="E332" s="27"/>
    </row>
    <row r="333" ht="15.75" customHeight="1">
      <c r="C333" s="27"/>
      <c r="D333" s="27"/>
      <c r="E333" s="27"/>
    </row>
    <row r="334" ht="15.75" customHeight="1">
      <c r="C334" s="27"/>
      <c r="D334" s="27"/>
      <c r="E334" s="27"/>
    </row>
    <row r="335" ht="15.75" customHeight="1">
      <c r="C335" s="27"/>
      <c r="D335" s="27"/>
      <c r="E335" s="27"/>
    </row>
    <row r="336" ht="15.75" customHeight="1">
      <c r="C336" s="27"/>
      <c r="D336" s="27"/>
      <c r="E336" s="27"/>
    </row>
    <row r="337" ht="15.75" customHeight="1">
      <c r="C337" s="27"/>
      <c r="D337" s="27"/>
      <c r="E337" s="27"/>
    </row>
    <row r="338" ht="15.75" customHeight="1">
      <c r="C338" s="27"/>
      <c r="D338" s="27"/>
      <c r="E338" s="27"/>
    </row>
    <row r="339" ht="15.75" customHeight="1">
      <c r="C339" s="27"/>
      <c r="D339" s="27"/>
      <c r="E339" s="27"/>
    </row>
    <row r="340" ht="15.75" customHeight="1">
      <c r="C340" s="27"/>
      <c r="D340" s="27"/>
      <c r="E340" s="27"/>
    </row>
    <row r="341" ht="15.75" customHeight="1">
      <c r="C341" s="27"/>
      <c r="D341" s="27"/>
      <c r="E341" s="27"/>
    </row>
    <row r="342" ht="15.75" customHeight="1">
      <c r="C342" s="27"/>
      <c r="D342" s="27"/>
      <c r="E342" s="27"/>
    </row>
    <row r="343" ht="15.75" customHeight="1">
      <c r="C343" s="27"/>
      <c r="D343" s="27"/>
      <c r="E343" s="27"/>
    </row>
    <row r="344" ht="15.75" customHeight="1">
      <c r="C344" s="27"/>
      <c r="D344" s="27"/>
      <c r="E344" s="27"/>
    </row>
    <row r="345" ht="15.75" customHeight="1">
      <c r="C345" s="27"/>
      <c r="D345" s="27"/>
      <c r="E345" s="27"/>
    </row>
    <row r="346" ht="15.75" customHeight="1">
      <c r="C346" s="27"/>
      <c r="D346" s="27"/>
      <c r="E346" s="27"/>
    </row>
    <row r="347" ht="15.75" customHeight="1">
      <c r="C347" s="27"/>
      <c r="D347" s="27"/>
      <c r="E347" s="27"/>
    </row>
    <row r="348" ht="15.75" customHeight="1">
      <c r="C348" s="27"/>
      <c r="D348" s="27"/>
      <c r="E348" s="27"/>
    </row>
    <row r="349" ht="15.75" customHeight="1">
      <c r="C349" s="27"/>
      <c r="D349" s="27"/>
      <c r="E349" s="27"/>
    </row>
    <row r="350" ht="15.75" customHeight="1">
      <c r="C350" s="27"/>
      <c r="D350" s="27"/>
      <c r="E350" s="27"/>
    </row>
    <row r="351" ht="15.75" customHeight="1">
      <c r="C351" s="27"/>
      <c r="D351" s="27"/>
      <c r="E351" s="27"/>
    </row>
    <row r="352" ht="15.75" customHeight="1">
      <c r="C352" s="27"/>
      <c r="D352" s="27"/>
      <c r="E352" s="27"/>
    </row>
    <row r="353" ht="15.75" customHeight="1">
      <c r="C353" s="27"/>
      <c r="D353" s="27"/>
      <c r="E353" s="27"/>
    </row>
    <row r="354" ht="15.75" customHeight="1">
      <c r="C354" s="27"/>
      <c r="D354" s="27"/>
      <c r="E354" s="27"/>
    </row>
    <row r="355" ht="15.75" customHeight="1">
      <c r="C355" s="27"/>
      <c r="D355" s="27"/>
      <c r="E355" s="27"/>
    </row>
    <row r="356" ht="15.75" customHeight="1">
      <c r="C356" s="27"/>
      <c r="D356" s="27"/>
      <c r="E356" s="27"/>
    </row>
    <row r="357" ht="15.75" customHeight="1">
      <c r="C357" s="27"/>
      <c r="D357" s="27"/>
      <c r="E357" s="27"/>
    </row>
    <row r="358" ht="15.75" customHeight="1">
      <c r="C358" s="27"/>
      <c r="D358" s="27"/>
      <c r="E358" s="27"/>
    </row>
    <row r="359" ht="15.75" customHeight="1">
      <c r="C359" s="27"/>
      <c r="D359" s="27"/>
      <c r="E359" s="27"/>
    </row>
    <row r="360" ht="15.75" customHeight="1">
      <c r="C360" s="27"/>
      <c r="D360" s="27"/>
      <c r="E360" s="27"/>
    </row>
    <row r="361" ht="15.75" customHeight="1">
      <c r="C361" s="27"/>
      <c r="D361" s="27"/>
      <c r="E361" s="27"/>
    </row>
    <row r="362" ht="15.75" customHeight="1">
      <c r="C362" s="27"/>
      <c r="D362" s="27"/>
      <c r="E362" s="27"/>
    </row>
    <row r="363" ht="15.75" customHeight="1">
      <c r="C363" s="27"/>
      <c r="D363" s="27"/>
      <c r="E363" s="27"/>
    </row>
    <row r="364" ht="15.75" customHeight="1">
      <c r="C364" s="27"/>
      <c r="D364" s="27"/>
      <c r="E364" s="27"/>
    </row>
    <row r="365" ht="15.75" customHeight="1">
      <c r="C365" s="27"/>
      <c r="D365" s="27"/>
      <c r="E365" s="27"/>
    </row>
    <row r="366" ht="15.75" customHeight="1">
      <c r="C366" s="27"/>
      <c r="D366" s="27"/>
      <c r="E366" s="27"/>
    </row>
    <row r="367" ht="15.75" customHeight="1">
      <c r="C367" s="27"/>
      <c r="D367" s="27"/>
      <c r="E367" s="27"/>
    </row>
    <row r="368" ht="15.75" customHeight="1">
      <c r="C368" s="27"/>
      <c r="D368" s="27"/>
      <c r="E368" s="27"/>
    </row>
    <row r="369" ht="15.75" customHeight="1">
      <c r="C369" s="27"/>
      <c r="D369" s="27"/>
      <c r="E369" s="27"/>
    </row>
    <row r="370" ht="15.75" customHeight="1">
      <c r="C370" s="27"/>
      <c r="D370" s="27"/>
      <c r="E370" s="27"/>
    </row>
    <row r="371" ht="15.75" customHeight="1">
      <c r="C371" s="27"/>
      <c r="D371" s="27"/>
      <c r="E371" s="27"/>
    </row>
    <row r="372" ht="15.75" customHeight="1">
      <c r="C372" s="27"/>
      <c r="D372" s="27"/>
      <c r="E372" s="27"/>
    </row>
    <row r="373" ht="15.75" customHeight="1">
      <c r="C373" s="27"/>
      <c r="D373" s="27"/>
      <c r="E373" s="27"/>
    </row>
    <row r="374" ht="15.75" customHeight="1">
      <c r="C374" s="27"/>
      <c r="D374" s="27"/>
      <c r="E374" s="27"/>
    </row>
    <row r="375" ht="15.75" customHeight="1">
      <c r="C375" s="27"/>
      <c r="D375" s="27"/>
      <c r="E375" s="27"/>
    </row>
    <row r="376" ht="15.75" customHeight="1">
      <c r="C376" s="27"/>
      <c r="D376" s="27"/>
      <c r="E376" s="27"/>
    </row>
    <row r="377" ht="15.75" customHeight="1">
      <c r="C377" s="27"/>
      <c r="D377" s="27"/>
      <c r="E377" s="27"/>
    </row>
    <row r="378" ht="15.75" customHeight="1">
      <c r="C378" s="27"/>
      <c r="D378" s="27"/>
      <c r="E378" s="27"/>
    </row>
    <row r="379" ht="15.75" customHeight="1">
      <c r="C379" s="27"/>
      <c r="D379" s="27"/>
      <c r="E379" s="27"/>
    </row>
    <row r="380" ht="15.75" customHeight="1">
      <c r="C380" s="27"/>
      <c r="D380" s="27"/>
      <c r="E380" s="27"/>
    </row>
    <row r="381" ht="15.75" customHeight="1">
      <c r="C381" s="27"/>
      <c r="D381" s="27"/>
      <c r="E381" s="27"/>
    </row>
    <row r="382" ht="15.75" customHeight="1">
      <c r="C382" s="27"/>
      <c r="D382" s="27"/>
      <c r="E382" s="27"/>
    </row>
    <row r="383" ht="15.75" customHeight="1">
      <c r="C383" s="27"/>
      <c r="D383" s="27"/>
      <c r="E383" s="27"/>
    </row>
    <row r="384" ht="15.75" customHeight="1">
      <c r="C384" s="27"/>
      <c r="D384" s="27"/>
      <c r="E384" s="27"/>
    </row>
    <row r="385" ht="15.75" customHeight="1">
      <c r="C385" s="27"/>
      <c r="D385" s="27"/>
      <c r="E385" s="27"/>
    </row>
    <row r="386" ht="15.75" customHeight="1">
      <c r="C386" s="27"/>
      <c r="D386" s="27"/>
      <c r="E386" s="27"/>
    </row>
    <row r="387" ht="15.75" customHeight="1">
      <c r="C387" s="27"/>
      <c r="D387" s="27"/>
      <c r="E387" s="27"/>
    </row>
    <row r="388" ht="15.75" customHeight="1">
      <c r="C388" s="27"/>
      <c r="D388" s="27"/>
      <c r="E388" s="27"/>
    </row>
    <row r="389" ht="15.75" customHeight="1">
      <c r="C389" s="27"/>
      <c r="D389" s="27"/>
      <c r="E389" s="27"/>
    </row>
    <row r="390" ht="15.75" customHeight="1">
      <c r="C390" s="27"/>
      <c r="D390" s="27"/>
      <c r="E390" s="27"/>
    </row>
    <row r="391" ht="15.75" customHeight="1">
      <c r="C391" s="27"/>
      <c r="D391" s="27"/>
      <c r="E391" s="27"/>
    </row>
    <row r="392" ht="15.75" customHeight="1">
      <c r="C392" s="27"/>
      <c r="D392" s="27"/>
      <c r="E392" s="27"/>
    </row>
    <row r="393" ht="15.75" customHeight="1">
      <c r="C393" s="27"/>
      <c r="D393" s="27"/>
      <c r="E393" s="27"/>
    </row>
    <row r="394" ht="15.75" customHeight="1">
      <c r="C394" s="27"/>
      <c r="D394" s="27"/>
      <c r="E394" s="27"/>
    </row>
    <row r="395" ht="15.75" customHeight="1">
      <c r="C395" s="27"/>
      <c r="D395" s="27"/>
      <c r="E395" s="27"/>
    </row>
    <row r="396" ht="15.75" customHeight="1">
      <c r="C396" s="27"/>
      <c r="D396" s="27"/>
      <c r="E396" s="27"/>
    </row>
    <row r="397" ht="15.75" customHeight="1">
      <c r="C397" s="27"/>
      <c r="D397" s="27"/>
      <c r="E397" s="27"/>
    </row>
    <row r="398" ht="15.75" customHeight="1">
      <c r="C398" s="27"/>
      <c r="D398" s="27"/>
      <c r="E398" s="27"/>
    </row>
    <row r="399" ht="15.75" customHeight="1">
      <c r="C399" s="27"/>
      <c r="D399" s="27"/>
      <c r="E399" s="27"/>
    </row>
    <row r="400" ht="15.75" customHeight="1">
      <c r="C400" s="27"/>
      <c r="D400" s="27"/>
      <c r="E400" s="27"/>
    </row>
    <row r="401" ht="15.75" customHeight="1">
      <c r="C401" s="27"/>
      <c r="D401" s="27"/>
      <c r="E401" s="27"/>
    </row>
    <row r="402" ht="15.75" customHeight="1">
      <c r="C402" s="27"/>
      <c r="D402" s="27"/>
      <c r="E402" s="27"/>
    </row>
    <row r="403" ht="15.75" customHeight="1">
      <c r="C403" s="27"/>
      <c r="D403" s="27"/>
      <c r="E403" s="27"/>
    </row>
    <row r="404" ht="15.75" customHeight="1">
      <c r="C404" s="27"/>
      <c r="D404" s="27"/>
      <c r="E404" s="27"/>
    </row>
    <row r="405" ht="15.75" customHeight="1">
      <c r="C405" s="27"/>
      <c r="D405" s="27"/>
      <c r="E405" s="27"/>
    </row>
    <row r="406" ht="15.75" customHeight="1">
      <c r="C406" s="27"/>
      <c r="D406" s="27"/>
      <c r="E406" s="27"/>
    </row>
    <row r="407" ht="15.75" customHeight="1">
      <c r="C407" s="27"/>
      <c r="D407" s="27"/>
      <c r="E407" s="27"/>
    </row>
    <row r="408" ht="15.75" customHeight="1">
      <c r="C408" s="27"/>
      <c r="D408" s="27"/>
      <c r="E408" s="27"/>
    </row>
    <row r="409" ht="15.75" customHeight="1">
      <c r="C409" s="27"/>
      <c r="D409" s="27"/>
      <c r="E409" s="27"/>
    </row>
    <row r="410" ht="15.75" customHeight="1">
      <c r="C410" s="27"/>
      <c r="D410" s="27"/>
      <c r="E410" s="27"/>
    </row>
    <row r="411" ht="15.75" customHeight="1">
      <c r="C411" s="27"/>
      <c r="D411" s="27"/>
      <c r="E411" s="27"/>
    </row>
    <row r="412" ht="15.75" customHeight="1">
      <c r="C412" s="27"/>
      <c r="D412" s="27"/>
      <c r="E412" s="27"/>
    </row>
    <row r="413" ht="15.75" customHeight="1">
      <c r="C413" s="27"/>
      <c r="D413" s="27"/>
      <c r="E413" s="27"/>
    </row>
    <row r="414" ht="15.75" customHeight="1">
      <c r="C414" s="27"/>
      <c r="D414" s="27"/>
      <c r="E414" s="27"/>
    </row>
    <row r="415" ht="15.75" customHeight="1">
      <c r="C415" s="27"/>
      <c r="D415" s="27"/>
      <c r="E415" s="27"/>
    </row>
    <row r="416" ht="15.75" customHeight="1">
      <c r="C416" s="27"/>
      <c r="D416" s="27"/>
      <c r="E416" s="27"/>
    </row>
    <row r="417" ht="15.75" customHeight="1">
      <c r="C417" s="27"/>
      <c r="D417" s="27"/>
      <c r="E417" s="27"/>
    </row>
    <row r="418" ht="15.75" customHeight="1">
      <c r="C418" s="27"/>
      <c r="D418" s="27"/>
      <c r="E418" s="27"/>
    </row>
    <row r="419" ht="15.75" customHeight="1">
      <c r="C419" s="27"/>
      <c r="D419" s="27"/>
      <c r="E419" s="27"/>
    </row>
    <row r="420" ht="15.75" customHeight="1">
      <c r="C420" s="27"/>
      <c r="D420" s="27"/>
      <c r="E420" s="27"/>
    </row>
    <row r="421" ht="15.75" customHeight="1">
      <c r="C421" s="27"/>
      <c r="D421" s="27"/>
      <c r="E421" s="27"/>
    </row>
    <row r="422" ht="15.75" customHeight="1">
      <c r="C422" s="27"/>
      <c r="D422" s="27"/>
      <c r="E422" s="27"/>
    </row>
    <row r="423" ht="15.75" customHeight="1">
      <c r="C423" s="27"/>
      <c r="D423" s="27"/>
      <c r="E423" s="27"/>
    </row>
    <row r="424" ht="15.75" customHeight="1">
      <c r="C424" s="27"/>
      <c r="D424" s="27"/>
      <c r="E424" s="27"/>
    </row>
    <row r="425" ht="15.75" customHeight="1">
      <c r="C425" s="27"/>
      <c r="D425" s="27"/>
      <c r="E425" s="27"/>
    </row>
    <row r="426" ht="15.75" customHeight="1">
      <c r="C426" s="27"/>
      <c r="D426" s="27"/>
      <c r="E426" s="27"/>
    </row>
    <row r="427" ht="15.75" customHeight="1">
      <c r="C427" s="27"/>
      <c r="D427" s="27"/>
      <c r="E427" s="27"/>
    </row>
    <row r="428" ht="15.75" customHeight="1">
      <c r="C428" s="27"/>
      <c r="D428" s="27"/>
      <c r="E428" s="27"/>
    </row>
    <row r="429" ht="15.75" customHeight="1">
      <c r="C429" s="27"/>
      <c r="D429" s="27"/>
      <c r="E429" s="27"/>
    </row>
    <row r="430" ht="15.75" customHeight="1">
      <c r="C430" s="27"/>
      <c r="D430" s="27"/>
      <c r="E430" s="27"/>
    </row>
    <row r="431" ht="15.75" customHeight="1">
      <c r="C431" s="27"/>
      <c r="D431" s="27"/>
      <c r="E431" s="27"/>
    </row>
    <row r="432" ht="15.75" customHeight="1">
      <c r="C432" s="27"/>
      <c r="D432" s="27"/>
      <c r="E432" s="27"/>
    </row>
    <row r="433" ht="15.75" customHeight="1">
      <c r="C433" s="27"/>
      <c r="D433" s="27"/>
      <c r="E433" s="27"/>
    </row>
    <row r="434" ht="15.75" customHeight="1">
      <c r="C434" s="27"/>
      <c r="D434" s="27"/>
      <c r="E434" s="27"/>
    </row>
    <row r="435" ht="15.75" customHeight="1">
      <c r="C435" s="27"/>
      <c r="D435" s="27"/>
      <c r="E435" s="27"/>
    </row>
    <row r="436" ht="15.75" customHeight="1">
      <c r="C436" s="27"/>
      <c r="D436" s="27"/>
      <c r="E436" s="27"/>
    </row>
    <row r="437" ht="15.75" customHeight="1">
      <c r="C437" s="27"/>
      <c r="D437" s="27"/>
      <c r="E437" s="27"/>
    </row>
    <row r="438" ht="15.75" customHeight="1">
      <c r="C438" s="27"/>
      <c r="D438" s="27"/>
      <c r="E438" s="27"/>
    </row>
    <row r="439" ht="15.75" customHeight="1">
      <c r="C439" s="27"/>
      <c r="D439" s="27"/>
      <c r="E439" s="27"/>
    </row>
    <row r="440" ht="15.75" customHeight="1">
      <c r="C440" s="27"/>
      <c r="D440" s="27"/>
      <c r="E440" s="27"/>
    </row>
    <row r="441" ht="15.75" customHeight="1">
      <c r="C441" s="27"/>
      <c r="D441" s="27"/>
      <c r="E441" s="27"/>
    </row>
    <row r="442" ht="15.75" customHeight="1">
      <c r="C442" s="27"/>
      <c r="D442" s="27"/>
      <c r="E442" s="27"/>
    </row>
    <row r="443" ht="15.75" customHeight="1">
      <c r="C443" s="27"/>
      <c r="D443" s="27"/>
      <c r="E443" s="27"/>
    </row>
    <row r="444" ht="15.75" customHeight="1">
      <c r="C444" s="27"/>
      <c r="D444" s="27"/>
      <c r="E444" s="27"/>
    </row>
    <row r="445" ht="15.75" customHeight="1">
      <c r="C445" s="27"/>
      <c r="D445" s="27"/>
      <c r="E445" s="27"/>
    </row>
    <row r="446" ht="15.75" customHeight="1">
      <c r="C446" s="27"/>
      <c r="D446" s="27"/>
      <c r="E446" s="27"/>
    </row>
    <row r="447" ht="15.75" customHeight="1">
      <c r="C447" s="27"/>
      <c r="D447" s="27"/>
      <c r="E447" s="27"/>
    </row>
    <row r="448" ht="15.75" customHeight="1">
      <c r="C448" s="27"/>
      <c r="D448" s="27"/>
      <c r="E448" s="27"/>
    </row>
    <row r="449" ht="15.75" customHeight="1">
      <c r="C449" s="27"/>
      <c r="D449" s="27"/>
      <c r="E449" s="27"/>
    </row>
    <row r="450" ht="15.75" customHeight="1">
      <c r="C450" s="27"/>
      <c r="D450" s="27"/>
      <c r="E450" s="27"/>
    </row>
    <row r="451" ht="15.75" customHeight="1">
      <c r="C451" s="27"/>
      <c r="D451" s="27"/>
      <c r="E451" s="27"/>
    </row>
    <row r="452" ht="15.75" customHeight="1">
      <c r="C452" s="27"/>
      <c r="D452" s="27"/>
      <c r="E452" s="27"/>
    </row>
    <row r="453" ht="15.75" customHeight="1">
      <c r="C453" s="27"/>
      <c r="D453" s="27"/>
      <c r="E453" s="27"/>
    </row>
    <row r="454" ht="15.75" customHeight="1">
      <c r="C454" s="27"/>
      <c r="D454" s="27"/>
      <c r="E454" s="27"/>
    </row>
    <row r="455" ht="15.75" customHeight="1">
      <c r="C455" s="27"/>
      <c r="D455" s="27"/>
      <c r="E455" s="27"/>
    </row>
    <row r="456" ht="15.75" customHeight="1">
      <c r="C456" s="27"/>
      <c r="D456" s="27"/>
      <c r="E456" s="27"/>
    </row>
    <row r="457" ht="15.75" customHeight="1">
      <c r="C457" s="27"/>
      <c r="D457" s="27"/>
      <c r="E457" s="27"/>
    </row>
    <row r="458" ht="15.75" customHeight="1">
      <c r="C458" s="27"/>
      <c r="D458" s="27"/>
      <c r="E458" s="27"/>
    </row>
    <row r="459" ht="15.75" customHeight="1">
      <c r="C459" s="27"/>
      <c r="D459" s="27"/>
      <c r="E459" s="27"/>
    </row>
    <row r="460" ht="15.75" customHeight="1">
      <c r="C460" s="27"/>
      <c r="D460" s="27"/>
      <c r="E460" s="27"/>
    </row>
    <row r="461" ht="15.75" customHeight="1">
      <c r="C461" s="27"/>
      <c r="D461" s="27"/>
      <c r="E461" s="27"/>
    </row>
    <row r="462" ht="15.75" customHeight="1">
      <c r="C462" s="27"/>
      <c r="D462" s="27"/>
      <c r="E462" s="27"/>
    </row>
    <row r="463" ht="15.75" customHeight="1">
      <c r="C463" s="27"/>
      <c r="D463" s="27"/>
      <c r="E463" s="27"/>
    </row>
    <row r="464" ht="15.75" customHeight="1">
      <c r="C464" s="27"/>
      <c r="D464" s="27"/>
      <c r="E464" s="27"/>
    </row>
    <row r="465" ht="15.75" customHeight="1">
      <c r="C465" s="27"/>
      <c r="D465" s="27"/>
      <c r="E465" s="27"/>
    </row>
    <row r="466" ht="15.75" customHeight="1">
      <c r="C466" s="27"/>
      <c r="D466" s="27"/>
      <c r="E466" s="27"/>
    </row>
    <row r="467" ht="15.75" customHeight="1">
      <c r="C467" s="27"/>
      <c r="D467" s="27"/>
      <c r="E467" s="27"/>
    </row>
    <row r="468" ht="15.75" customHeight="1">
      <c r="C468" s="27"/>
      <c r="D468" s="27"/>
      <c r="E468" s="27"/>
    </row>
    <row r="469" ht="15.75" customHeight="1">
      <c r="C469" s="27"/>
      <c r="D469" s="27"/>
      <c r="E469" s="27"/>
    </row>
    <row r="470" ht="15.75" customHeight="1">
      <c r="C470" s="27"/>
      <c r="D470" s="27"/>
      <c r="E470" s="27"/>
    </row>
    <row r="471" ht="15.75" customHeight="1">
      <c r="C471" s="27"/>
      <c r="D471" s="27"/>
      <c r="E471" s="27"/>
    </row>
    <row r="472" ht="15.75" customHeight="1">
      <c r="C472" s="27"/>
      <c r="D472" s="27"/>
      <c r="E472" s="27"/>
    </row>
    <row r="473" ht="15.75" customHeight="1">
      <c r="C473" s="27"/>
      <c r="D473" s="27"/>
      <c r="E473" s="27"/>
    </row>
    <row r="474" ht="15.75" customHeight="1">
      <c r="C474" s="27"/>
      <c r="D474" s="27"/>
      <c r="E474" s="27"/>
    </row>
    <row r="475" ht="15.75" customHeight="1">
      <c r="C475" s="27"/>
      <c r="D475" s="27"/>
      <c r="E475" s="27"/>
    </row>
    <row r="476" ht="15.75" customHeight="1">
      <c r="C476" s="27"/>
      <c r="D476" s="27"/>
      <c r="E476" s="27"/>
    </row>
    <row r="477" ht="15.75" customHeight="1">
      <c r="C477" s="27"/>
      <c r="D477" s="27"/>
      <c r="E477" s="27"/>
    </row>
    <row r="478" ht="15.75" customHeight="1">
      <c r="C478" s="27"/>
      <c r="D478" s="27"/>
      <c r="E478" s="27"/>
    </row>
    <row r="479" ht="15.75" customHeight="1">
      <c r="C479" s="27"/>
      <c r="D479" s="27"/>
      <c r="E479" s="27"/>
    </row>
    <row r="480" ht="15.75" customHeight="1">
      <c r="C480" s="27"/>
      <c r="D480" s="27"/>
      <c r="E480" s="27"/>
    </row>
    <row r="481" ht="15.75" customHeight="1">
      <c r="C481" s="27"/>
      <c r="D481" s="27"/>
      <c r="E481" s="27"/>
    </row>
    <row r="482" ht="15.75" customHeight="1">
      <c r="C482" s="27"/>
      <c r="D482" s="27"/>
      <c r="E482" s="27"/>
    </row>
    <row r="483" ht="15.75" customHeight="1">
      <c r="C483" s="27"/>
      <c r="D483" s="27"/>
      <c r="E483" s="27"/>
    </row>
    <row r="484" ht="15.75" customHeight="1">
      <c r="C484" s="27"/>
      <c r="D484" s="27"/>
      <c r="E484" s="27"/>
    </row>
    <row r="485" ht="15.75" customHeight="1">
      <c r="C485" s="27"/>
      <c r="D485" s="27"/>
      <c r="E485" s="27"/>
    </row>
    <row r="486" ht="15.75" customHeight="1">
      <c r="C486" s="27"/>
      <c r="D486" s="27"/>
      <c r="E486" s="27"/>
    </row>
    <row r="487" ht="15.75" customHeight="1">
      <c r="C487" s="27"/>
      <c r="D487" s="27"/>
      <c r="E487" s="27"/>
    </row>
    <row r="488" ht="15.75" customHeight="1">
      <c r="C488" s="27"/>
      <c r="D488" s="27"/>
      <c r="E488" s="27"/>
    </row>
    <row r="489" ht="15.75" customHeight="1">
      <c r="C489" s="27"/>
      <c r="D489" s="27"/>
      <c r="E489" s="27"/>
    </row>
    <row r="490" ht="15.75" customHeight="1">
      <c r="C490" s="27"/>
      <c r="D490" s="27"/>
      <c r="E490" s="27"/>
    </row>
    <row r="491" ht="15.75" customHeight="1">
      <c r="C491" s="27"/>
      <c r="D491" s="27"/>
      <c r="E491" s="27"/>
    </row>
    <row r="492" ht="15.75" customHeight="1">
      <c r="C492" s="27"/>
      <c r="D492" s="27"/>
      <c r="E492" s="27"/>
    </row>
    <row r="493" ht="15.75" customHeight="1">
      <c r="C493" s="27"/>
      <c r="D493" s="27"/>
      <c r="E493" s="27"/>
    </row>
    <row r="494" ht="15.75" customHeight="1">
      <c r="C494" s="27"/>
      <c r="D494" s="27"/>
      <c r="E494" s="27"/>
    </row>
    <row r="495" ht="15.75" customHeight="1">
      <c r="C495" s="27"/>
      <c r="D495" s="27"/>
      <c r="E495" s="27"/>
    </row>
    <row r="496" ht="15.75" customHeight="1">
      <c r="C496" s="27"/>
      <c r="D496" s="27"/>
      <c r="E496" s="27"/>
    </row>
    <row r="497" ht="15.75" customHeight="1">
      <c r="C497" s="27"/>
      <c r="D497" s="27"/>
      <c r="E497" s="27"/>
    </row>
    <row r="498" ht="15.75" customHeight="1">
      <c r="C498" s="27"/>
      <c r="D498" s="27"/>
      <c r="E498" s="27"/>
    </row>
    <row r="499" ht="15.75" customHeight="1">
      <c r="C499" s="27"/>
      <c r="D499" s="27"/>
      <c r="E499" s="27"/>
    </row>
    <row r="500" ht="15.75" customHeight="1">
      <c r="C500" s="27"/>
      <c r="D500" s="27"/>
      <c r="E500" s="27"/>
    </row>
    <row r="501" ht="15.75" customHeight="1">
      <c r="C501" s="27"/>
      <c r="D501" s="27"/>
      <c r="E501" s="27"/>
    </row>
    <row r="502" ht="15.75" customHeight="1">
      <c r="C502" s="27"/>
      <c r="D502" s="27"/>
      <c r="E502" s="27"/>
    </row>
    <row r="503" ht="15.75" customHeight="1">
      <c r="C503" s="27"/>
      <c r="D503" s="27"/>
      <c r="E503" s="27"/>
    </row>
    <row r="504" ht="15.75" customHeight="1">
      <c r="C504" s="27"/>
      <c r="D504" s="27"/>
      <c r="E504" s="27"/>
    </row>
    <row r="505" ht="15.75" customHeight="1">
      <c r="C505" s="27"/>
      <c r="D505" s="27"/>
      <c r="E505" s="27"/>
    </row>
    <row r="506" ht="15.75" customHeight="1">
      <c r="C506" s="27"/>
      <c r="D506" s="27"/>
      <c r="E506" s="27"/>
    </row>
    <row r="507" ht="15.75" customHeight="1">
      <c r="C507" s="27"/>
      <c r="D507" s="27"/>
      <c r="E507" s="27"/>
    </row>
    <row r="508" ht="15.75" customHeight="1">
      <c r="C508" s="27"/>
      <c r="D508" s="27"/>
      <c r="E508" s="27"/>
    </row>
    <row r="509" ht="15.75" customHeight="1">
      <c r="C509" s="27"/>
      <c r="D509" s="27"/>
      <c r="E509" s="27"/>
    </row>
    <row r="510" ht="15.75" customHeight="1">
      <c r="C510" s="27"/>
      <c r="D510" s="27"/>
      <c r="E510" s="27"/>
    </row>
    <row r="511" ht="15.75" customHeight="1">
      <c r="C511" s="27"/>
      <c r="D511" s="27"/>
      <c r="E511" s="27"/>
    </row>
    <row r="512" ht="15.75" customHeight="1">
      <c r="C512" s="27"/>
      <c r="D512" s="27"/>
      <c r="E512" s="27"/>
    </row>
    <row r="513" ht="15.75" customHeight="1">
      <c r="C513" s="27"/>
      <c r="D513" s="27"/>
      <c r="E513" s="27"/>
    </row>
    <row r="514" ht="15.75" customHeight="1">
      <c r="C514" s="27"/>
      <c r="D514" s="27"/>
      <c r="E514" s="27"/>
    </row>
    <row r="515" ht="15.75" customHeight="1">
      <c r="C515" s="27"/>
      <c r="D515" s="27"/>
      <c r="E515" s="27"/>
    </row>
    <row r="516" ht="15.75" customHeight="1">
      <c r="C516" s="27"/>
      <c r="D516" s="27"/>
      <c r="E516" s="27"/>
    </row>
    <row r="517" ht="15.75" customHeight="1">
      <c r="C517" s="27"/>
      <c r="D517" s="27"/>
      <c r="E517" s="27"/>
    </row>
    <row r="518" ht="15.75" customHeight="1">
      <c r="C518" s="27"/>
      <c r="D518" s="27"/>
      <c r="E518" s="27"/>
    </row>
    <row r="519" ht="15.75" customHeight="1">
      <c r="C519" s="27"/>
      <c r="D519" s="27"/>
      <c r="E519" s="27"/>
    </row>
    <row r="520" ht="15.75" customHeight="1">
      <c r="C520" s="27"/>
      <c r="D520" s="27"/>
      <c r="E520" s="27"/>
    </row>
    <row r="521" ht="15.75" customHeight="1">
      <c r="C521" s="27"/>
      <c r="D521" s="27"/>
      <c r="E521" s="27"/>
    </row>
    <row r="522" ht="15.75" customHeight="1">
      <c r="C522" s="27"/>
      <c r="D522" s="27"/>
      <c r="E522" s="27"/>
    </row>
    <row r="523" ht="15.75" customHeight="1">
      <c r="C523" s="27"/>
      <c r="D523" s="27"/>
      <c r="E523" s="27"/>
    </row>
    <row r="524" ht="15.75" customHeight="1">
      <c r="C524" s="27"/>
      <c r="D524" s="27"/>
      <c r="E524" s="27"/>
    </row>
    <row r="525" ht="15.75" customHeight="1">
      <c r="C525" s="27"/>
      <c r="D525" s="27"/>
      <c r="E525" s="27"/>
    </row>
    <row r="526" ht="15.75" customHeight="1">
      <c r="C526" s="27"/>
      <c r="D526" s="27"/>
      <c r="E526" s="27"/>
    </row>
    <row r="527" ht="15.75" customHeight="1">
      <c r="C527" s="27"/>
      <c r="D527" s="27"/>
      <c r="E527" s="27"/>
    </row>
    <row r="528" ht="15.75" customHeight="1">
      <c r="C528" s="27"/>
      <c r="D528" s="27"/>
      <c r="E528" s="27"/>
    </row>
    <row r="529" ht="15.75" customHeight="1">
      <c r="C529" s="27"/>
      <c r="D529" s="27"/>
      <c r="E529" s="27"/>
    </row>
    <row r="530" ht="15.75" customHeight="1">
      <c r="C530" s="27"/>
      <c r="D530" s="27"/>
      <c r="E530" s="27"/>
    </row>
    <row r="531" ht="15.75" customHeight="1">
      <c r="C531" s="27"/>
      <c r="D531" s="27"/>
      <c r="E531" s="27"/>
    </row>
    <row r="532" ht="15.75" customHeight="1">
      <c r="C532" s="27"/>
      <c r="D532" s="27"/>
      <c r="E532" s="27"/>
    </row>
    <row r="533" ht="15.75" customHeight="1">
      <c r="C533" s="27"/>
      <c r="D533" s="27"/>
      <c r="E533" s="27"/>
    </row>
    <row r="534" ht="15.75" customHeight="1">
      <c r="C534" s="27"/>
      <c r="D534" s="27"/>
      <c r="E534" s="27"/>
    </row>
    <row r="535" ht="15.75" customHeight="1">
      <c r="C535" s="27"/>
      <c r="D535" s="27"/>
      <c r="E535" s="27"/>
    </row>
    <row r="536" ht="15.75" customHeight="1">
      <c r="C536" s="27"/>
      <c r="D536" s="27"/>
      <c r="E536" s="27"/>
    </row>
    <row r="537" ht="15.75" customHeight="1">
      <c r="C537" s="27"/>
      <c r="D537" s="27"/>
      <c r="E537" s="27"/>
    </row>
    <row r="538" ht="15.75" customHeight="1">
      <c r="C538" s="27"/>
      <c r="D538" s="27"/>
      <c r="E538" s="27"/>
    </row>
    <row r="539" ht="15.75" customHeight="1">
      <c r="C539" s="27"/>
      <c r="D539" s="27"/>
      <c r="E539" s="27"/>
    </row>
    <row r="540" ht="15.75" customHeight="1">
      <c r="C540" s="27"/>
      <c r="D540" s="27"/>
      <c r="E540" s="27"/>
    </row>
    <row r="541" ht="15.75" customHeight="1">
      <c r="C541" s="27"/>
      <c r="D541" s="27"/>
      <c r="E541" s="27"/>
    </row>
    <row r="542" ht="15.75" customHeight="1">
      <c r="C542" s="27"/>
      <c r="D542" s="27"/>
      <c r="E542" s="27"/>
    </row>
    <row r="543" ht="15.75" customHeight="1">
      <c r="C543" s="27"/>
      <c r="D543" s="27"/>
      <c r="E543" s="27"/>
    </row>
    <row r="544" ht="15.75" customHeight="1">
      <c r="C544" s="27"/>
      <c r="D544" s="27"/>
      <c r="E544" s="27"/>
    </row>
    <row r="545" ht="15.75" customHeight="1">
      <c r="C545" s="27"/>
      <c r="D545" s="27"/>
      <c r="E545" s="27"/>
    </row>
    <row r="546" ht="15.75" customHeight="1">
      <c r="C546" s="27"/>
      <c r="D546" s="27"/>
      <c r="E546" s="27"/>
    </row>
    <row r="547" ht="15.75" customHeight="1">
      <c r="C547" s="27"/>
      <c r="D547" s="27"/>
      <c r="E547" s="27"/>
    </row>
    <row r="548" ht="15.75" customHeight="1">
      <c r="C548" s="27"/>
      <c r="D548" s="27"/>
      <c r="E548" s="27"/>
    </row>
    <row r="549" ht="15.75" customHeight="1">
      <c r="C549" s="27"/>
      <c r="D549" s="27"/>
      <c r="E549" s="27"/>
    </row>
    <row r="550" ht="15.75" customHeight="1">
      <c r="C550" s="27"/>
      <c r="D550" s="27"/>
      <c r="E550" s="27"/>
    </row>
    <row r="551" ht="15.75" customHeight="1">
      <c r="C551" s="27"/>
      <c r="D551" s="27"/>
      <c r="E551" s="27"/>
    </row>
    <row r="552" ht="15.75" customHeight="1">
      <c r="C552" s="27"/>
      <c r="D552" s="27"/>
      <c r="E552" s="27"/>
    </row>
    <row r="553" ht="15.75" customHeight="1">
      <c r="C553" s="27"/>
      <c r="D553" s="27"/>
      <c r="E553" s="27"/>
    </row>
    <row r="554" ht="15.75" customHeight="1">
      <c r="C554" s="27"/>
      <c r="D554" s="27"/>
      <c r="E554" s="27"/>
    </row>
    <row r="555" ht="15.75" customHeight="1">
      <c r="C555" s="27"/>
      <c r="D555" s="27"/>
      <c r="E555" s="27"/>
    </row>
    <row r="556" ht="15.75" customHeight="1">
      <c r="C556" s="27"/>
      <c r="D556" s="27"/>
      <c r="E556" s="27"/>
    </row>
    <row r="557" ht="15.75" customHeight="1">
      <c r="C557" s="27"/>
      <c r="D557" s="27"/>
      <c r="E557" s="27"/>
    </row>
    <row r="558" ht="15.75" customHeight="1">
      <c r="C558" s="27"/>
      <c r="D558" s="27"/>
      <c r="E558" s="27"/>
    </row>
    <row r="559" ht="15.75" customHeight="1">
      <c r="C559" s="27"/>
      <c r="D559" s="27"/>
      <c r="E559" s="27"/>
    </row>
    <row r="560" ht="15.75" customHeight="1">
      <c r="C560" s="27"/>
      <c r="D560" s="27"/>
      <c r="E560" s="27"/>
    </row>
    <row r="561" ht="15.75" customHeight="1">
      <c r="C561" s="27"/>
      <c r="D561" s="27"/>
      <c r="E561" s="27"/>
    </row>
    <row r="562" ht="15.75" customHeight="1">
      <c r="C562" s="27"/>
      <c r="D562" s="27"/>
      <c r="E562" s="27"/>
    </row>
    <row r="563" ht="15.75" customHeight="1">
      <c r="C563" s="27"/>
      <c r="D563" s="27"/>
      <c r="E563" s="27"/>
    </row>
    <row r="564" ht="15.75" customHeight="1">
      <c r="C564" s="27"/>
      <c r="D564" s="27"/>
      <c r="E564" s="27"/>
    </row>
    <row r="565" ht="15.75" customHeight="1">
      <c r="C565" s="27"/>
      <c r="D565" s="27"/>
      <c r="E565" s="27"/>
    </row>
    <row r="566" ht="15.75" customHeight="1">
      <c r="C566" s="27"/>
      <c r="D566" s="27"/>
      <c r="E566" s="27"/>
    </row>
    <row r="567" ht="15.75" customHeight="1">
      <c r="C567" s="27"/>
      <c r="D567" s="27"/>
      <c r="E567" s="27"/>
    </row>
    <row r="568" ht="15.75" customHeight="1">
      <c r="C568" s="27"/>
      <c r="D568" s="27"/>
      <c r="E568" s="27"/>
    </row>
    <row r="569" ht="15.75" customHeight="1">
      <c r="C569" s="27"/>
      <c r="D569" s="27"/>
      <c r="E569" s="27"/>
    </row>
    <row r="570" ht="15.75" customHeight="1">
      <c r="C570" s="27"/>
      <c r="D570" s="27"/>
      <c r="E570" s="27"/>
    </row>
    <row r="571" ht="15.75" customHeight="1">
      <c r="C571" s="27"/>
      <c r="D571" s="27"/>
      <c r="E571" s="27"/>
    </row>
    <row r="572" ht="15.75" customHeight="1">
      <c r="C572" s="27"/>
      <c r="D572" s="27"/>
      <c r="E572" s="27"/>
    </row>
    <row r="573" ht="15.75" customHeight="1">
      <c r="C573" s="27"/>
      <c r="D573" s="27"/>
      <c r="E573" s="27"/>
    </row>
    <row r="574" ht="15.75" customHeight="1">
      <c r="C574" s="27"/>
      <c r="D574" s="27"/>
      <c r="E574" s="27"/>
    </row>
    <row r="575" ht="15.75" customHeight="1">
      <c r="C575" s="27"/>
      <c r="D575" s="27"/>
      <c r="E575" s="27"/>
    </row>
    <row r="576" ht="15.75" customHeight="1">
      <c r="C576" s="27"/>
      <c r="D576" s="27"/>
      <c r="E576" s="27"/>
    </row>
    <row r="577" ht="15.75" customHeight="1">
      <c r="C577" s="27"/>
      <c r="D577" s="27"/>
      <c r="E577" s="27"/>
    </row>
    <row r="578" ht="15.75" customHeight="1">
      <c r="C578" s="27"/>
      <c r="D578" s="27"/>
      <c r="E578" s="27"/>
    </row>
    <row r="579" ht="15.75" customHeight="1">
      <c r="C579" s="27"/>
      <c r="D579" s="27"/>
      <c r="E579" s="27"/>
    </row>
    <row r="580" ht="15.75" customHeight="1">
      <c r="C580" s="27"/>
      <c r="D580" s="27"/>
      <c r="E580" s="27"/>
    </row>
    <row r="581" ht="15.75" customHeight="1">
      <c r="C581" s="27"/>
      <c r="D581" s="27"/>
      <c r="E581" s="27"/>
    </row>
    <row r="582" ht="15.75" customHeight="1">
      <c r="C582" s="27"/>
      <c r="D582" s="27"/>
      <c r="E582" s="27"/>
    </row>
    <row r="583" ht="15.75" customHeight="1">
      <c r="C583" s="27"/>
      <c r="D583" s="27"/>
      <c r="E583" s="27"/>
    </row>
    <row r="584" ht="15.75" customHeight="1">
      <c r="C584" s="27"/>
      <c r="D584" s="27"/>
      <c r="E584" s="27"/>
    </row>
    <row r="585" ht="15.75" customHeight="1">
      <c r="C585" s="27"/>
      <c r="D585" s="27"/>
      <c r="E585" s="27"/>
    </row>
    <row r="586" ht="15.75" customHeight="1">
      <c r="C586" s="27"/>
      <c r="D586" s="27"/>
      <c r="E586" s="27"/>
    </row>
    <row r="587" ht="15.75" customHeight="1">
      <c r="C587" s="27"/>
      <c r="D587" s="27"/>
      <c r="E587" s="27"/>
    </row>
    <row r="588" ht="15.75" customHeight="1">
      <c r="C588" s="27"/>
      <c r="D588" s="27"/>
      <c r="E588" s="27"/>
    </row>
    <row r="589" ht="15.75" customHeight="1">
      <c r="C589" s="27"/>
      <c r="D589" s="27"/>
      <c r="E589" s="27"/>
    </row>
    <row r="590" ht="15.75" customHeight="1">
      <c r="C590" s="27"/>
      <c r="D590" s="27"/>
      <c r="E590" s="27"/>
    </row>
    <row r="591" ht="15.75" customHeight="1">
      <c r="C591" s="27"/>
      <c r="D591" s="27"/>
      <c r="E591" s="27"/>
    </row>
    <row r="592" ht="15.75" customHeight="1">
      <c r="C592" s="27"/>
      <c r="D592" s="27"/>
      <c r="E592" s="27"/>
    </row>
    <row r="593" ht="15.75" customHeight="1">
      <c r="C593" s="27"/>
      <c r="D593" s="27"/>
      <c r="E593" s="27"/>
    </row>
    <row r="594" ht="15.75" customHeight="1">
      <c r="C594" s="27"/>
      <c r="D594" s="27"/>
      <c r="E594" s="27"/>
    </row>
    <row r="595" ht="15.75" customHeight="1">
      <c r="C595" s="27"/>
      <c r="D595" s="27"/>
      <c r="E595" s="27"/>
    </row>
    <row r="596" ht="15.75" customHeight="1">
      <c r="C596" s="27"/>
      <c r="D596" s="27"/>
      <c r="E596" s="27"/>
    </row>
    <row r="597" ht="15.75" customHeight="1">
      <c r="C597" s="27"/>
      <c r="D597" s="27"/>
      <c r="E597" s="27"/>
    </row>
    <row r="598" ht="15.75" customHeight="1">
      <c r="C598" s="27"/>
      <c r="D598" s="27"/>
      <c r="E598" s="27"/>
    </row>
    <row r="599" ht="15.75" customHeight="1">
      <c r="C599" s="27"/>
      <c r="D599" s="27"/>
      <c r="E599" s="27"/>
    </row>
    <row r="600" ht="15.75" customHeight="1">
      <c r="C600" s="27"/>
      <c r="D600" s="27"/>
      <c r="E600" s="27"/>
    </row>
    <row r="601" ht="15.75" customHeight="1">
      <c r="C601" s="27"/>
      <c r="D601" s="27"/>
      <c r="E601" s="27"/>
    </row>
    <row r="602" ht="15.75" customHeight="1">
      <c r="C602" s="27"/>
      <c r="D602" s="27"/>
      <c r="E602" s="27"/>
    </row>
    <row r="603" ht="15.75" customHeight="1">
      <c r="C603" s="27"/>
      <c r="D603" s="27"/>
      <c r="E603" s="27"/>
    </row>
    <row r="604" ht="15.75" customHeight="1">
      <c r="C604" s="27"/>
      <c r="D604" s="27"/>
      <c r="E604" s="27"/>
    </row>
    <row r="605" ht="15.75" customHeight="1">
      <c r="C605" s="27"/>
      <c r="D605" s="27"/>
      <c r="E605" s="27"/>
    </row>
    <row r="606" ht="15.75" customHeight="1">
      <c r="C606" s="27"/>
      <c r="D606" s="27"/>
      <c r="E606" s="27"/>
    </row>
    <row r="607" ht="15.75" customHeight="1">
      <c r="C607" s="27"/>
      <c r="D607" s="27"/>
      <c r="E607" s="27"/>
    </row>
    <row r="608" ht="15.75" customHeight="1">
      <c r="C608" s="27"/>
      <c r="D608" s="27"/>
      <c r="E608" s="27"/>
    </row>
    <row r="609" ht="15.75" customHeight="1">
      <c r="C609" s="27"/>
      <c r="D609" s="27"/>
      <c r="E609" s="27"/>
    </row>
    <row r="610" ht="15.75" customHeight="1">
      <c r="C610" s="27"/>
      <c r="D610" s="27"/>
      <c r="E610" s="27"/>
    </row>
    <row r="611" ht="15.75" customHeight="1">
      <c r="C611" s="27"/>
      <c r="D611" s="27"/>
      <c r="E611" s="27"/>
    </row>
    <row r="612" ht="15.75" customHeight="1">
      <c r="C612" s="27"/>
      <c r="D612" s="27"/>
      <c r="E612" s="27"/>
    </row>
    <row r="613" ht="15.75" customHeight="1">
      <c r="C613" s="27"/>
      <c r="D613" s="27"/>
      <c r="E613" s="27"/>
    </row>
    <row r="614" ht="15.75" customHeight="1">
      <c r="C614" s="27"/>
      <c r="D614" s="27"/>
      <c r="E614" s="27"/>
    </row>
    <row r="615" ht="15.75" customHeight="1">
      <c r="C615" s="27"/>
      <c r="D615" s="27"/>
      <c r="E615" s="27"/>
    </row>
    <row r="616" ht="15.75" customHeight="1">
      <c r="C616" s="27"/>
      <c r="D616" s="27"/>
      <c r="E616" s="27"/>
    </row>
    <row r="617" ht="15.75" customHeight="1">
      <c r="C617" s="27"/>
      <c r="D617" s="27"/>
      <c r="E617" s="27"/>
    </row>
    <row r="618" ht="15.75" customHeight="1">
      <c r="C618" s="27"/>
      <c r="D618" s="27"/>
      <c r="E618" s="27"/>
    </row>
    <row r="619" ht="15.75" customHeight="1">
      <c r="C619" s="27"/>
      <c r="D619" s="27"/>
      <c r="E619" s="27"/>
    </row>
    <row r="620" ht="15.75" customHeight="1">
      <c r="C620" s="27"/>
      <c r="D620" s="27"/>
      <c r="E620" s="27"/>
    </row>
    <row r="621" ht="15.75" customHeight="1">
      <c r="C621" s="27"/>
      <c r="D621" s="27"/>
      <c r="E621" s="27"/>
    </row>
    <row r="622" ht="15.75" customHeight="1">
      <c r="C622" s="27"/>
      <c r="D622" s="27"/>
      <c r="E622" s="27"/>
    </row>
    <row r="623" ht="15.75" customHeight="1">
      <c r="C623" s="27"/>
      <c r="D623" s="27"/>
      <c r="E623" s="27"/>
    </row>
    <row r="624" ht="15.75" customHeight="1">
      <c r="C624" s="27"/>
      <c r="D624" s="27"/>
      <c r="E624" s="27"/>
    </row>
    <row r="625" ht="15.75" customHeight="1">
      <c r="C625" s="27"/>
      <c r="D625" s="27"/>
      <c r="E625" s="27"/>
    </row>
    <row r="626" ht="15.75" customHeight="1">
      <c r="C626" s="27"/>
      <c r="D626" s="27"/>
      <c r="E626" s="27"/>
    </row>
    <row r="627" ht="15.75" customHeight="1">
      <c r="C627" s="27"/>
      <c r="D627" s="27"/>
      <c r="E627" s="27"/>
    </row>
    <row r="628" ht="15.75" customHeight="1">
      <c r="C628" s="27"/>
      <c r="D628" s="27"/>
      <c r="E628" s="27"/>
    </row>
    <row r="629" ht="15.75" customHeight="1">
      <c r="C629" s="27"/>
      <c r="D629" s="27"/>
      <c r="E629" s="27"/>
    </row>
    <row r="630" ht="15.75" customHeight="1">
      <c r="C630" s="27"/>
      <c r="D630" s="27"/>
      <c r="E630" s="27"/>
    </row>
    <row r="631" ht="15.75" customHeight="1">
      <c r="C631" s="27"/>
      <c r="D631" s="27"/>
      <c r="E631" s="27"/>
    </row>
    <row r="632" ht="15.75" customHeight="1">
      <c r="C632" s="27"/>
      <c r="D632" s="27"/>
      <c r="E632" s="27"/>
    </row>
    <row r="633" ht="15.75" customHeight="1">
      <c r="C633" s="27"/>
      <c r="D633" s="27"/>
      <c r="E633" s="27"/>
    </row>
    <row r="634" ht="15.75" customHeight="1">
      <c r="C634" s="27"/>
      <c r="D634" s="27"/>
      <c r="E634" s="27"/>
    </row>
    <row r="635" ht="15.75" customHeight="1">
      <c r="C635" s="27"/>
      <c r="D635" s="27"/>
      <c r="E635" s="27"/>
    </row>
    <row r="636" ht="15.75" customHeight="1">
      <c r="C636" s="27"/>
      <c r="D636" s="27"/>
      <c r="E636" s="27"/>
    </row>
    <row r="637" ht="15.75" customHeight="1">
      <c r="C637" s="27"/>
      <c r="D637" s="27"/>
      <c r="E637" s="27"/>
    </row>
    <row r="638" ht="15.75" customHeight="1">
      <c r="C638" s="27"/>
      <c r="D638" s="27"/>
      <c r="E638" s="27"/>
    </row>
    <row r="639" ht="15.75" customHeight="1">
      <c r="C639" s="27"/>
      <c r="D639" s="27"/>
      <c r="E639" s="27"/>
    </row>
    <row r="640" ht="15.75" customHeight="1">
      <c r="C640" s="27"/>
      <c r="D640" s="27"/>
      <c r="E640" s="27"/>
    </row>
    <row r="641" ht="15.75" customHeight="1">
      <c r="C641" s="27"/>
      <c r="D641" s="27"/>
      <c r="E641" s="27"/>
    </row>
    <row r="642" ht="15.75" customHeight="1">
      <c r="C642" s="27"/>
      <c r="D642" s="27"/>
      <c r="E642" s="27"/>
    </row>
    <row r="643" ht="15.75" customHeight="1">
      <c r="C643" s="27"/>
      <c r="D643" s="27"/>
      <c r="E643" s="27"/>
    </row>
    <row r="644" ht="15.75" customHeight="1">
      <c r="C644" s="27"/>
      <c r="D644" s="27"/>
      <c r="E644" s="27"/>
    </row>
    <row r="645" ht="15.75" customHeight="1">
      <c r="C645" s="27"/>
      <c r="D645" s="27"/>
      <c r="E645" s="27"/>
    </row>
    <row r="646" ht="15.75" customHeight="1">
      <c r="C646" s="27"/>
      <c r="D646" s="27"/>
      <c r="E646" s="27"/>
    </row>
    <row r="647" ht="15.75" customHeight="1">
      <c r="C647" s="27"/>
      <c r="D647" s="27"/>
      <c r="E647" s="27"/>
    </row>
    <row r="648" ht="15.75" customHeight="1">
      <c r="C648" s="27"/>
      <c r="D648" s="27"/>
      <c r="E648" s="27"/>
    </row>
    <row r="649" ht="15.75" customHeight="1">
      <c r="C649" s="27"/>
      <c r="D649" s="27"/>
      <c r="E649" s="27"/>
    </row>
    <row r="650" ht="15.75" customHeight="1">
      <c r="C650" s="27"/>
      <c r="D650" s="27"/>
      <c r="E650" s="27"/>
    </row>
    <row r="651" ht="15.75" customHeight="1">
      <c r="C651" s="27"/>
      <c r="D651" s="27"/>
      <c r="E651" s="27"/>
    </row>
    <row r="652" ht="15.75" customHeight="1">
      <c r="C652" s="27"/>
      <c r="D652" s="27"/>
      <c r="E652" s="27"/>
    </row>
    <row r="653" ht="15.75" customHeight="1">
      <c r="C653" s="27"/>
      <c r="D653" s="27"/>
      <c r="E653" s="27"/>
    </row>
    <row r="654" ht="15.75" customHeight="1">
      <c r="C654" s="27"/>
      <c r="D654" s="27"/>
      <c r="E654" s="27"/>
    </row>
    <row r="655" ht="15.75" customHeight="1">
      <c r="C655" s="27"/>
      <c r="D655" s="27"/>
      <c r="E655" s="27"/>
    </row>
    <row r="656" ht="15.75" customHeight="1">
      <c r="C656" s="27"/>
      <c r="D656" s="27"/>
      <c r="E656" s="27"/>
    </row>
    <row r="657" ht="15.75" customHeight="1">
      <c r="C657" s="27"/>
      <c r="D657" s="27"/>
      <c r="E657" s="27"/>
    </row>
    <row r="658" ht="15.75" customHeight="1">
      <c r="C658" s="27"/>
      <c r="D658" s="27"/>
      <c r="E658" s="27"/>
    </row>
    <row r="659" ht="15.75" customHeight="1">
      <c r="C659" s="27"/>
      <c r="D659" s="27"/>
      <c r="E659" s="27"/>
    </row>
    <row r="660" ht="15.75" customHeight="1">
      <c r="C660" s="27"/>
      <c r="D660" s="27"/>
      <c r="E660" s="27"/>
    </row>
    <row r="661" ht="15.75" customHeight="1">
      <c r="C661" s="27"/>
      <c r="D661" s="27"/>
      <c r="E661" s="27"/>
    </row>
    <row r="662" ht="15.75" customHeight="1">
      <c r="C662" s="27"/>
      <c r="D662" s="27"/>
      <c r="E662" s="27"/>
    </row>
    <row r="663" ht="15.75" customHeight="1">
      <c r="C663" s="27"/>
      <c r="D663" s="27"/>
      <c r="E663" s="27"/>
    </row>
    <row r="664" ht="15.75" customHeight="1">
      <c r="C664" s="27"/>
      <c r="D664" s="27"/>
      <c r="E664" s="27"/>
    </row>
    <row r="665" ht="15.75" customHeight="1">
      <c r="C665" s="27"/>
      <c r="D665" s="27"/>
      <c r="E665" s="27"/>
    </row>
    <row r="666" ht="15.75" customHeight="1">
      <c r="C666" s="27"/>
      <c r="D666" s="27"/>
      <c r="E666" s="27"/>
    </row>
    <row r="667" ht="15.75" customHeight="1">
      <c r="C667" s="27"/>
      <c r="D667" s="27"/>
      <c r="E667" s="27"/>
    </row>
    <row r="668" ht="15.75" customHeight="1">
      <c r="C668" s="27"/>
      <c r="D668" s="27"/>
      <c r="E668" s="27"/>
    </row>
    <row r="669" ht="15.75" customHeight="1">
      <c r="C669" s="27"/>
      <c r="D669" s="27"/>
      <c r="E669" s="27"/>
    </row>
    <row r="670" ht="15.75" customHeight="1">
      <c r="C670" s="27"/>
      <c r="D670" s="27"/>
      <c r="E670" s="27"/>
    </row>
    <row r="671" ht="15.75" customHeight="1">
      <c r="C671" s="27"/>
      <c r="D671" s="27"/>
      <c r="E671" s="27"/>
    </row>
    <row r="672" ht="15.75" customHeight="1">
      <c r="C672" s="27"/>
      <c r="D672" s="27"/>
      <c r="E672" s="27"/>
    </row>
    <row r="673" ht="15.75" customHeight="1">
      <c r="C673" s="27"/>
      <c r="D673" s="27"/>
      <c r="E673" s="27"/>
    </row>
    <row r="674" ht="15.75" customHeight="1">
      <c r="C674" s="27"/>
      <c r="D674" s="27"/>
      <c r="E674" s="27"/>
    </row>
    <row r="675" ht="15.75" customHeight="1">
      <c r="C675" s="27"/>
      <c r="D675" s="27"/>
      <c r="E675" s="27"/>
    </row>
    <row r="676" ht="15.75" customHeight="1">
      <c r="C676" s="27"/>
      <c r="D676" s="27"/>
      <c r="E676" s="27"/>
    </row>
    <row r="677" ht="15.75" customHeight="1">
      <c r="C677" s="27"/>
      <c r="D677" s="27"/>
      <c r="E677" s="27"/>
    </row>
    <row r="678" ht="15.75" customHeight="1">
      <c r="C678" s="27"/>
      <c r="D678" s="27"/>
      <c r="E678" s="27"/>
    </row>
    <row r="679" ht="15.75" customHeight="1">
      <c r="C679" s="27"/>
      <c r="D679" s="27"/>
      <c r="E679" s="27"/>
    </row>
    <row r="680" ht="15.75" customHeight="1">
      <c r="C680" s="27"/>
      <c r="D680" s="27"/>
      <c r="E680" s="27"/>
    </row>
    <row r="681" ht="15.75" customHeight="1">
      <c r="C681" s="27"/>
      <c r="D681" s="27"/>
      <c r="E681" s="27"/>
    </row>
    <row r="682" ht="15.75" customHeight="1">
      <c r="C682" s="27"/>
      <c r="D682" s="27"/>
      <c r="E682" s="27"/>
    </row>
    <row r="683" ht="15.75" customHeight="1">
      <c r="C683" s="27"/>
      <c r="D683" s="27"/>
      <c r="E683" s="27"/>
    </row>
    <row r="684" ht="15.75" customHeight="1">
      <c r="C684" s="27"/>
      <c r="D684" s="27"/>
      <c r="E684" s="27"/>
    </row>
    <row r="685" ht="15.75" customHeight="1">
      <c r="C685" s="27"/>
      <c r="D685" s="27"/>
      <c r="E685" s="27"/>
    </row>
    <row r="686" ht="15.75" customHeight="1">
      <c r="C686" s="27"/>
      <c r="D686" s="27"/>
      <c r="E686" s="27"/>
    </row>
    <row r="687" ht="15.75" customHeight="1">
      <c r="C687" s="27"/>
      <c r="D687" s="27"/>
      <c r="E687" s="27"/>
    </row>
    <row r="688" ht="15.75" customHeight="1">
      <c r="C688" s="27"/>
      <c r="D688" s="27"/>
      <c r="E688" s="27"/>
    </row>
    <row r="689" ht="15.75" customHeight="1">
      <c r="C689" s="27"/>
      <c r="D689" s="27"/>
      <c r="E689" s="27"/>
    </row>
    <row r="690" ht="15.75" customHeight="1">
      <c r="C690" s="27"/>
      <c r="D690" s="27"/>
      <c r="E690" s="27"/>
    </row>
    <row r="691" ht="15.75" customHeight="1">
      <c r="C691" s="27"/>
      <c r="D691" s="27"/>
      <c r="E691" s="27"/>
    </row>
    <row r="692" ht="15.75" customHeight="1">
      <c r="C692" s="27"/>
      <c r="D692" s="27"/>
      <c r="E692" s="27"/>
    </row>
    <row r="693" ht="15.75" customHeight="1">
      <c r="C693" s="27"/>
      <c r="D693" s="27"/>
      <c r="E693" s="27"/>
    </row>
    <row r="694" ht="15.75" customHeight="1">
      <c r="C694" s="27"/>
      <c r="D694" s="27"/>
      <c r="E694" s="27"/>
    </row>
    <row r="695" ht="15.75" customHeight="1">
      <c r="C695" s="27"/>
      <c r="D695" s="27"/>
      <c r="E695" s="27"/>
    </row>
    <row r="696" ht="15.75" customHeight="1">
      <c r="C696" s="27"/>
      <c r="D696" s="27"/>
      <c r="E696" s="27"/>
    </row>
    <row r="697" ht="15.75" customHeight="1">
      <c r="C697" s="27"/>
      <c r="D697" s="27"/>
      <c r="E697" s="27"/>
    </row>
    <row r="698" ht="15.75" customHeight="1">
      <c r="C698" s="27"/>
      <c r="D698" s="27"/>
      <c r="E698" s="27"/>
    </row>
    <row r="699" ht="15.75" customHeight="1">
      <c r="C699" s="27"/>
      <c r="D699" s="27"/>
      <c r="E699" s="27"/>
    </row>
    <row r="700" ht="15.75" customHeight="1">
      <c r="C700" s="27"/>
      <c r="D700" s="27"/>
      <c r="E700" s="27"/>
    </row>
    <row r="701" ht="15.75" customHeight="1">
      <c r="C701" s="27"/>
      <c r="D701" s="27"/>
      <c r="E701" s="27"/>
    </row>
    <row r="702" ht="15.75" customHeight="1">
      <c r="C702" s="27"/>
      <c r="D702" s="27"/>
      <c r="E702" s="27"/>
    </row>
    <row r="703" ht="15.75" customHeight="1">
      <c r="C703" s="27"/>
      <c r="D703" s="27"/>
      <c r="E703" s="27"/>
    </row>
    <row r="704" ht="15.75" customHeight="1">
      <c r="C704" s="27"/>
      <c r="D704" s="27"/>
      <c r="E704" s="27"/>
    </row>
    <row r="705" ht="15.75" customHeight="1">
      <c r="C705" s="27"/>
      <c r="D705" s="27"/>
      <c r="E705" s="27"/>
    </row>
    <row r="706" ht="15.75" customHeight="1">
      <c r="C706" s="27"/>
      <c r="D706" s="27"/>
      <c r="E706" s="27"/>
    </row>
    <row r="707" ht="15.75" customHeight="1">
      <c r="C707" s="27"/>
      <c r="D707" s="27"/>
      <c r="E707" s="27"/>
    </row>
    <row r="708" ht="15.75" customHeight="1">
      <c r="C708" s="27"/>
      <c r="D708" s="27"/>
      <c r="E708" s="27"/>
    </row>
    <row r="709" ht="15.75" customHeight="1">
      <c r="C709" s="27"/>
      <c r="D709" s="27"/>
      <c r="E709" s="27"/>
    </row>
    <row r="710" ht="15.75" customHeight="1">
      <c r="C710" s="27"/>
      <c r="D710" s="27"/>
      <c r="E710" s="27"/>
    </row>
    <row r="711" ht="15.75" customHeight="1">
      <c r="C711" s="27"/>
      <c r="D711" s="27"/>
      <c r="E711" s="27"/>
    </row>
    <row r="712" ht="15.75" customHeight="1">
      <c r="C712" s="27"/>
      <c r="D712" s="27"/>
      <c r="E712" s="27"/>
    </row>
    <row r="713" ht="15.75" customHeight="1">
      <c r="C713" s="27"/>
      <c r="D713" s="27"/>
      <c r="E713" s="27"/>
    </row>
    <row r="714" ht="15.75" customHeight="1">
      <c r="C714" s="27"/>
      <c r="D714" s="27"/>
      <c r="E714" s="27"/>
    </row>
    <row r="715" ht="15.75" customHeight="1">
      <c r="C715" s="27"/>
      <c r="D715" s="27"/>
      <c r="E715" s="27"/>
    </row>
    <row r="716" ht="15.75" customHeight="1">
      <c r="C716" s="27"/>
      <c r="D716" s="27"/>
      <c r="E716" s="27"/>
    </row>
    <row r="717" ht="15.75" customHeight="1">
      <c r="C717" s="27"/>
      <c r="D717" s="27"/>
      <c r="E717" s="27"/>
    </row>
    <row r="718" ht="15.75" customHeight="1">
      <c r="C718" s="27"/>
      <c r="D718" s="27"/>
      <c r="E718" s="27"/>
    </row>
    <row r="719" ht="15.75" customHeight="1">
      <c r="C719" s="27"/>
      <c r="D719" s="27"/>
      <c r="E719" s="27"/>
    </row>
    <row r="720" ht="15.75" customHeight="1">
      <c r="C720" s="27"/>
      <c r="D720" s="27"/>
      <c r="E720" s="27"/>
    </row>
    <row r="721" ht="15.75" customHeight="1">
      <c r="C721" s="27"/>
      <c r="D721" s="27"/>
      <c r="E721" s="27"/>
    </row>
    <row r="722" ht="15.75" customHeight="1">
      <c r="C722" s="27"/>
      <c r="D722" s="27"/>
      <c r="E722" s="27"/>
    </row>
    <row r="723" ht="15.75" customHeight="1">
      <c r="C723" s="27"/>
      <c r="D723" s="27"/>
      <c r="E723" s="27"/>
    </row>
    <row r="724" ht="15.75" customHeight="1">
      <c r="C724" s="27"/>
      <c r="D724" s="27"/>
      <c r="E724" s="27"/>
    </row>
    <row r="725" ht="15.75" customHeight="1">
      <c r="C725" s="27"/>
      <c r="D725" s="27"/>
      <c r="E725" s="27"/>
    </row>
    <row r="726" ht="15.75" customHeight="1">
      <c r="C726" s="27"/>
      <c r="D726" s="27"/>
      <c r="E726" s="27"/>
    </row>
    <row r="727" ht="15.75" customHeight="1">
      <c r="C727" s="27"/>
      <c r="D727" s="27"/>
      <c r="E727" s="27"/>
    </row>
    <row r="728" ht="15.75" customHeight="1">
      <c r="C728" s="27"/>
      <c r="D728" s="27"/>
      <c r="E728" s="27"/>
    </row>
    <row r="729" ht="15.75" customHeight="1">
      <c r="C729" s="27"/>
      <c r="D729" s="27"/>
      <c r="E729" s="27"/>
    </row>
    <row r="730" ht="15.75" customHeight="1">
      <c r="C730" s="27"/>
      <c r="D730" s="27"/>
      <c r="E730" s="27"/>
    </row>
    <row r="731" ht="15.75" customHeight="1">
      <c r="C731" s="27"/>
      <c r="D731" s="27"/>
      <c r="E731" s="27"/>
    </row>
    <row r="732" ht="15.75" customHeight="1">
      <c r="C732" s="27"/>
      <c r="D732" s="27"/>
      <c r="E732" s="27"/>
    </row>
    <row r="733" ht="15.75" customHeight="1">
      <c r="C733" s="27"/>
      <c r="D733" s="27"/>
      <c r="E733" s="27"/>
    </row>
    <row r="734" ht="15.75" customHeight="1">
      <c r="C734" s="27"/>
      <c r="D734" s="27"/>
      <c r="E734" s="27"/>
    </row>
    <row r="735" ht="15.75" customHeight="1">
      <c r="C735" s="27"/>
      <c r="D735" s="27"/>
      <c r="E735" s="27"/>
    </row>
    <row r="736" ht="15.75" customHeight="1">
      <c r="C736" s="27"/>
      <c r="D736" s="27"/>
      <c r="E736" s="27"/>
    </row>
    <row r="737" ht="15.75" customHeight="1">
      <c r="C737" s="27"/>
      <c r="D737" s="27"/>
      <c r="E737" s="27"/>
    </row>
    <row r="738" ht="15.75" customHeight="1">
      <c r="C738" s="27"/>
      <c r="D738" s="27"/>
      <c r="E738" s="27"/>
    </row>
    <row r="739" ht="15.75" customHeight="1">
      <c r="C739" s="27"/>
      <c r="D739" s="27"/>
      <c r="E739" s="27"/>
    </row>
    <row r="740" ht="15.75" customHeight="1">
      <c r="C740" s="27"/>
      <c r="D740" s="27"/>
      <c r="E740" s="27"/>
    </row>
    <row r="741" ht="15.75" customHeight="1">
      <c r="C741" s="27"/>
      <c r="D741" s="27"/>
      <c r="E741" s="27"/>
    </row>
    <row r="742" ht="15.75" customHeight="1">
      <c r="C742" s="27"/>
      <c r="D742" s="27"/>
      <c r="E742" s="27"/>
    </row>
    <row r="743" ht="15.75" customHeight="1">
      <c r="C743" s="27"/>
      <c r="D743" s="27"/>
      <c r="E743" s="27"/>
    </row>
    <row r="744" ht="15.75" customHeight="1">
      <c r="C744" s="27"/>
      <c r="D744" s="27"/>
      <c r="E744" s="27"/>
    </row>
    <row r="745" ht="15.75" customHeight="1">
      <c r="C745" s="27"/>
      <c r="D745" s="27"/>
      <c r="E745" s="27"/>
    </row>
    <row r="746" ht="15.75" customHeight="1">
      <c r="C746" s="27"/>
      <c r="D746" s="27"/>
      <c r="E746" s="27"/>
    </row>
    <row r="747" ht="15.75" customHeight="1">
      <c r="C747" s="27"/>
      <c r="D747" s="27"/>
      <c r="E747" s="27"/>
    </row>
    <row r="748" ht="15.75" customHeight="1">
      <c r="C748" s="27"/>
      <c r="D748" s="27"/>
      <c r="E748" s="27"/>
    </row>
    <row r="749" ht="15.75" customHeight="1">
      <c r="C749" s="27"/>
      <c r="D749" s="27"/>
      <c r="E749" s="27"/>
    </row>
    <row r="750" ht="15.75" customHeight="1">
      <c r="C750" s="27"/>
      <c r="D750" s="27"/>
      <c r="E750" s="27"/>
    </row>
    <row r="751" ht="15.75" customHeight="1">
      <c r="C751" s="27"/>
      <c r="D751" s="27"/>
      <c r="E751" s="27"/>
    </row>
    <row r="752" ht="15.75" customHeight="1">
      <c r="C752" s="27"/>
      <c r="D752" s="27"/>
      <c r="E752" s="27"/>
    </row>
    <row r="753" ht="15.75" customHeight="1">
      <c r="C753" s="27"/>
      <c r="D753" s="27"/>
      <c r="E753" s="27"/>
    </row>
    <row r="754" ht="15.75" customHeight="1">
      <c r="C754" s="27"/>
      <c r="D754" s="27"/>
      <c r="E754" s="27"/>
    </row>
    <row r="755" ht="15.75" customHeight="1">
      <c r="C755" s="27"/>
      <c r="D755" s="27"/>
      <c r="E755" s="27"/>
    </row>
    <row r="756" ht="15.75" customHeight="1">
      <c r="C756" s="27"/>
      <c r="D756" s="27"/>
      <c r="E756" s="27"/>
    </row>
    <row r="757" ht="15.75" customHeight="1">
      <c r="C757" s="27"/>
      <c r="D757" s="27"/>
      <c r="E757" s="27"/>
    </row>
    <row r="758" ht="15.75" customHeight="1">
      <c r="C758" s="27"/>
      <c r="D758" s="27"/>
      <c r="E758" s="27"/>
    </row>
    <row r="759" ht="15.75" customHeight="1">
      <c r="C759" s="27"/>
      <c r="D759" s="27"/>
      <c r="E759" s="27"/>
    </row>
    <row r="760" ht="15.75" customHeight="1">
      <c r="C760" s="27"/>
      <c r="D760" s="27"/>
      <c r="E760" s="27"/>
    </row>
    <row r="761" ht="15.75" customHeight="1">
      <c r="C761" s="27"/>
      <c r="D761" s="27"/>
      <c r="E761" s="27"/>
    </row>
    <row r="762" ht="15.75" customHeight="1">
      <c r="C762" s="27"/>
      <c r="D762" s="27"/>
      <c r="E762" s="27"/>
    </row>
    <row r="763" ht="15.75" customHeight="1">
      <c r="C763" s="27"/>
      <c r="D763" s="27"/>
      <c r="E763" s="27"/>
    </row>
    <row r="764" ht="15.75" customHeight="1">
      <c r="C764" s="27"/>
      <c r="D764" s="27"/>
      <c r="E764" s="27"/>
    </row>
    <row r="765" ht="15.75" customHeight="1">
      <c r="C765" s="27"/>
      <c r="D765" s="27"/>
      <c r="E765" s="27"/>
    </row>
    <row r="766" ht="15.75" customHeight="1">
      <c r="C766" s="27"/>
      <c r="D766" s="27"/>
      <c r="E766" s="27"/>
    </row>
    <row r="767" ht="15.75" customHeight="1">
      <c r="C767" s="27"/>
      <c r="D767" s="27"/>
      <c r="E767" s="27"/>
    </row>
    <row r="768" ht="15.75" customHeight="1">
      <c r="C768" s="27"/>
      <c r="D768" s="27"/>
      <c r="E768" s="27"/>
    </row>
    <row r="769" ht="15.75" customHeight="1">
      <c r="C769" s="27"/>
      <c r="D769" s="27"/>
      <c r="E769" s="27"/>
    </row>
    <row r="770" ht="15.75" customHeight="1">
      <c r="C770" s="27"/>
      <c r="D770" s="27"/>
      <c r="E770" s="27"/>
    </row>
    <row r="771" ht="15.75" customHeight="1">
      <c r="C771" s="27"/>
      <c r="D771" s="27"/>
      <c r="E771" s="27"/>
    </row>
    <row r="772" ht="15.75" customHeight="1">
      <c r="C772" s="27"/>
      <c r="D772" s="27"/>
      <c r="E772" s="27"/>
    </row>
    <row r="773" ht="15.75" customHeight="1">
      <c r="C773" s="27"/>
      <c r="D773" s="27"/>
      <c r="E773" s="27"/>
    </row>
    <row r="774" ht="15.75" customHeight="1">
      <c r="C774" s="27"/>
      <c r="D774" s="27"/>
      <c r="E774" s="27"/>
    </row>
    <row r="775" ht="15.75" customHeight="1">
      <c r="C775" s="27"/>
      <c r="D775" s="27"/>
      <c r="E775" s="27"/>
    </row>
    <row r="776" ht="15.75" customHeight="1">
      <c r="C776" s="27"/>
      <c r="D776" s="27"/>
      <c r="E776" s="27"/>
    </row>
    <row r="777" ht="15.75" customHeight="1">
      <c r="C777" s="27"/>
      <c r="D777" s="27"/>
      <c r="E777" s="27"/>
    </row>
    <row r="778" ht="15.75" customHeight="1">
      <c r="C778" s="27"/>
      <c r="D778" s="27"/>
      <c r="E778" s="27"/>
    </row>
    <row r="779" ht="15.75" customHeight="1">
      <c r="C779" s="27"/>
      <c r="D779" s="27"/>
      <c r="E779" s="27"/>
    </row>
    <row r="780" ht="15.75" customHeight="1">
      <c r="C780" s="27"/>
      <c r="D780" s="27"/>
      <c r="E780" s="27"/>
    </row>
    <row r="781" ht="15.75" customHeight="1">
      <c r="C781" s="27"/>
      <c r="D781" s="27"/>
      <c r="E781" s="27"/>
    </row>
    <row r="782" ht="15.75" customHeight="1">
      <c r="C782" s="27"/>
      <c r="D782" s="27"/>
      <c r="E782" s="27"/>
    </row>
    <row r="783" ht="15.75" customHeight="1">
      <c r="C783" s="27"/>
      <c r="D783" s="27"/>
      <c r="E783" s="27"/>
    </row>
    <row r="784" ht="15.75" customHeight="1">
      <c r="C784" s="27"/>
      <c r="D784" s="27"/>
      <c r="E784" s="27"/>
    </row>
    <row r="785" ht="15.75" customHeight="1">
      <c r="C785" s="27"/>
      <c r="D785" s="27"/>
      <c r="E785" s="27"/>
    </row>
    <row r="786" ht="15.75" customHeight="1">
      <c r="C786" s="27"/>
      <c r="D786" s="27"/>
      <c r="E786" s="27"/>
    </row>
    <row r="787" ht="15.75" customHeight="1">
      <c r="C787" s="27"/>
      <c r="D787" s="27"/>
      <c r="E787" s="27"/>
    </row>
    <row r="788" ht="15.75" customHeight="1">
      <c r="C788" s="27"/>
      <c r="D788" s="27"/>
      <c r="E788" s="27"/>
    </row>
    <row r="789" ht="15.75" customHeight="1">
      <c r="C789" s="27"/>
      <c r="D789" s="27"/>
      <c r="E789" s="27"/>
    </row>
    <row r="790" ht="15.75" customHeight="1">
      <c r="C790" s="27"/>
      <c r="D790" s="27"/>
      <c r="E790" s="27"/>
    </row>
    <row r="791" ht="15.75" customHeight="1">
      <c r="C791" s="27"/>
      <c r="D791" s="27"/>
      <c r="E791" s="27"/>
    </row>
    <row r="792" ht="15.75" customHeight="1">
      <c r="C792" s="27"/>
      <c r="D792" s="27"/>
      <c r="E792" s="27"/>
    </row>
    <row r="793" ht="15.75" customHeight="1">
      <c r="C793" s="27"/>
      <c r="D793" s="27"/>
      <c r="E793" s="27"/>
    </row>
    <row r="794" ht="15.75" customHeight="1">
      <c r="C794" s="27"/>
      <c r="D794" s="27"/>
      <c r="E794" s="27"/>
    </row>
    <row r="795" ht="15.75" customHeight="1">
      <c r="C795" s="27"/>
      <c r="D795" s="27"/>
      <c r="E795" s="27"/>
    </row>
    <row r="796" ht="15.75" customHeight="1">
      <c r="C796" s="27"/>
      <c r="D796" s="27"/>
      <c r="E796" s="27"/>
    </row>
    <row r="797" ht="15.75" customHeight="1">
      <c r="C797" s="27"/>
      <c r="D797" s="27"/>
      <c r="E797" s="27"/>
    </row>
    <row r="798" ht="15.75" customHeight="1">
      <c r="C798" s="27"/>
      <c r="D798" s="27"/>
      <c r="E798" s="27"/>
    </row>
    <row r="799" ht="15.75" customHeight="1">
      <c r="C799" s="27"/>
      <c r="D799" s="27"/>
      <c r="E799" s="27"/>
    </row>
    <row r="800" ht="15.75" customHeight="1">
      <c r="C800" s="27"/>
      <c r="D800" s="27"/>
      <c r="E800" s="27"/>
    </row>
    <row r="801" ht="15.75" customHeight="1">
      <c r="C801" s="27"/>
      <c r="D801" s="27"/>
      <c r="E801" s="27"/>
    </row>
    <row r="802" ht="15.75" customHeight="1">
      <c r="C802" s="27"/>
      <c r="D802" s="27"/>
      <c r="E802" s="27"/>
    </row>
    <row r="803" ht="15.75" customHeight="1">
      <c r="C803" s="27"/>
      <c r="D803" s="27"/>
      <c r="E803" s="27"/>
    </row>
    <row r="804" ht="15.75" customHeight="1">
      <c r="C804" s="27"/>
      <c r="D804" s="27"/>
      <c r="E804" s="27"/>
    </row>
    <row r="805" ht="15.75" customHeight="1">
      <c r="C805" s="27"/>
      <c r="D805" s="27"/>
      <c r="E805" s="27"/>
    </row>
    <row r="806" ht="15.75" customHeight="1">
      <c r="C806" s="27"/>
      <c r="D806" s="27"/>
      <c r="E806" s="27"/>
    </row>
    <row r="807" ht="15.75" customHeight="1">
      <c r="C807" s="27"/>
      <c r="D807" s="27"/>
      <c r="E807" s="27"/>
    </row>
    <row r="808" ht="15.75" customHeight="1">
      <c r="C808" s="27"/>
      <c r="D808" s="27"/>
      <c r="E808" s="27"/>
    </row>
    <row r="809" ht="15.75" customHeight="1">
      <c r="C809" s="27"/>
      <c r="D809" s="27"/>
      <c r="E809" s="27"/>
    </row>
    <row r="810" ht="15.75" customHeight="1">
      <c r="C810" s="27"/>
      <c r="D810" s="27"/>
      <c r="E810" s="27"/>
    </row>
    <row r="811" ht="15.75" customHeight="1">
      <c r="C811" s="27"/>
      <c r="D811" s="27"/>
      <c r="E811" s="27"/>
    </row>
    <row r="812" ht="15.75" customHeight="1">
      <c r="C812" s="27"/>
      <c r="D812" s="27"/>
      <c r="E812" s="27"/>
    </row>
    <row r="813" ht="15.75" customHeight="1">
      <c r="C813" s="27"/>
      <c r="D813" s="27"/>
      <c r="E813" s="27"/>
    </row>
    <row r="814" ht="15.75" customHeight="1">
      <c r="C814" s="27"/>
      <c r="D814" s="27"/>
      <c r="E814" s="27"/>
    </row>
    <row r="815" ht="15.75" customHeight="1">
      <c r="C815" s="27"/>
      <c r="D815" s="27"/>
      <c r="E815" s="27"/>
    </row>
    <row r="816" ht="15.75" customHeight="1">
      <c r="C816" s="27"/>
      <c r="D816" s="27"/>
      <c r="E816" s="27"/>
    </row>
    <row r="817" ht="15.75" customHeight="1">
      <c r="C817" s="27"/>
      <c r="D817" s="27"/>
      <c r="E817" s="27"/>
    </row>
    <row r="818" ht="15.75" customHeight="1">
      <c r="C818" s="27"/>
      <c r="D818" s="27"/>
      <c r="E818" s="27"/>
    </row>
    <row r="819" ht="15.75" customHeight="1">
      <c r="C819" s="27"/>
      <c r="D819" s="27"/>
      <c r="E819" s="27"/>
    </row>
    <row r="820" ht="15.75" customHeight="1">
      <c r="C820" s="27"/>
      <c r="D820" s="27"/>
      <c r="E820" s="27"/>
    </row>
    <row r="821" ht="15.75" customHeight="1">
      <c r="C821" s="27"/>
      <c r="D821" s="27"/>
      <c r="E821" s="27"/>
    </row>
    <row r="822" ht="15.75" customHeight="1">
      <c r="C822" s="27"/>
      <c r="D822" s="27"/>
      <c r="E822" s="27"/>
    </row>
    <row r="823" ht="15.75" customHeight="1">
      <c r="C823" s="27"/>
      <c r="D823" s="27"/>
      <c r="E823" s="27"/>
    </row>
    <row r="824" ht="15.75" customHeight="1">
      <c r="C824" s="27"/>
      <c r="D824" s="27"/>
      <c r="E824" s="27"/>
    </row>
    <row r="825" ht="15.75" customHeight="1">
      <c r="C825" s="27"/>
      <c r="D825" s="27"/>
      <c r="E825" s="27"/>
    </row>
    <row r="826" ht="15.75" customHeight="1">
      <c r="C826" s="27"/>
      <c r="D826" s="27"/>
      <c r="E826" s="27"/>
    </row>
    <row r="827" ht="15.75" customHeight="1">
      <c r="C827" s="27"/>
      <c r="D827" s="27"/>
      <c r="E827" s="27"/>
    </row>
    <row r="828" ht="15.75" customHeight="1">
      <c r="C828" s="27"/>
      <c r="D828" s="27"/>
      <c r="E828" s="27"/>
    </row>
    <row r="829" ht="15.75" customHeight="1">
      <c r="C829" s="27"/>
      <c r="D829" s="27"/>
      <c r="E829" s="27"/>
    </row>
    <row r="830" ht="15.75" customHeight="1">
      <c r="C830" s="27"/>
      <c r="D830" s="27"/>
      <c r="E830" s="27"/>
    </row>
    <row r="831" ht="15.75" customHeight="1">
      <c r="C831" s="27"/>
      <c r="D831" s="27"/>
      <c r="E831" s="27"/>
    </row>
    <row r="832" ht="15.75" customHeight="1">
      <c r="C832" s="27"/>
      <c r="D832" s="27"/>
      <c r="E832" s="27"/>
    </row>
    <row r="833" ht="15.75" customHeight="1">
      <c r="C833" s="27"/>
      <c r="D833" s="27"/>
      <c r="E833" s="27"/>
    </row>
    <row r="834" ht="15.75" customHeight="1">
      <c r="C834" s="27"/>
      <c r="D834" s="27"/>
      <c r="E834" s="27"/>
    </row>
    <row r="835" ht="15.75" customHeight="1">
      <c r="C835" s="27"/>
      <c r="D835" s="27"/>
      <c r="E835" s="27"/>
    </row>
    <row r="836" ht="15.75" customHeight="1">
      <c r="C836" s="27"/>
      <c r="D836" s="27"/>
      <c r="E836" s="27"/>
    </row>
    <row r="837" ht="15.75" customHeight="1">
      <c r="C837" s="27"/>
      <c r="D837" s="27"/>
      <c r="E837" s="27"/>
    </row>
    <row r="838" ht="15.75" customHeight="1">
      <c r="C838" s="27"/>
      <c r="D838" s="27"/>
      <c r="E838" s="27"/>
    </row>
    <row r="839" ht="15.75" customHeight="1">
      <c r="C839" s="27"/>
      <c r="D839" s="27"/>
      <c r="E839" s="27"/>
    </row>
    <row r="840" ht="15.75" customHeight="1">
      <c r="C840" s="27"/>
      <c r="D840" s="27"/>
      <c r="E840" s="27"/>
    </row>
    <row r="841" ht="15.75" customHeight="1">
      <c r="C841" s="27"/>
      <c r="D841" s="27"/>
      <c r="E841" s="27"/>
    </row>
    <row r="842" ht="15.75" customHeight="1">
      <c r="C842" s="27"/>
      <c r="D842" s="27"/>
      <c r="E842" s="27"/>
    </row>
    <row r="843" ht="15.75" customHeight="1">
      <c r="C843" s="27"/>
      <c r="D843" s="27"/>
      <c r="E843" s="27"/>
    </row>
    <row r="844" ht="15.75" customHeight="1">
      <c r="C844" s="27"/>
      <c r="D844" s="27"/>
      <c r="E844" s="27"/>
    </row>
    <row r="845" ht="15.75" customHeight="1">
      <c r="C845" s="27"/>
      <c r="D845" s="27"/>
      <c r="E845" s="27"/>
    </row>
    <row r="846" ht="15.75" customHeight="1">
      <c r="C846" s="27"/>
      <c r="D846" s="27"/>
      <c r="E846" s="27"/>
    </row>
    <row r="847" ht="15.75" customHeight="1">
      <c r="C847" s="27"/>
      <c r="D847" s="27"/>
      <c r="E847" s="27"/>
    </row>
    <row r="848" ht="15.75" customHeight="1">
      <c r="C848" s="27"/>
      <c r="D848" s="27"/>
      <c r="E848" s="27"/>
    </row>
    <row r="849" ht="15.75" customHeight="1">
      <c r="C849" s="27"/>
      <c r="D849" s="27"/>
      <c r="E849" s="27"/>
    </row>
    <row r="850" ht="15.75" customHeight="1">
      <c r="C850" s="27"/>
      <c r="D850" s="27"/>
      <c r="E850" s="27"/>
    </row>
    <row r="851" ht="15.75" customHeight="1">
      <c r="C851" s="27"/>
      <c r="D851" s="27"/>
      <c r="E851" s="27"/>
    </row>
    <row r="852" ht="15.75" customHeight="1">
      <c r="C852" s="27"/>
      <c r="D852" s="27"/>
      <c r="E852" s="27"/>
    </row>
    <row r="853" ht="15.75" customHeight="1">
      <c r="C853" s="27"/>
      <c r="D853" s="27"/>
      <c r="E853" s="27"/>
    </row>
    <row r="854" ht="15.75" customHeight="1">
      <c r="C854" s="27"/>
      <c r="D854" s="27"/>
      <c r="E854" s="27"/>
    </row>
    <row r="855" ht="15.75" customHeight="1">
      <c r="C855" s="27"/>
      <c r="D855" s="27"/>
      <c r="E855" s="27"/>
    </row>
    <row r="856" ht="15.75" customHeight="1">
      <c r="C856" s="27"/>
      <c r="D856" s="27"/>
      <c r="E856" s="27"/>
    </row>
    <row r="857" ht="15.75" customHeight="1">
      <c r="C857" s="27"/>
      <c r="D857" s="27"/>
      <c r="E857" s="27"/>
    </row>
    <row r="858" ht="15.75" customHeight="1">
      <c r="C858" s="27"/>
      <c r="D858" s="27"/>
      <c r="E858" s="27"/>
    </row>
    <row r="859" ht="15.75" customHeight="1">
      <c r="C859" s="27"/>
      <c r="D859" s="27"/>
      <c r="E859" s="27"/>
    </row>
    <row r="860" ht="15.75" customHeight="1">
      <c r="C860" s="27"/>
      <c r="D860" s="27"/>
      <c r="E860" s="27"/>
    </row>
    <row r="861" ht="15.75" customHeight="1">
      <c r="C861" s="27"/>
      <c r="D861" s="27"/>
      <c r="E861" s="27"/>
    </row>
    <row r="862" ht="15.75" customHeight="1">
      <c r="C862" s="27"/>
      <c r="D862" s="27"/>
      <c r="E862" s="27"/>
    </row>
    <row r="863" ht="15.75" customHeight="1">
      <c r="C863" s="27"/>
      <c r="D863" s="27"/>
      <c r="E863" s="27"/>
    </row>
    <row r="864" ht="15.75" customHeight="1">
      <c r="C864" s="27"/>
      <c r="D864" s="27"/>
      <c r="E864" s="27"/>
    </row>
    <row r="865" ht="15.75" customHeight="1">
      <c r="C865" s="27"/>
      <c r="D865" s="27"/>
      <c r="E865" s="27"/>
    </row>
    <row r="866" ht="15.75" customHeight="1">
      <c r="C866" s="27"/>
      <c r="D866" s="27"/>
      <c r="E866" s="27"/>
    </row>
    <row r="867" ht="15.75" customHeight="1">
      <c r="C867" s="27"/>
      <c r="D867" s="27"/>
      <c r="E867" s="27"/>
    </row>
    <row r="868" ht="15.75" customHeight="1">
      <c r="C868" s="27"/>
      <c r="D868" s="27"/>
      <c r="E868" s="27"/>
    </row>
    <row r="869" ht="15.75" customHeight="1">
      <c r="C869" s="27"/>
      <c r="D869" s="27"/>
      <c r="E869" s="27"/>
    </row>
    <row r="870" ht="15.75" customHeight="1">
      <c r="C870" s="27"/>
      <c r="D870" s="27"/>
      <c r="E870" s="27"/>
    </row>
    <row r="871" ht="15.75" customHeight="1">
      <c r="C871" s="27"/>
      <c r="D871" s="27"/>
      <c r="E871" s="27"/>
    </row>
    <row r="872" ht="15.75" customHeight="1">
      <c r="C872" s="27"/>
      <c r="D872" s="27"/>
      <c r="E872" s="27"/>
    </row>
    <row r="873" ht="15.75" customHeight="1">
      <c r="C873" s="27"/>
      <c r="D873" s="27"/>
      <c r="E873" s="27"/>
    </row>
    <row r="874" ht="15.75" customHeight="1">
      <c r="C874" s="27"/>
      <c r="D874" s="27"/>
      <c r="E874" s="27"/>
    </row>
    <row r="875" ht="15.75" customHeight="1">
      <c r="C875" s="27"/>
      <c r="D875" s="27"/>
      <c r="E875" s="27"/>
    </row>
    <row r="876" ht="15.75" customHeight="1">
      <c r="C876" s="27"/>
      <c r="D876" s="27"/>
      <c r="E876" s="27"/>
    </row>
    <row r="877" ht="15.75" customHeight="1">
      <c r="C877" s="27"/>
      <c r="D877" s="27"/>
      <c r="E877" s="27"/>
    </row>
    <row r="878" ht="15.75" customHeight="1">
      <c r="C878" s="27"/>
      <c r="D878" s="27"/>
      <c r="E878" s="27"/>
    </row>
    <row r="879" ht="15.75" customHeight="1">
      <c r="C879" s="27"/>
      <c r="D879" s="27"/>
      <c r="E879" s="27"/>
    </row>
    <row r="880" ht="15.75" customHeight="1">
      <c r="C880" s="27"/>
      <c r="D880" s="27"/>
      <c r="E880" s="27"/>
    </row>
    <row r="881" ht="15.75" customHeight="1">
      <c r="C881" s="27"/>
      <c r="D881" s="27"/>
      <c r="E881" s="27"/>
    </row>
    <row r="882" ht="15.75" customHeight="1">
      <c r="C882" s="27"/>
      <c r="D882" s="27"/>
      <c r="E882" s="27"/>
    </row>
    <row r="883" ht="15.75" customHeight="1">
      <c r="C883" s="27"/>
      <c r="D883" s="27"/>
      <c r="E883" s="27"/>
    </row>
    <row r="884" ht="15.75" customHeight="1">
      <c r="C884" s="27"/>
      <c r="D884" s="27"/>
      <c r="E884" s="27"/>
    </row>
    <row r="885" ht="15.75" customHeight="1">
      <c r="C885" s="27"/>
      <c r="D885" s="27"/>
      <c r="E885" s="27"/>
    </row>
    <row r="886" ht="15.75" customHeight="1">
      <c r="C886" s="27"/>
      <c r="D886" s="27"/>
      <c r="E886" s="27"/>
    </row>
    <row r="887" ht="15.75" customHeight="1">
      <c r="C887" s="27"/>
      <c r="D887" s="27"/>
      <c r="E887" s="27"/>
    </row>
    <row r="888" ht="15.75" customHeight="1">
      <c r="C888" s="27"/>
      <c r="D888" s="27"/>
      <c r="E888" s="27"/>
    </row>
    <row r="889" ht="15.75" customHeight="1">
      <c r="C889" s="27"/>
      <c r="D889" s="27"/>
      <c r="E889" s="27"/>
    </row>
    <row r="890" ht="15.75" customHeight="1">
      <c r="C890" s="27"/>
      <c r="D890" s="27"/>
      <c r="E890" s="27"/>
    </row>
    <row r="891" ht="15.75" customHeight="1">
      <c r="C891" s="27"/>
      <c r="D891" s="27"/>
      <c r="E891" s="27"/>
    </row>
    <row r="892" ht="15.75" customHeight="1">
      <c r="C892" s="27"/>
      <c r="D892" s="27"/>
      <c r="E892" s="27"/>
    </row>
    <row r="893" ht="15.75" customHeight="1">
      <c r="C893" s="27"/>
      <c r="D893" s="27"/>
      <c r="E893" s="27"/>
    </row>
    <row r="894" ht="15.75" customHeight="1">
      <c r="C894" s="27"/>
      <c r="D894" s="27"/>
      <c r="E894" s="27"/>
    </row>
    <row r="895" ht="15.75" customHeight="1">
      <c r="C895" s="27"/>
      <c r="D895" s="27"/>
      <c r="E895" s="27"/>
    </row>
    <row r="896" ht="15.75" customHeight="1">
      <c r="C896" s="27"/>
      <c r="D896" s="27"/>
      <c r="E896" s="27"/>
    </row>
    <row r="897" ht="15.75" customHeight="1">
      <c r="C897" s="27"/>
      <c r="D897" s="27"/>
      <c r="E897" s="27"/>
    </row>
    <row r="898" ht="15.75" customHeight="1">
      <c r="C898" s="27"/>
      <c r="D898" s="27"/>
      <c r="E898" s="27"/>
    </row>
    <row r="899" ht="15.75" customHeight="1">
      <c r="C899" s="27"/>
      <c r="D899" s="27"/>
      <c r="E899" s="27"/>
    </row>
    <row r="900" ht="15.75" customHeight="1">
      <c r="C900" s="27"/>
      <c r="D900" s="27"/>
      <c r="E900" s="27"/>
    </row>
    <row r="901" ht="15.75" customHeight="1">
      <c r="C901" s="27"/>
      <c r="D901" s="27"/>
      <c r="E901" s="27"/>
    </row>
    <row r="902" ht="15.75" customHeight="1">
      <c r="C902" s="27"/>
      <c r="D902" s="27"/>
      <c r="E902" s="27"/>
    </row>
    <row r="903" ht="15.75" customHeight="1">
      <c r="C903" s="27"/>
      <c r="D903" s="27"/>
      <c r="E903" s="27"/>
    </row>
    <row r="904" ht="15.75" customHeight="1">
      <c r="C904" s="27"/>
      <c r="D904" s="27"/>
      <c r="E904" s="27"/>
    </row>
    <row r="905" ht="15.75" customHeight="1">
      <c r="C905" s="27"/>
      <c r="D905" s="27"/>
      <c r="E905" s="27"/>
    </row>
    <row r="906" ht="15.75" customHeight="1">
      <c r="C906" s="27"/>
      <c r="D906" s="27"/>
      <c r="E906" s="27"/>
    </row>
    <row r="907" ht="15.75" customHeight="1">
      <c r="C907" s="27"/>
      <c r="D907" s="27"/>
      <c r="E907" s="27"/>
    </row>
    <row r="908" ht="15.75" customHeight="1">
      <c r="C908" s="27"/>
      <c r="D908" s="27"/>
      <c r="E908" s="27"/>
    </row>
    <row r="909" ht="15.75" customHeight="1">
      <c r="C909" s="27"/>
      <c r="D909" s="27"/>
      <c r="E909" s="27"/>
    </row>
    <row r="910" ht="15.75" customHeight="1">
      <c r="C910" s="27"/>
      <c r="D910" s="27"/>
      <c r="E910" s="27"/>
    </row>
    <row r="911" ht="15.75" customHeight="1">
      <c r="C911" s="27"/>
      <c r="D911" s="27"/>
      <c r="E911" s="27"/>
    </row>
    <row r="912" ht="15.75" customHeight="1">
      <c r="C912" s="27"/>
      <c r="D912" s="27"/>
      <c r="E912" s="27"/>
    </row>
    <row r="913" ht="15.75" customHeight="1">
      <c r="C913" s="27"/>
      <c r="D913" s="27"/>
      <c r="E913" s="27"/>
    </row>
    <row r="914" ht="15.75" customHeight="1">
      <c r="C914" s="27"/>
      <c r="D914" s="27"/>
      <c r="E914" s="27"/>
    </row>
    <row r="915" ht="15.75" customHeight="1">
      <c r="C915" s="27"/>
      <c r="D915" s="27"/>
      <c r="E915" s="27"/>
    </row>
    <row r="916" ht="15.75" customHeight="1">
      <c r="C916" s="27"/>
      <c r="D916" s="27"/>
      <c r="E916" s="27"/>
    </row>
    <row r="917" ht="15.75" customHeight="1">
      <c r="C917" s="27"/>
      <c r="D917" s="27"/>
      <c r="E917" s="27"/>
    </row>
    <row r="918" ht="15.75" customHeight="1">
      <c r="C918" s="27"/>
      <c r="D918" s="27"/>
      <c r="E918" s="27"/>
    </row>
    <row r="919" ht="15.75" customHeight="1">
      <c r="C919" s="27"/>
      <c r="D919" s="27"/>
      <c r="E919" s="27"/>
    </row>
    <row r="920" ht="15.75" customHeight="1">
      <c r="C920" s="27"/>
      <c r="D920" s="27"/>
      <c r="E920" s="27"/>
    </row>
    <row r="921" ht="15.75" customHeight="1">
      <c r="C921" s="27"/>
      <c r="D921" s="27"/>
      <c r="E921" s="27"/>
    </row>
    <row r="922" ht="15.75" customHeight="1">
      <c r="C922" s="27"/>
      <c r="D922" s="27"/>
      <c r="E922" s="27"/>
    </row>
    <row r="923" ht="15.75" customHeight="1">
      <c r="C923" s="27"/>
      <c r="D923" s="27"/>
      <c r="E923" s="27"/>
    </row>
    <row r="924" ht="15.75" customHeight="1">
      <c r="C924" s="27"/>
      <c r="D924" s="27"/>
      <c r="E924" s="27"/>
    </row>
    <row r="925" ht="15.75" customHeight="1">
      <c r="C925" s="27"/>
      <c r="D925" s="27"/>
      <c r="E925" s="27"/>
    </row>
    <row r="926" ht="15.75" customHeight="1">
      <c r="C926" s="27"/>
      <c r="D926" s="27"/>
      <c r="E926" s="27"/>
    </row>
    <row r="927" ht="15.75" customHeight="1">
      <c r="C927" s="27"/>
      <c r="D927" s="27"/>
      <c r="E927" s="27"/>
    </row>
    <row r="928" ht="15.75" customHeight="1">
      <c r="C928" s="27"/>
      <c r="D928" s="27"/>
      <c r="E928" s="27"/>
    </row>
    <row r="929" ht="15.75" customHeight="1">
      <c r="C929" s="27"/>
      <c r="D929" s="27"/>
      <c r="E929" s="27"/>
    </row>
    <row r="930" ht="15.75" customHeight="1">
      <c r="C930" s="27"/>
      <c r="D930" s="27"/>
      <c r="E930" s="27"/>
    </row>
    <row r="931" ht="15.75" customHeight="1">
      <c r="C931" s="27"/>
      <c r="D931" s="27"/>
      <c r="E931" s="27"/>
    </row>
    <row r="932" ht="15.75" customHeight="1">
      <c r="C932" s="27"/>
      <c r="D932" s="27"/>
      <c r="E932" s="27"/>
    </row>
    <row r="933" ht="15.75" customHeight="1">
      <c r="C933" s="27"/>
      <c r="D933" s="27"/>
      <c r="E933" s="27"/>
    </row>
    <row r="934" ht="15.75" customHeight="1">
      <c r="C934" s="27"/>
      <c r="D934" s="27"/>
      <c r="E934" s="27"/>
    </row>
    <row r="935" ht="15.75" customHeight="1">
      <c r="C935" s="27"/>
      <c r="D935" s="27"/>
      <c r="E935" s="27"/>
    </row>
    <row r="936" ht="15.75" customHeight="1">
      <c r="C936" s="27"/>
      <c r="D936" s="27"/>
      <c r="E936" s="27"/>
    </row>
    <row r="937" ht="15.75" customHeight="1">
      <c r="C937" s="27"/>
      <c r="D937" s="27"/>
      <c r="E937" s="27"/>
    </row>
    <row r="938" ht="15.75" customHeight="1">
      <c r="C938" s="27"/>
      <c r="D938" s="27"/>
      <c r="E938" s="27"/>
    </row>
    <row r="939" ht="15.75" customHeight="1">
      <c r="C939" s="27"/>
      <c r="D939" s="27"/>
      <c r="E939" s="27"/>
    </row>
    <row r="940" ht="15.75" customHeight="1">
      <c r="C940" s="27"/>
      <c r="D940" s="27"/>
      <c r="E940" s="27"/>
    </row>
    <row r="941" ht="15.75" customHeight="1">
      <c r="C941" s="27"/>
      <c r="D941" s="27"/>
      <c r="E941" s="27"/>
    </row>
    <row r="942" ht="15.75" customHeight="1">
      <c r="C942" s="27"/>
      <c r="D942" s="27"/>
      <c r="E942" s="27"/>
    </row>
    <row r="943" ht="15.75" customHeight="1">
      <c r="C943" s="27"/>
      <c r="D943" s="27"/>
      <c r="E943" s="27"/>
    </row>
    <row r="944" ht="15.75" customHeight="1">
      <c r="C944" s="27"/>
      <c r="D944" s="27"/>
      <c r="E944" s="27"/>
    </row>
    <row r="945" ht="15.75" customHeight="1">
      <c r="C945" s="27"/>
      <c r="D945" s="27"/>
      <c r="E945" s="27"/>
    </row>
    <row r="946" ht="15.75" customHeight="1">
      <c r="C946" s="27"/>
      <c r="D946" s="27"/>
      <c r="E946" s="27"/>
    </row>
    <row r="947" ht="15.75" customHeight="1">
      <c r="C947" s="27"/>
      <c r="D947" s="27"/>
      <c r="E947" s="27"/>
    </row>
    <row r="948" ht="15.75" customHeight="1">
      <c r="C948" s="27"/>
      <c r="D948" s="27"/>
      <c r="E948" s="27"/>
    </row>
    <row r="949" ht="15.75" customHeight="1">
      <c r="C949" s="27"/>
      <c r="D949" s="27"/>
      <c r="E949" s="27"/>
    </row>
    <row r="950" ht="15.75" customHeight="1">
      <c r="C950" s="27"/>
      <c r="D950" s="27"/>
      <c r="E950" s="27"/>
    </row>
    <row r="951" ht="15.75" customHeight="1">
      <c r="C951" s="27"/>
      <c r="D951" s="27"/>
      <c r="E951" s="27"/>
    </row>
    <row r="952" ht="15.75" customHeight="1">
      <c r="C952" s="27"/>
      <c r="D952" s="27"/>
      <c r="E952" s="27"/>
    </row>
    <row r="953" ht="15.75" customHeight="1">
      <c r="C953" s="27"/>
      <c r="D953" s="27"/>
      <c r="E953" s="27"/>
    </row>
    <row r="954" ht="15.75" customHeight="1">
      <c r="C954" s="27"/>
      <c r="D954" s="27"/>
      <c r="E954" s="27"/>
    </row>
    <row r="955" ht="15.75" customHeight="1">
      <c r="C955" s="27"/>
      <c r="D955" s="27"/>
      <c r="E955" s="27"/>
    </row>
    <row r="956" ht="15.75" customHeight="1">
      <c r="C956" s="27"/>
      <c r="D956" s="27"/>
      <c r="E956" s="27"/>
    </row>
    <row r="957" ht="15.75" customHeight="1">
      <c r="C957" s="27"/>
      <c r="D957" s="27"/>
      <c r="E957" s="27"/>
    </row>
    <row r="958" ht="15.75" customHeight="1">
      <c r="C958" s="27"/>
      <c r="D958" s="27"/>
      <c r="E958" s="27"/>
    </row>
    <row r="959" ht="15.75" customHeight="1">
      <c r="C959" s="27"/>
      <c r="D959" s="27"/>
      <c r="E959" s="27"/>
    </row>
    <row r="960" ht="15.75" customHeight="1">
      <c r="C960" s="27"/>
      <c r="D960" s="27"/>
      <c r="E960" s="27"/>
    </row>
    <row r="961" ht="15.75" customHeight="1">
      <c r="C961" s="27"/>
      <c r="D961" s="27"/>
      <c r="E961" s="27"/>
    </row>
    <row r="962" ht="15.75" customHeight="1">
      <c r="C962" s="27"/>
      <c r="D962" s="27"/>
      <c r="E962" s="27"/>
    </row>
    <row r="963" ht="15.75" customHeight="1">
      <c r="C963" s="27"/>
      <c r="D963" s="27"/>
      <c r="E963" s="27"/>
    </row>
    <row r="964" ht="15.75" customHeight="1">
      <c r="C964" s="27"/>
      <c r="D964" s="27"/>
      <c r="E964" s="27"/>
    </row>
    <row r="965" ht="15.75" customHeight="1">
      <c r="C965" s="27"/>
      <c r="D965" s="27"/>
      <c r="E965" s="27"/>
    </row>
    <row r="966" ht="15.75" customHeight="1">
      <c r="C966" s="27"/>
      <c r="D966" s="27"/>
      <c r="E966" s="27"/>
    </row>
    <row r="967" ht="15.75" customHeight="1">
      <c r="C967" s="27"/>
      <c r="D967" s="27"/>
      <c r="E967" s="27"/>
    </row>
    <row r="968" ht="15.75" customHeight="1">
      <c r="C968" s="27"/>
      <c r="D968" s="27"/>
      <c r="E968" s="27"/>
    </row>
    <row r="969" ht="15.75" customHeight="1">
      <c r="C969" s="27"/>
      <c r="D969" s="27"/>
      <c r="E969" s="27"/>
    </row>
    <row r="970" ht="15.75" customHeight="1">
      <c r="C970" s="27"/>
      <c r="D970" s="27"/>
      <c r="E970" s="27"/>
    </row>
    <row r="971" ht="15.75" customHeight="1">
      <c r="C971" s="27"/>
      <c r="D971" s="27"/>
      <c r="E971" s="27"/>
    </row>
    <row r="972" ht="15.75" customHeight="1">
      <c r="C972" s="27"/>
      <c r="D972" s="27"/>
      <c r="E972" s="27"/>
    </row>
    <row r="973" ht="15.75" customHeight="1">
      <c r="C973" s="27"/>
      <c r="D973" s="27"/>
      <c r="E973" s="27"/>
    </row>
    <row r="974" ht="15.75" customHeight="1">
      <c r="C974" s="27"/>
      <c r="D974" s="27"/>
      <c r="E974" s="27"/>
    </row>
    <row r="975" ht="15.75" customHeight="1">
      <c r="C975" s="27"/>
      <c r="D975" s="27"/>
      <c r="E975" s="27"/>
    </row>
    <row r="976" ht="15.75" customHeight="1">
      <c r="C976" s="27"/>
      <c r="D976" s="27"/>
      <c r="E976" s="27"/>
    </row>
    <row r="977" ht="15.75" customHeight="1">
      <c r="C977" s="27"/>
      <c r="D977" s="27"/>
      <c r="E977" s="27"/>
    </row>
    <row r="978" ht="15.75" customHeight="1">
      <c r="C978" s="27"/>
      <c r="D978" s="27"/>
      <c r="E978" s="27"/>
    </row>
    <row r="979" ht="15.75" customHeight="1">
      <c r="C979" s="27"/>
      <c r="D979" s="27"/>
      <c r="E979" s="27"/>
    </row>
    <row r="980" ht="15.75" customHeight="1">
      <c r="C980" s="27"/>
      <c r="D980" s="27"/>
      <c r="E980" s="27"/>
    </row>
    <row r="981" ht="15.75" customHeight="1">
      <c r="C981" s="27"/>
      <c r="D981" s="27"/>
      <c r="E981" s="27"/>
    </row>
    <row r="982" ht="15.75" customHeight="1">
      <c r="C982" s="27"/>
      <c r="D982" s="27"/>
      <c r="E982" s="27"/>
    </row>
    <row r="983" ht="15.75" customHeight="1">
      <c r="C983" s="27"/>
      <c r="D983" s="27"/>
      <c r="E983" s="27"/>
    </row>
    <row r="984" ht="15.75" customHeight="1">
      <c r="C984" s="27"/>
      <c r="D984" s="27"/>
      <c r="E984" s="27"/>
    </row>
    <row r="985" ht="15.75" customHeight="1">
      <c r="C985" s="27"/>
      <c r="D985" s="27"/>
      <c r="E985" s="27"/>
    </row>
    <row r="986" ht="15.75" customHeight="1">
      <c r="C986" s="27"/>
      <c r="D986" s="27"/>
      <c r="E986" s="27"/>
    </row>
    <row r="987" ht="15.75" customHeight="1">
      <c r="C987" s="27"/>
      <c r="D987" s="27"/>
      <c r="E987" s="27"/>
    </row>
    <row r="988" ht="15.75" customHeight="1">
      <c r="C988" s="27"/>
      <c r="D988" s="27"/>
      <c r="E988" s="27"/>
    </row>
    <row r="989" ht="15.75" customHeight="1">
      <c r="C989" s="27"/>
      <c r="D989" s="27"/>
      <c r="E989" s="27"/>
    </row>
    <row r="990" ht="15.75" customHeight="1">
      <c r="C990" s="27"/>
      <c r="D990" s="27"/>
      <c r="E990" s="27"/>
    </row>
    <row r="991" ht="15.75" customHeight="1">
      <c r="C991" s="27"/>
      <c r="D991" s="27"/>
      <c r="E991" s="27"/>
    </row>
    <row r="992" ht="15.75" customHeight="1">
      <c r="C992" s="27"/>
      <c r="D992" s="27"/>
      <c r="E992" s="27"/>
    </row>
    <row r="993" ht="15.75" customHeight="1">
      <c r="C993" s="27"/>
      <c r="D993" s="27"/>
      <c r="E993" s="27"/>
    </row>
  </sheetData>
  <mergeCells count="42">
    <mergeCell ref="H77:H109"/>
    <mergeCell ref="H110:H111"/>
    <mergeCell ref="H112:H113"/>
    <mergeCell ref="F143:G146"/>
    <mergeCell ref="H75:H76"/>
    <mergeCell ref="I75:J76"/>
    <mergeCell ref="I77:J85"/>
    <mergeCell ref="J86:J90"/>
    <mergeCell ref="J91:J95"/>
    <mergeCell ref="J96:J104"/>
    <mergeCell ref="J105:J109"/>
    <mergeCell ref="I117:K117"/>
    <mergeCell ref="I2:J2"/>
    <mergeCell ref="M2:AC2"/>
    <mergeCell ref="H3:H5"/>
    <mergeCell ref="I3:J6"/>
    <mergeCell ref="H7:H12"/>
    <mergeCell ref="I7:J12"/>
    <mergeCell ref="I13:J22"/>
    <mergeCell ref="I33:J41"/>
    <mergeCell ref="I42:J48"/>
    <mergeCell ref="K42:O42"/>
    <mergeCell ref="I49:I67"/>
    <mergeCell ref="J49:J53"/>
    <mergeCell ref="J54:J58"/>
    <mergeCell ref="J59:J67"/>
    <mergeCell ref="I68:I74"/>
    <mergeCell ref="J68:J74"/>
    <mergeCell ref="K77:P79"/>
    <mergeCell ref="H13:H22"/>
    <mergeCell ref="H23:H29"/>
    <mergeCell ref="I23:J29"/>
    <mergeCell ref="H30:H32"/>
    <mergeCell ref="I30:J32"/>
    <mergeCell ref="H33:H41"/>
    <mergeCell ref="H42:H74"/>
    <mergeCell ref="I86:I104"/>
    <mergeCell ref="I105:I109"/>
    <mergeCell ref="I110:J111"/>
    <mergeCell ref="I112:J113"/>
    <mergeCell ref="K112:K113"/>
    <mergeCell ref="L112:L113"/>
  </mergeCells>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3" max="5" width="15.13"/>
    <col customWidth="1" min="6" max="6" width="31.88"/>
    <col customWidth="1" min="7" max="8" width="15.13"/>
    <col customWidth="1" min="9" max="9" width="27.75"/>
    <col customWidth="1" min="10" max="12" width="15.13"/>
  </cols>
  <sheetData>
    <row r="2">
      <c r="B2" s="7" t="s">
        <v>1</v>
      </c>
      <c r="C2" s="9" t="s">
        <v>5</v>
      </c>
      <c r="D2" s="3"/>
      <c r="E2" s="11" t="s">
        <v>6</v>
      </c>
      <c r="F2" s="3"/>
      <c r="G2" s="13" t="s">
        <v>9</v>
      </c>
      <c r="H2" s="3"/>
      <c r="I2" s="16" t="s">
        <v>12</v>
      </c>
      <c r="J2" s="3"/>
      <c r="K2" s="19" t="s">
        <v>14</v>
      </c>
      <c r="L2" s="3"/>
    </row>
    <row r="3">
      <c r="A3" s="24"/>
      <c r="B3" s="26"/>
      <c r="C3" s="28" t="s">
        <v>16</v>
      </c>
      <c r="D3" s="30" t="s">
        <v>17</v>
      </c>
      <c r="E3" s="28" t="s">
        <v>16</v>
      </c>
      <c r="F3" s="30" t="s">
        <v>17</v>
      </c>
      <c r="G3" s="28" t="s">
        <v>16</v>
      </c>
      <c r="H3" s="30" t="s">
        <v>17</v>
      </c>
      <c r="I3" s="28" t="s">
        <v>16</v>
      </c>
      <c r="J3" s="30" t="s">
        <v>17</v>
      </c>
      <c r="K3" s="37" t="s">
        <v>16</v>
      </c>
      <c r="L3" s="39" t="s">
        <v>17</v>
      </c>
      <c r="M3" s="24"/>
      <c r="N3" s="24"/>
      <c r="O3" s="24"/>
      <c r="P3" s="24"/>
      <c r="Q3" s="24"/>
      <c r="R3" s="24"/>
      <c r="S3" s="24"/>
      <c r="T3" s="24"/>
      <c r="U3" s="24"/>
      <c r="V3" s="24"/>
      <c r="W3" s="24"/>
      <c r="X3" s="24"/>
      <c r="Y3" s="24"/>
      <c r="Z3" s="24"/>
    </row>
    <row r="4">
      <c r="B4" s="26"/>
      <c r="C4" s="48"/>
      <c r="D4" s="52" t="s">
        <v>29</v>
      </c>
      <c r="E4" s="55" t="s">
        <v>32</v>
      </c>
      <c r="F4" s="57" t="s">
        <v>34</v>
      </c>
      <c r="G4" s="59"/>
      <c r="H4" s="61" t="s">
        <v>36</v>
      </c>
      <c r="I4" s="64" t="s">
        <v>37</v>
      </c>
      <c r="J4" s="57" t="s">
        <v>40</v>
      </c>
      <c r="K4" s="55"/>
      <c r="L4" s="52" t="s">
        <v>42</v>
      </c>
    </row>
    <row r="5">
      <c r="B5" s="26"/>
      <c r="C5" s="68" t="s">
        <v>43</v>
      </c>
      <c r="D5" s="71" t="s">
        <v>45</v>
      </c>
      <c r="E5" s="74" t="s">
        <v>48</v>
      </c>
      <c r="F5" s="71" t="s">
        <v>50</v>
      </c>
      <c r="G5" s="77" t="s">
        <v>52</v>
      </c>
      <c r="H5" s="79" t="s">
        <v>53</v>
      </c>
      <c r="I5" s="74" t="s">
        <v>54</v>
      </c>
      <c r="J5" s="83" t="s">
        <v>55</v>
      </c>
      <c r="K5" s="85" t="s">
        <v>56</v>
      </c>
      <c r="L5" s="71" t="s">
        <v>57</v>
      </c>
    </row>
    <row r="6">
      <c r="B6" s="26"/>
      <c r="C6" s="89" t="s">
        <v>58</v>
      </c>
      <c r="D6" s="71" t="s">
        <v>59</v>
      </c>
      <c r="E6" s="74" t="s">
        <v>60</v>
      </c>
      <c r="F6" s="71" t="s">
        <v>62</v>
      </c>
      <c r="G6" s="77" t="s">
        <v>63</v>
      </c>
      <c r="H6" s="79" t="s">
        <v>64</v>
      </c>
      <c r="I6" s="77" t="s">
        <v>65</v>
      </c>
      <c r="J6" s="71" t="s">
        <v>66</v>
      </c>
      <c r="K6" s="99" t="s">
        <v>67</v>
      </c>
      <c r="L6" s="101" t="s">
        <v>71</v>
      </c>
    </row>
    <row r="7">
      <c r="B7" s="26"/>
      <c r="C7" s="89" t="s">
        <v>74</v>
      </c>
      <c r="D7" s="71" t="s">
        <v>75</v>
      </c>
      <c r="E7" s="74" t="s">
        <v>76</v>
      </c>
      <c r="F7" s="83" t="s">
        <v>77</v>
      </c>
      <c r="G7" s="77" t="s">
        <v>79</v>
      </c>
      <c r="H7" s="79" t="s">
        <v>80</v>
      </c>
      <c r="I7" s="77"/>
      <c r="J7" s="71" t="s">
        <v>81</v>
      </c>
      <c r="K7" s="74" t="s">
        <v>82</v>
      </c>
      <c r="L7" s="71" t="s">
        <v>83</v>
      </c>
    </row>
    <row r="8">
      <c r="B8" s="26"/>
      <c r="C8" s="89" t="s">
        <v>85</v>
      </c>
      <c r="D8" s="83" t="s">
        <v>86</v>
      </c>
      <c r="E8" s="110"/>
      <c r="F8" s="79" t="s">
        <v>87</v>
      </c>
      <c r="G8" s="111" t="s">
        <v>88</v>
      </c>
      <c r="H8" s="79" t="s">
        <v>89</v>
      </c>
      <c r="I8" s="113"/>
      <c r="J8" s="71" t="s">
        <v>90</v>
      </c>
      <c r="K8" s="110"/>
      <c r="L8" s="71" t="s">
        <v>92</v>
      </c>
    </row>
    <row r="9">
      <c r="B9" s="26"/>
      <c r="C9" s="89"/>
      <c r="D9" s="71"/>
      <c r="E9" s="74"/>
      <c r="F9" s="71"/>
      <c r="G9" s="113"/>
      <c r="H9" s="121" t="s">
        <v>95</v>
      </c>
      <c r="I9" s="113"/>
      <c r="J9" s="79" t="s">
        <v>96</v>
      </c>
      <c r="K9" s="110"/>
      <c r="L9" s="71" t="s">
        <v>97</v>
      </c>
    </row>
    <row r="10">
      <c r="B10" s="26"/>
      <c r="C10" s="89" t="s">
        <v>98</v>
      </c>
      <c r="D10" s="71" t="s">
        <v>99</v>
      </c>
      <c r="E10" s="71"/>
      <c r="F10" s="71" t="s">
        <v>101</v>
      </c>
      <c r="G10" s="74" t="s">
        <v>102</v>
      </c>
      <c r="H10" s="79"/>
      <c r="I10" s="113"/>
      <c r="J10" s="127" t="s">
        <v>103</v>
      </c>
      <c r="K10" s="110"/>
      <c r="L10" s="129"/>
    </row>
    <row r="11">
      <c r="B11" s="134" t="s">
        <v>106</v>
      </c>
      <c r="C11" s="136" t="s">
        <v>107</v>
      </c>
      <c r="D11" s="138" t="s">
        <v>108</v>
      </c>
      <c r="E11" s="140" t="s">
        <v>110</v>
      </c>
      <c r="F11" s="142" t="s">
        <v>111</v>
      </c>
      <c r="G11" s="136" t="s">
        <v>112</v>
      </c>
      <c r="H11" s="145" t="s">
        <v>113</v>
      </c>
      <c r="I11" s="136" t="s">
        <v>114</v>
      </c>
      <c r="J11" s="145" t="s">
        <v>116</v>
      </c>
      <c r="K11" s="140" t="s">
        <v>117</v>
      </c>
      <c r="L11" s="151" t="s">
        <v>118</v>
      </c>
    </row>
    <row r="12">
      <c r="B12" s="25"/>
      <c r="C12" s="154" t="s">
        <v>119</v>
      </c>
      <c r="D12" s="155" t="s">
        <v>120</v>
      </c>
      <c r="E12" s="156" t="s">
        <v>121</v>
      </c>
      <c r="F12" s="158" t="s">
        <v>123</v>
      </c>
      <c r="G12" s="156" t="s">
        <v>125</v>
      </c>
      <c r="H12" s="151" t="s">
        <v>126</v>
      </c>
      <c r="I12" s="154" t="s">
        <v>127</v>
      </c>
      <c r="J12" s="151" t="s">
        <v>128</v>
      </c>
      <c r="K12" s="156" t="s">
        <v>130</v>
      </c>
      <c r="L12" s="151" t="s">
        <v>131</v>
      </c>
    </row>
    <row r="13">
      <c r="B13" s="25"/>
      <c r="C13" s="154" t="s">
        <v>132</v>
      </c>
      <c r="D13" s="155" t="s">
        <v>133</v>
      </c>
      <c r="E13" s="156" t="s">
        <v>135</v>
      </c>
      <c r="F13" s="162" t="s">
        <v>136</v>
      </c>
      <c r="G13" s="156" t="s">
        <v>137</v>
      </c>
      <c r="H13" s="151" t="s">
        <v>138</v>
      </c>
      <c r="I13" s="156" t="s">
        <v>139</v>
      </c>
      <c r="J13" s="164" t="s">
        <v>140</v>
      </c>
      <c r="K13" s="156" t="s">
        <v>142</v>
      </c>
      <c r="L13" s="151" t="s">
        <v>143</v>
      </c>
    </row>
    <row r="14">
      <c r="B14" s="25"/>
      <c r="C14" s="166" t="s">
        <v>145</v>
      </c>
      <c r="D14" s="164" t="s">
        <v>148</v>
      </c>
      <c r="E14" s="156" t="s">
        <v>149</v>
      </c>
      <c r="F14" s="158"/>
      <c r="G14" s="154" t="s">
        <v>150</v>
      </c>
      <c r="H14" s="169" t="s">
        <v>151</v>
      </c>
      <c r="I14" s="171" t="s">
        <v>152</v>
      </c>
      <c r="J14" s="164" t="s">
        <v>153</v>
      </c>
      <c r="K14" s="156" t="s">
        <v>154</v>
      </c>
      <c r="L14" s="174"/>
    </row>
    <row r="15">
      <c r="B15" s="25"/>
      <c r="C15" s="178" t="s">
        <v>157</v>
      </c>
      <c r="D15" s="164" t="s">
        <v>158</v>
      </c>
      <c r="E15" s="154" t="s">
        <v>159</v>
      </c>
      <c r="F15" s="174"/>
      <c r="G15" s="154" t="s">
        <v>161</v>
      </c>
      <c r="H15" s="180"/>
      <c r="I15" s="185" t="s">
        <v>164</v>
      </c>
      <c r="J15" s="188"/>
      <c r="K15" s="156" t="s">
        <v>166</v>
      </c>
      <c r="L15" s="174"/>
    </row>
    <row r="16">
      <c r="B16" s="25"/>
      <c r="C16" s="191"/>
      <c r="D16" s="194"/>
      <c r="E16" s="196"/>
      <c r="F16" s="174"/>
      <c r="G16" s="198"/>
      <c r="H16" s="201"/>
      <c r="I16" s="185"/>
      <c r="J16" s="188"/>
      <c r="K16" s="156" t="s">
        <v>171</v>
      </c>
      <c r="L16" s="174"/>
    </row>
    <row r="17">
      <c r="B17" s="25"/>
      <c r="C17" s="191"/>
      <c r="D17" s="206"/>
      <c r="E17" s="196"/>
      <c r="F17" s="207"/>
      <c r="G17" s="209"/>
      <c r="H17" s="201"/>
      <c r="I17" s="211"/>
      <c r="J17" s="188"/>
      <c r="K17" s="212"/>
      <c r="L17" s="174"/>
    </row>
    <row r="18">
      <c r="B18" s="25"/>
      <c r="C18" s="212"/>
      <c r="D18" s="213"/>
      <c r="E18" s="191"/>
      <c r="F18" s="207"/>
      <c r="G18" s="209"/>
      <c r="H18" s="201"/>
      <c r="I18" s="211"/>
      <c r="J18" s="201"/>
      <c r="K18" s="212"/>
      <c r="L18" s="174"/>
    </row>
    <row r="19">
      <c r="B19" s="25"/>
      <c r="C19" s="212"/>
      <c r="D19" s="216"/>
      <c r="E19" s="217"/>
      <c r="F19" s="174"/>
      <c r="G19" s="209"/>
      <c r="H19" s="201"/>
      <c r="I19" s="211"/>
      <c r="J19" s="188"/>
      <c r="K19" s="212"/>
      <c r="L19" s="158" t="s">
        <v>182</v>
      </c>
    </row>
    <row r="20">
      <c r="B20" s="76"/>
      <c r="C20" s="223" t="s">
        <v>184</v>
      </c>
      <c r="D20" s="224"/>
      <c r="E20" s="225"/>
      <c r="F20" s="227"/>
      <c r="G20" s="229"/>
      <c r="H20" s="230" t="s">
        <v>190</v>
      </c>
      <c r="I20" s="234" t="s">
        <v>191</v>
      </c>
      <c r="J20" s="237"/>
      <c r="K20" s="239"/>
      <c r="L20" s="242" t="s">
        <v>192</v>
      </c>
    </row>
    <row r="21">
      <c r="C21" s="99">
        <v>10.0</v>
      </c>
      <c r="D21" s="99">
        <v>7.0</v>
      </c>
      <c r="E21" s="99">
        <v>8.0</v>
      </c>
      <c r="F21" s="99">
        <v>9.0</v>
      </c>
      <c r="G21" s="99">
        <v>9.0</v>
      </c>
      <c r="H21" s="99">
        <v>9.0</v>
      </c>
      <c r="I21" s="99">
        <v>9.0</v>
      </c>
      <c r="J21" s="99">
        <v>7.0</v>
      </c>
      <c r="K21" s="99">
        <v>9.0</v>
      </c>
      <c r="L21" s="99">
        <v>10.0</v>
      </c>
    </row>
    <row r="22">
      <c r="C22" s="247"/>
    </row>
    <row r="23">
      <c r="B23" s="250" t="s">
        <v>196</v>
      </c>
    </row>
    <row r="25" ht="15.75" customHeight="1">
      <c r="C25" s="34"/>
    </row>
    <row r="26" ht="15.75" customHeight="1">
      <c r="C26" s="34"/>
    </row>
    <row r="27" ht="15.75" customHeight="1">
      <c r="C27" s="34"/>
    </row>
    <row r="28" ht="15.75" customHeight="1">
      <c r="C28" s="34"/>
    </row>
    <row r="29" ht="15.75" customHeight="1">
      <c r="C29" s="25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7">
    <mergeCell ref="B2:B10"/>
    <mergeCell ref="C2:D2"/>
    <mergeCell ref="E2:F2"/>
    <mergeCell ref="G2:H2"/>
    <mergeCell ref="I2:J2"/>
    <mergeCell ref="K2:L2"/>
    <mergeCell ref="B11:B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3" max="12" width="15.13"/>
  </cols>
  <sheetData>
    <row r="2">
      <c r="B2" s="7" t="s">
        <v>1</v>
      </c>
      <c r="C2" s="9" t="s">
        <v>5</v>
      </c>
      <c r="D2" s="3"/>
      <c r="E2" s="11" t="s">
        <v>6</v>
      </c>
      <c r="F2" s="3"/>
      <c r="G2" s="13" t="s">
        <v>9</v>
      </c>
      <c r="H2" s="3"/>
      <c r="I2" s="16" t="s">
        <v>12</v>
      </c>
      <c r="J2" s="3"/>
      <c r="K2" s="19" t="s">
        <v>14</v>
      </c>
      <c r="L2" s="3"/>
    </row>
    <row r="3">
      <c r="A3" s="24"/>
      <c r="B3" s="26"/>
      <c r="C3" s="28" t="s">
        <v>16</v>
      </c>
      <c r="D3" s="30" t="s">
        <v>17</v>
      </c>
      <c r="E3" s="28"/>
      <c r="F3" s="170"/>
      <c r="G3" s="28"/>
      <c r="H3" s="170"/>
      <c r="I3" s="28"/>
      <c r="J3" s="170"/>
      <c r="K3" s="28"/>
      <c r="L3" s="170"/>
      <c r="M3" s="24"/>
      <c r="N3" s="24"/>
      <c r="O3" s="24"/>
      <c r="P3" s="24"/>
      <c r="Q3" s="24"/>
      <c r="R3" s="24"/>
      <c r="S3" s="24"/>
      <c r="T3" s="24"/>
      <c r="U3" s="24"/>
      <c r="V3" s="24"/>
      <c r="W3" s="24"/>
      <c r="X3" s="24"/>
      <c r="Y3" s="24"/>
      <c r="Z3" s="24"/>
    </row>
    <row r="4">
      <c r="B4" s="26"/>
      <c r="C4" s="179"/>
      <c r="D4" s="183"/>
      <c r="E4" s="59"/>
      <c r="F4" s="186"/>
      <c r="G4" s="59"/>
      <c r="H4" s="186"/>
      <c r="I4" s="59"/>
      <c r="J4" s="183"/>
      <c r="K4" s="190"/>
      <c r="L4" s="186"/>
    </row>
    <row r="5">
      <c r="B5" s="26"/>
      <c r="C5" s="192"/>
      <c r="D5" s="195"/>
      <c r="E5" s="113"/>
      <c r="F5" s="199"/>
      <c r="G5" s="113"/>
      <c r="H5" s="199"/>
      <c r="I5" s="113"/>
      <c r="J5" s="195"/>
      <c r="K5" s="204"/>
      <c r="L5" s="199"/>
    </row>
    <row r="6">
      <c r="B6" s="26"/>
      <c r="C6" s="192"/>
      <c r="D6" s="195"/>
      <c r="E6" s="113"/>
      <c r="F6" s="199"/>
      <c r="G6" s="113"/>
      <c r="H6" s="199"/>
      <c r="I6" s="113"/>
      <c r="J6" s="195"/>
      <c r="K6" s="204"/>
      <c r="L6" s="199"/>
    </row>
    <row r="7">
      <c r="B7" s="26"/>
      <c r="C7" s="192"/>
      <c r="D7" s="195"/>
      <c r="E7" s="113"/>
      <c r="F7" s="199"/>
      <c r="G7" s="113"/>
      <c r="H7" s="199"/>
      <c r="I7" s="113"/>
      <c r="J7" s="195"/>
      <c r="K7" s="204"/>
      <c r="L7" s="199"/>
    </row>
    <row r="8">
      <c r="B8" s="26"/>
      <c r="C8" s="192"/>
      <c r="D8" s="195"/>
      <c r="E8" s="113"/>
      <c r="F8" s="199"/>
      <c r="G8" s="113"/>
      <c r="H8" s="199"/>
      <c r="I8" s="113"/>
      <c r="J8" s="195"/>
      <c r="K8" s="204"/>
      <c r="L8" s="199"/>
    </row>
    <row r="9">
      <c r="B9" s="26"/>
      <c r="C9" s="192"/>
      <c r="D9" s="195"/>
      <c r="E9" s="113"/>
      <c r="F9" s="199"/>
      <c r="G9" s="113"/>
      <c r="H9" s="195"/>
      <c r="I9" s="113"/>
      <c r="J9" s="199"/>
      <c r="K9" s="113"/>
      <c r="L9" s="199"/>
    </row>
    <row r="10">
      <c r="B10" s="26"/>
      <c r="C10" s="192"/>
      <c r="D10" s="199"/>
      <c r="E10" s="113"/>
      <c r="F10" s="199"/>
      <c r="G10" s="204"/>
      <c r="H10" s="219"/>
      <c r="I10" s="113"/>
      <c r="J10" s="219"/>
      <c r="K10" s="113"/>
      <c r="L10" s="222"/>
    </row>
    <row r="11">
      <c r="B11" s="134" t="s">
        <v>106</v>
      </c>
      <c r="C11" s="59"/>
      <c r="D11" s="226"/>
      <c r="E11" s="59"/>
      <c r="F11" s="186"/>
      <c r="G11" s="190"/>
      <c r="H11" s="186"/>
      <c r="I11" s="179"/>
      <c r="J11" s="183"/>
      <c r="K11" s="190"/>
      <c r="L11" s="195"/>
    </row>
    <row r="12">
      <c r="B12" s="25"/>
      <c r="C12" s="233"/>
      <c r="D12" s="235"/>
      <c r="E12" s="113"/>
      <c r="F12" s="238"/>
      <c r="G12" s="113"/>
      <c r="H12" s="199"/>
      <c r="I12" s="192"/>
      <c r="J12" s="199"/>
      <c r="K12" s="204"/>
      <c r="L12" s="195"/>
    </row>
    <row r="13">
      <c r="B13" s="25"/>
      <c r="C13" s="34"/>
      <c r="D13" s="235"/>
      <c r="E13" s="113"/>
      <c r="F13" s="235"/>
      <c r="G13" s="241"/>
      <c r="H13" s="199"/>
      <c r="I13" s="243"/>
      <c r="J13" s="199"/>
      <c r="K13" s="113"/>
      <c r="L13" s="238"/>
    </row>
    <row r="14">
      <c r="B14" s="25"/>
      <c r="C14" s="34"/>
      <c r="D14" s="235"/>
      <c r="E14" s="248"/>
      <c r="F14" s="238"/>
      <c r="G14" s="204"/>
      <c r="H14" s="235"/>
      <c r="I14" s="192"/>
      <c r="J14" s="199"/>
      <c r="K14" s="248"/>
      <c r="L14" s="238"/>
    </row>
    <row r="15">
      <c r="B15" s="25"/>
      <c r="C15" s="34"/>
      <c r="D15" s="219"/>
      <c r="E15" s="248"/>
      <c r="F15" s="238"/>
      <c r="G15" s="204"/>
      <c r="H15" s="195"/>
      <c r="I15" s="192"/>
      <c r="J15" s="199"/>
      <c r="K15" s="113"/>
      <c r="L15" s="253"/>
    </row>
    <row r="16">
      <c r="B16" s="25"/>
      <c r="C16" s="254"/>
      <c r="D16" s="235"/>
      <c r="E16" s="248"/>
      <c r="F16" s="253"/>
      <c r="G16" s="204"/>
      <c r="H16" s="238"/>
      <c r="I16" s="192"/>
      <c r="J16" s="199"/>
      <c r="K16" s="113"/>
      <c r="L16" s="238"/>
    </row>
    <row r="17">
      <c r="B17" s="25"/>
      <c r="C17" s="254"/>
      <c r="D17" s="235"/>
      <c r="E17" s="248"/>
      <c r="F17" s="199"/>
      <c r="G17" s="113"/>
      <c r="H17" s="238"/>
      <c r="I17" s="192"/>
      <c r="J17" s="199"/>
      <c r="K17" s="113"/>
      <c r="L17" s="253"/>
    </row>
    <row r="18">
      <c r="B18" s="25"/>
      <c r="C18" s="113"/>
      <c r="D18" s="219"/>
      <c r="E18" s="248"/>
      <c r="F18" s="195"/>
      <c r="G18" s="113"/>
      <c r="H18" s="238"/>
      <c r="I18" s="192"/>
      <c r="J18" s="238"/>
      <c r="K18" s="113"/>
      <c r="L18" s="238"/>
    </row>
    <row r="19">
      <c r="B19" s="25"/>
      <c r="C19" s="34"/>
      <c r="D19" s="261"/>
      <c r="E19" s="192"/>
      <c r="F19" s="238"/>
      <c r="G19" s="113"/>
      <c r="H19" s="238"/>
      <c r="I19" s="192"/>
      <c r="J19" s="199"/>
      <c r="K19" s="113"/>
      <c r="L19" s="238"/>
    </row>
    <row r="20">
      <c r="B20" s="76"/>
      <c r="C20" s="265"/>
      <c r="D20" s="267"/>
      <c r="E20" s="270"/>
      <c r="F20" s="271"/>
      <c r="G20" s="273"/>
      <c r="H20" s="271"/>
      <c r="I20" s="274"/>
      <c r="J20" s="271"/>
      <c r="K20" s="273"/>
      <c r="L20" s="271"/>
    </row>
    <row r="22">
      <c r="C22" s="247"/>
    </row>
    <row r="23">
      <c r="B23" s="99" t="s">
        <v>209</v>
      </c>
    </row>
    <row r="25" ht="15.75" customHeight="1">
      <c r="C25" s="34"/>
    </row>
    <row r="26" ht="15.75" customHeight="1">
      <c r="C26" s="34"/>
    </row>
    <row r="27" ht="15.75" customHeight="1">
      <c r="C27" s="34"/>
    </row>
    <row r="28" ht="15.75" customHeight="1">
      <c r="C28" s="34"/>
    </row>
    <row r="29" ht="15.75" customHeight="1">
      <c r="C29" s="25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7">
    <mergeCell ref="B2:B10"/>
    <mergeCell ref="C2:D2"/>
    <mergeCell ref="E2:F2"/>
    <mergeCell ref="G2:H2"/>
    <mergeCell ref="I2:J2"/>
    <mergeCell ref="K2:L2"/>
    <mergeCell ref="B11: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23.13"/>
    <col customWidth="1" min="3" max="3" width="32.75"/>
    <col customWidth="1" min="4" max="5" width="15.5"/>
    <col customWidth="1" min="6" max="6" width="12.13"/>
    <col customWidth="1" hidden="1" min="7" max="7" width="12.13"/>
    <col customWidth="1" min="8" max="8" width="20.38"/>
    <col customWidth="1" min="9" max="9" width="44.25"/>
    <col customWidth="1" min="10" max="10" width="4.5"/>
  </cols>
  <sheetData>
    <row r="1" hidden="1">
      <c r="B1" s="24"/>
      <c r="C1" s="384" t="s">
        <v>318</v>
      </c>
      <c r="D1" s="24"/>
      <c r="E1" s="24"/>
      <c r="F1" s="386"/>
      <c r="G1" s="386"/>
      <c r="H1" s="394" t="s">
        <v>326</v>
      </c>
      <c r="I1" s="22"/>
      <c r="J1" s="386"/>
    </row>
    <row r="2" hidden="1">
      <c r="B2" s="24"/>
      <c r="C2" s="399" t="s">
        <v>332</v>
      </c>
      <c r="D2" s="24"/>
      <c r="E2" s="24"/>
      <c r="F2" s="386"/>
      <c r="G2" s="386"/>
      <c r="H2" s="394" t="s">
        <v>333</v>
      </c>
      <c r="I2" s="404" t="s">
        <v>335</v>
      </c>
      <c r="J2" s="386"/>
    </row>
    <row r="3" hidden="1">
      <c r="B3" s="24"/>
      <c r="C3" s="406" t="s">
        <v>336</v>
      </c>
      <c r="D3" s="24"/>
      <c r="E3" s="24"/>
      <c r="F3" s="386"/>
      <c r="G3" s="386"/>
      <c r="H3" s="386" t="s">
        <v>338</v>
      </c>
      <c r="I3" s="404" t="s">
        <v>339</v>
      </c>
      <c r="J3" s="386"/>
    </row>
    <row r="4" hidden="1">
      <c r="B4" s="24"/>
      <c r="C4" s="410" t="s">
        <v>340</v>
      </c>
      <c r="D4" s="24"/>
      <c r="E4" s="24"/>
      <c r="F4" s="386"/>
      <c r="G4" s="386"/>
      <c r="H4" s="386"/>
      <c r="I4" s="386"/>
      <c r="J4" s="386"/>
    </row>
    <row r="5" ht="24.75" hidden="1" customHeight="1">
      <c r="B5" s="412" t="s">
        <v>343</v>
      </c>
      <c r="C5" s="415" t="s">
        <v>345</v>
      </c>
      <c r="D5" s="418" t="s">
        <v>346</v>
      </c>
      <c r="E5" s="418"/>
      <c r="F5" s="421" t="s">
        <v>349</v>
      </c>
      <c r="G5" s="421" t="s">
        <v>350</v>
      </c>
      <c r="H5" s="421" t="s">
        <v>351</v>
      </c>
      <c r="I5" s="423" t="s">
        <v>353</v>
      </c>
      <c r="J5" s="386"/>
    </row>
    <row r="6" hidden="1">
      <c r="B6" s="425" t="s">
        <v>354</v>
      </c>
      <c r="C6" s="428" t="s">
        <v>355</v>
      </c>
      <c r="D6" s="430">
        <v>1.0</v>
      </c>
      <c r="E6" s="432"/>
      <c r="F6" s="434" t="s">
        <v>358</v>
      </c>
      <c r="G6" s="434"/>
      <c r="H6" s="434" t="s">
        <v>362</v>
      </c>
      <c r="I6" s="436"/>
      <c r="J6" s="34"/>
    </row>
    <row r="7" hidden="1">
      <c r="B7" s="438" t="s">
        <v>365</v>
      </c>
      <c r="C7" s="441" t="s">
        <v>366</v>
      </c>
      <c r="D7" s="165">
        <v>1.0</v>
      </c>
      <c r="E7" s="334"/>
      <c r="F7" s="434" t="s">
        <v>358</v>
      </c>
      <c r="G7" s="434"/>
      <c r="H7" s="434" t="s">
        <v>369</v>
      </c>
      <c r="I7" s="448" t="s">
        <v>371</v>
      </c>
    </row>
    <row r="8" hidden="1">
      <c r="B8" s="438" t="s">
        <v>365</v>
      </c>
      <c r="C8" s="441" t="s">
        <v>373</v>
      </c>
      <c r="D8" s="165">
        <v>80.0</v>
      </c>
      <c r="E8" s="24"/>
      <c r="F8" s="434" t="s">
        <v>358</v>
      </c>
      <c r="G8" s="434"/>
      <c r="H8" s="434" t="s">
        <v>374</v>
      </c>
      <c r="I8" s="448"/>
    </row>
    <row r="9" hidden="1">
      <c r="B9" s="438" t="s">
        <v>376</v>
      </c>
      <c r="C9" s="441" t="s">
        <v>377</v>
      </c>
      <c r="D9" s="165">
        <v>36.0</v>
      </c>
      <c r="E9" s="334"/>
      <c r="F9" s="434" t="s">
        <v>358</v>
      </c>
      <c r="G9" s="434"/>
      <c r="H9" s="434" t="s">
        <v>369</v>
      </c>
      <c r="I9" s="448" t="s">
        <v>379</v>
      </c>
    </row>
    <row r="10" hidden="1">
      <c r="B10" s="438" t="s">
        <v>291</v>
      </c>
      <c r="C10" s="441" t="s">
        <v>380</v>
      </c>
      <c r="D10" s="165">
        <v>6.0</v>
      </c>
      <c r="E10" s="334"/>
      <c r="F10" s="434" t="s">
        <v>358</v>
      </c>
      <c r="G10" s="434"/>
      <c r="H10" s="434" t="s">
        <v>369</v>
      </c>
      <c r="I10" s="448"/>
    </row>
    <row r="11" hidden="1">
      <c r="B11" s="438" t="s">
        <v>291</v>
      </c>
      <c r="C11" s="441" t="s">
        <v>382</v>
      </c>
      <c r="D11" s="165">
        <v>1.0</v>
      </c>
      <c r="E11" s="334"/>
      <c r="F11" s="434" t="s">
        <v>358</v>
      </c>
      <c r="G11" s="434"/>
      <c r="H11" s="434" t="s">
        <v>369</v>
      </c>
      <c r="I11" s="469" t="s">
        <v>385</v>
      </c>
    </row>
    <row r="12" hidden="1">
      <c r="B12" s="438" t="s">
        <v>389</v>
      </c>
      <c r="C12" s="472" t="s">
        <v>390</v>
      </c>
      <c r="D12" s="165">
        <v>3.0</v>
      </c>
      <c r="E12" s="334"/>
      <c r="F12" s="434" t="s">
        <v>358</v>
      </c>
      <c r="G12" s="434"/>
      <c r="H12" s="434" t="s">
        <v>392</v>
      </c>
      <c r="I12" s="469" t="s">
        <v>393</v>
      </c>
    </row>
    <row r="13" hidden="1">
      <c r="B13" s="438" t="s">
        <v>398</v>
      </c>
      <c r="C13" s="472" t="s">
        <v>400</v>
      </c>
      <c r="D13" s="165"/>
      <c r="E13" s="334"/>
      <c r="F13" s="478" t="s">
        <v>358</v>
      </c>
      <c r="G13" s="478"/>
      <c r="H13" s="478" t="s">
        <v>392</v>
      </c>
      <c r="I13" s="448" t="s">
        <v>404</v>
      </c>
    </row>
    <row r="14" hidden="1">
      <c r="B14" s="438" t="s">
        <v>405</v>
      </c>
      <c r="C14" s="472" t="s">
        <v>406</v>
      </c>
      <c r="D14" s="165">
        <v>3.0</v>
      </c>
      <c r="E14" s="334"/>
      <c r="F14" s="434" t="s">
        <v>358</v>
      </c>
      <c r="G14" s="434"/>
      <c r="H14" s="434" t="s">
        <v>392</v>
      </c>
      <c r="I14" s="448"/>
    </row>
    <row r="15" ht="15.75" hidden="1" customHeight="1">
      <c r="B15" s="438"/>
      <c r="C15" s="472"/>
      <c r="D15" s="165"/>
      <c r="E15" s="334"/>
      <c r="F15" s="434"/>
      <c r="G15" s="434"/>
      <c r="H15" s="434"/>
      <c r="I15" s="448"/>
    </row>
    <row r="16" ht="15.75" hidden="1" customHeight="1">
      <c r="B16" s="438" t="s">
        <v>413</v>
      </c>
      <c r="C16" s="441" t="s">
        <v>415</v>
      </c>
      <c r="D16" s="165">
        <v>1.0</v>
      </c>
      <c r="E16" s="334"/>
      <c r="F16" s="434"/>
      <c r="G16" s="434"/>
      <c r="H16" s="434" t="s">
        <v>392</v>
      </c>
      <c r="I16" s="448"/>
    </row>
    <row r="17" ht="15.75" hidden="1" customHeight="1">
      <c r="B17" s="493"/>
      <c r="C17" s="441" t="s">
        <v>418</v>
      </c>
      <c r="D17" s="165">
        <v>2.0</v>
      </c>
      <c r="E17" s="334"/>
      <c r="F17" s="434" t="s">
        <v>358</v>
      </c>
      <c r="G17" s="434"/>
      <c r="H17" s="434" t="s">
        <v>420</v>
      </c>
      <c r="I17" s="448" t="s">
        <v>421</v>
      </c>
    </row>
    <row r="18" ht="15.75" hidden="1" customHeight="1">
      <c r="B18" s="493"/>
      <c r="C18" s="495" t="s">
        <v>423</v>
      </c>
      <c r="D18" s="165">
        <v>10.0</v>
      </c>
      <c r="E18" s="334"/>
      <c r="F18" s="434" t="s">
        <v>358</v>
      </c>
      <c r="G18" s="434"/>
      <c r="H18" s="434" t="s">
        <v>338</v>
      </c>
      <c r="I18" s="448" t="s">
        <v>424</v>
      </c>
    </row>
    <row r="19" ht="15.75" hidden="1" customHeight="1">
      <c r="B19" s="493"/>
      <c r="C19" s="499" t="s">
        <v>426</v>
      </c>
      <c r="D19" s="165">
        <v>20.0</v>
      </c>
      <c r="E19" s="334"/>
      <c r="F19" s="434"/>
      <c r="G19" s="434"/>
      <c r="H19" s="434" t="s">
        <v>420</v>
      </c>
      <c r="I19" s="448" t="s">
        <v>421</v>
      </c>
    </row>
    <row r="20" ht="15.75" hidden="1" customHeight="1">
      <c r="B20" s="493"/>
      <c r="C20" s="499" t="s">
        <v>430</v>
      </c>
      <c r="D20" s="165">
        <v>10.0</v>
      </c>
      <c r="E20" s="334"/>
      <c r="F20" s="434"/>
      <c r="G20" s="434"/>
      <c r="H20" s="434" t="s">
        <v>420</v>
      </c>
      <c r="I20" s="448" t="s">
        <v>421</v>
      </c>
    </row>
    <row r="21" ht="15.75" hidden="1" customHeight="1">
      <c r="B21" s="493"/>
      <c r="C21" s="441" t="s">
        <v>431</v>
      </c>
      <c r="D21" s="165">
        <v>2.0</v>
      </c>
      <c r="E21" s="24"/>
      <c r="F21" s="434"/>
      <c r="G21" s="434"/>
      <c r="H21" s="434" t="s">
        <v>420</v>
      </c>
      <c r="I21" s="448" t="s">
        <v>421</v>
      </c>
    </row>
    <row r="22" ht="15.75" hidden="1" customHeight="1">
      <c r="B22" s="493"/>
      <c r="C22" s="441" t="s">
        <v>434</v>
      </c>
      <c r="D22" s="165">
        <v>2.0</v>
      </c>
      <c r="E22" s="334"/>
      <c r="F22" s="434"/>
      <c r="G22" s="434"/>
      <c r="H22" s="434" t="s">
        <v>420</v>
      </c>
      <c r="I22" s="448" t="s">
        <v>421</v>
      </c>
    </row>
    <row r="23" ht="15.75" hidden="1" customHeight="1">
      <c r="B23" s="493"/>
      <c r="C23" s="441" t="s">
        <v>436</v>
      </c>
      <c r="D23" s="165"/>
      <c r="E23" s="334"/>
      <c r="F23" s="434"/>
      <c r="G23" s="434"/>
      <c r="H23" s="434" t="s">
        <v>420</v>
      </c>
      <c r="I23" s="448" t="s">
        <v>421</v>
      </c>
    </row>
    <row r="24" ht="15.75" hidden="1" customHeight="1">
      <c r="B24" s="493"/>
      <c r="C24" s="507" t="s">
        <v>437</v>
      </c>
      <c r="D24" s="165"/>
      <c r="E24" s="334"/>
      <c r="F24" s="434"/>
      <c r="G24" s="434"/>
      <c r="H24" s="434" t="s">
        <v>392</v>
      </c>
      <c r="I24" s="448"/>
    </row>
    <row r="25" ht="15.75" hidden="1" customHeight="1">
      <c r="B25" s="493"/>
      <c r="C25" s="507" t="s">
        <v>440</v>
      </c>
      <c r="D25" s="165">
        <v>5.0</v>
      </c>
      <c r="E25" s="334"/>
      <c r="F25" s="434"/>
      <c r="G25" s="434"/>
      <c r="H25" s="434" t="s">
        <v>392</v>
      </c>
      <c r="I25" s="448"/>
    </row>
    <row r="26" ht="15.75" hidden="1" customHeight="1">
      <c r="B26" s="493"/>
      <c r="C26" s="511" t="s">
        <v>442</v>
      </c>
      <c r="D26" s="165">
        <v>5.0</v>
      </c>
      <c r="E26" s="334"/>
      <c r="F26" s="514"/>
      <c r="G26" s="514"/>
      <c r="H26" s="514" t="s">
        <v>449</v>
      </c>
      <c r="I26" s="448"/>
    </row>
    <row r="27" ht="15.75" hidden="1" customHeight="1">
      <c r="B27" s="493"/>
      <c r="C27" s="507" t="s">
        <v>450</v>
      </c>
      <c r="D27" s="165">
        <v>160.0</v>
      </c>
      <c r="E27" s="334"/>
      <c r="F27" s="434" t="s">
        <v>358</v>
      </c>
      <c r="G27" s="434"/>
      <c r="H27" s="434" t="s">
        <v>392</v>
      </c>
      <c r="I27" s="469" t="s">
        <v>452</v>
      </c>
    </row>
    <row r="28" ht="15.75" hidden="1" customHeight="1">
      <c r="B28" s="493"/>
      <c r="C28" s="441" t="s">
        <v>457</v>
      </c>
      <c r="D28" s="520"/>
      <c r="E28" s="521"/>
      <c r="F28" s="434" t="s">
        <v>358</v>
      </c>
      <c r="G28" s="434"/>
      <c r="H28" s="434" t="s">
        <v>392</v>
      </c>
      <c r="I28" s="448"/>
    </row>
    <row r="29" ht="15.75" hidden="1" customHeight="1">
      <c r="B29" s="493"/>
      <c r="C29" s="523" t="s">
        <v>460</v>
      </c>
      <c r="D29" s="520">
        <v>6.0</v>
      </c>
      <c r="E29" s="521"/>
      <c r="F29" s="434" t="s">
        <v>358</v>
      </c>
      <c r="G29" s="434"/>
      <c r="H29" s="434" t="s">
        <v>461</v>
      </c>
      <c r="I29" s="448"/>
    </row>
    <row r="30" ht="15.75" hidden="1" customHeight="1">
      <c r="B30" s="493"/>
      <c r="C30" s="523" t="s">
        <v>460</v>
      </c>
      <c r="D30" s="520">
        <v>10.0</v>
      </c>
      <c r="E30" s="521"/>
      <c r="F30" s="434"/>
      <c r="G30" s="434"/>
      <c r="H30" s="434" t="s">
        <v>392</v>
      </c>
      <c r="I30" s="448"/>
    </row>
    <row r="31" ht="15.75" hidden="1" customHeight="1">
      <c r="B31" s="493"/>
      <c r="C31" s="527" t="s">
        <v>465</v>
      </c>
      <c r="D31" s="165" t="s">
        <v>467</v>
      </c>
      <c r="E31" s="334"/>
      <c r="F31" s="434" t="s">
        <v>358</v>
      </c>
      <c r="G31" s="434"/>
      <c r="H31" s="434" t="s">
        <v>369</v>
      </c>
      <c r="I31" s="448"/>
    </row>
    <row r="32" ht="15.75" hidden="1" customHeight="1">
      <c r="B32" s="493"/>
      <c r="C32" s="529" t="s">
        <v>468</v>
      </c>
      <c r="D32" s="165">
        <v>4.0</v>
      </c>
      <c r="E32" s="24"/>
      <c r="F32" s="434" t="s">
        <v>358</v>
      </c>
      <c r="G32" s="434"/>
      <c r="H32" s="434" t="s">
        <v>461</v>
      </c>
      <c r="I32" s="448"/>
    </row>
    <row r="33" ht="15.75" hidden="1" customHeight="1">
      <c r="A33" s="532"/>
      <c r="B33" s="493"/>
      <c r="C33" s="472" t="s">
        <v>469</v>
      </c>
      <c r="D33" s="165">
        <v>4.0</v>
      </c>
      <c r="E33" s="24"/>
      <c r="F33" s="434" t="s">
        <v>358</v>
      </c>
      <c r="G33" s="434"/>
      <c r="H33" s="434" t="s">
        <v>392</v>
      </c>
      <c r="I33" s="533" t="s">
        <v>471</v>
      </c>
      <c r="J33" s="532"/>
    </row>
    <row r="34" ht="15.75" hidden="1" customHeight="1">
      <c r="A34" s="532"/>
      <c r="B34" s="493"/>
      <c r="C34" s="472" t="s">
        <v>474</v>
      </c>
      <c r="D34" s="165">
        <v>2.0</v>
      </c>
      <c r="E34" s="24"/>
      <c r="F34" s="434" t="s">
        <v>358</v>
      </c>
      <c r="G34" s="434"/>
      <c r="H34" s="434" t="s">
        <v>392</v>
      </c>
      <c r="I34" s="448"/>
      <c r="J34" s="532"/>
    </row>
    <row r="35" ht="15.75" hidden="1" customHeight="1">
      <c r="A35" s="532"/>
      <c r="B35" s="493"/>
      <c r="C35" s="472" t="s">
        <v>476</v>
      </c>
      <c r="D35" s="165">
        <v>3.0</v>
      </c>
      <c r="E35" s="24"/>
      <c r="F35" s="478" t="s">
        <v>358</v>
      </c>
      <c r="G35" s="478"/>
      <c r="H35" s="478" t="s">
        <v>392</v>
      </c>
      <c r="I35" s="448"/>
      <c r="J35" s="532"/>
    </row>
    <row r="36" ht="15.75" hidden="1" customHeight="1">
      <c r="A36" s="532"/>
      <c r="B36" s="493"/>
      <c r="C36" s="441" t="s">
        <v>479</v>
      </c>
      <c r="D36" s="165">
        <v>3.0</v>
      </c>
      <c r="E36" s="24"/>
      <c r="F36" s="434" t="s">
        <v>358</v>
      </c>
      <c r="G36" s="434"/>
      <c r="H36" s="434" t="s">
        <v>392</v>
      </c>
      <c r="I36" s="469" t="s">
        <v>480</v>
      </c>
      <c r="J36" s="532"/>
    </row>
    <row r="37" ht="15.75" hidden="1" customHeight="1">
      <c r="A37" s="532"/>
      <c r="B37" s="493"/>
      <c r="C37" s="544" t="s">
        <v>486</v>
      </c>
      <c r="D37" s="165"/>
      <c r="E37" s="24"/>
      <c r="F37" s="434"/>
      <c r="G37" s="434"/>
      <c r="H37" s="434" t="s">
        <v>392</v>
      </c>
      <c r="I37" s="448"/>
      <c r="J37" s="532"/>
    </row>
    <row r="38" ht="15.75" hidden="1" customHeight="1">
      <c r="A38" s="532"/>
      <c r="B38" s="493"/>
      <c r="C38" s="495" t="s">
        <v>488</v>
      </c>
      <c r="D38" s="165">
        <v>11.0</v>
      </c>
      <c r="E38" s="24"/>
      <c r="F38" s="434" t="s">
        <v>358</v>
      </c>
      <c r="G38" s="434"/>
      <c r="H38" s="434" t="s">
        <v>392</v>
      </c>
      <c r="I38" s="448"/>
      <c r="J38" s="532"/>
    </row>
    <row r="39" ht="15.75" hidden="1" customHeight="1">
      <c r="A39" s="532"/>
      <c r="B39" s="493"/>
      <c r="C39" s="441" t="s">
        <v>491</v>
      </c>
      <c r="D39" s="165"/>
      <c r="E39" s="24"/>
      <c r="F39" s="434" t="s">
        <v>358</v>
      </c>
      <c r="G39" s="434"/>
      <c r="H39" s="434" t="s">
        <v>392</v>
      </c>
      <c r="I39" s="448" t="s">
        <v>493</v>
      </c>
      <c r="J39" s="532"/>
    </row>
    <row r="40" ht="15.75" hidden="1" customHeight="1">
      <c r="A40" s="532"/>
      <c r="B40" s="493"/>
      <c r="C40" s="441" t="s">
        <v>494</v>
      </c>
      <c r="D40" s="165"/>
      <c r="E40" s="24"/>
      <c r="F40" s="434" t="s">
        <v>358</v>
      </c>
      <c r="G40" s="434"/>
      <c r="H40" s="434" t="s">
        <v>392</v>
      </c>
      <c r="I40" s="448" t="s">
        <v>496</v>
      </c>
      <c r="J40" s="532"/>
    </row>
    <row r="41" ht="15.75" hidden="1" customHeight="1">
      <c r="A41" s="532"/>
      <c r="B41" s="493"/>
      <c r="C41" s="441" t="s">
        <v>215</v>
      </c>
      <c r="D41" s="165">
        <v>1.0</v>
      </c>
      <c r="E41" s="24"/>
      <c r="F41" s="434" t="s">
        <v>358</v>
      </c>
      <c r="G41" s="434"/>
      <c r="H41" s="434" t="s">
        <v>392</v>
      </c>
      <c r="I41" s="448"/>
      <c r="J41" s="532"/>
    </row>
    <row r="42" ht="15.75" hidden="1" customHeight="1">
      <c r="A42" s="532"/>
      <c r="B42" s="112"/>
      <c r="C42" s="551" t="s">
        <v>499</v>
      </c>
      <c r="D42" s="553">
        <v>1.0</v>
      </c>
      <c r="E42" s="554"/>
      <c r="F42" s="555"/>
      <c r="G42" s="555"/>
      <c r="H42" s="555" t="s">
        <v>392</v>
      </c>
      <c r="I42" s="556" t="s">
        <v>502</v>
      </c>
      <c r="J42" s="532"/>
    </row>
    <row r="43" ht="13.5" customHeight="1">
      <c r="A43" s="532"/>
      <c r="B43" s="24"/>
      <c r="C43" s="24"/>
      <c r="D43" s="24"/>
      <c r="E43" s="24"/>
      <c r="F43" s="22"/>
      <c r="G43" s="22"/>
      <c r="H43" s="22"/>
      <c r="J43" s="532"/>
    </row>
    <row r="44" ht="15.75" customHeight="1">
      <c r="A44" s="532"/>
      <c r="B44" s="24"/>
      <c r="C44" s="24"/>
      <c r="D44" s="24"/>
      <c r="E44" s="24"/>
      <c r="F44" s="22"/>
      <c r="G44" s="22"/>
      <c r="H44" s="22"/>
      <c r="J44" s="532"/>
    </row>
    <row r="45" ht="15.75" customHeight="1">
      <c r="A45" s="109"/>
      <c r="B45" s="403" t="s">
        <v>343</v>
      </c>
      <c r="C45" s="557" t="s">
        <v>345</v>
      </c>
      <c r="D45" s="417" t="s">
        <v>346</v>
      </c>
      <c r="E45" s="417" t="s">
        <v>511</v>
      </c>
      <c r="F45" s="558" t="s">
        <v>349</v>
      </c>
      <c r="G45" s="558" t="s">
        <v>350</v>
      </c>
      <c r="H45" s="558" t="s">
        <v>351</v>
      </c>
      <c r="I45" s="559" t="s">
        <v>353</v>
      </c>
      <c r="J45" s="378"/>
      <c r="K45" s="109"/>
      <c r="L45" s="109"/>
      <c r="M45" s="109"/>
      <c r="N45" s="109"/>
      <c r="O45" s="109"/>
      <c r="P45" s="109"/>
      <c r="Q45" s="109"/>
      <c r="R45" s="109"/>
      <c r="S45" s="109"/>
      <c r="T45" s="109"/>
      <c r="U45" s="109"/>
      <c r="V45" s="109"/>
      <c r="W45" s="109"/>
      <c r="X45" s="109"/>
    </row>
    <row r="46" ht="15.75" customHeight="1">
      <c r="A46" s="532"/>
      <c r="B46" s="565" t="s">
        <v>517</v>
      </c>
      <c r="C46" s="566" t="s">
        <v>520</v>
      </c>
      <c r="D46" s="566">
        <v>2.0</v>
      </c>
      <c r="E46" s="568">
        <v>0.0</v>
      </c>
      <c r="F46" s="184" t="s">
        <v>521</v>
      </c>
      <c r="G46" s="289"/>
      <c r="H46" s="566" t="s">
        <v>338</v>
      </c>
      <c r="I46" s="289"/>
      <c r="J46" s="532"/>
    </row>
    <row r="47" ht="15.75" customHeight="1">
      <c r="A47" s="532"/>
      <c r="B47" s="126"/>
      <c r="C47" s="573" t="s">
        <v>524</v>
      </c>
      <c r="D47" s="573">
        <v>4.0</v>
      </c>
      <c r="E47" s="573">
        <v>0.0</v>
      </c>
      <c r="F47" s="149"/>
      <c r="G47" s="149"/>
      <c r="H47" s="573" t="s">
        <v>338</v>
      </c>
      <c r="I47" s="149"/>
      <c r="J47" s="532"/>
    </row>
    <row r="48" ht="15.75" customHeight="1">
      <c r="A48" s="532"/>
      <c r="B48" s="126"/>
      <c r="C48" s="573" t="s">
        <v>526</v>
      </c>
      <c r="D48" s="576">
        <v>60.0</v>
      </c>
      <c r="E48" s="573">
        <v>0.0</v>
      </c>
      <c r="F48" s="128"/>
      <c r="G48" s="149"/>
      <c r="H48" s="577" t="s">
        <v>528</v>
      </c>
      <c r="I48" s="149"/>
      <c r="J48" s="532"/>
    </row>
    <row r="49" ht="15.75" customHeight="1">
      <c r="A49" s="532"/>
      <c r="B49" s="126"/>
      <c r="C49" s="573" t="s">
        <v>530</v>
      </c>
      <c r="D49" s="573">
        <v>2.0</v>
      </c>
      <c r="E49" s="573">
        <v>0.0</v>
      </c>
      <c r="F49" s="581" t="s">
        <v>532</v>
      </c>
      <c r="G49" s="149"/>
      <c r="H49" s="573" t="s">
        <v>533</v>
      </c>
      <c r="I49" s="149"/>
      <c r="J49" s="532"/>
    </row>
    <row r="50" ht="15.75" customHeight="1">
      <c r="B50" s="126"/>
      <c r="C50" s="573" t="s">
        <v>535</v>
      </c>
      <c r="D50" s="573">
        <v>4.0</v>
      </c>
      <c r="E50" s="573">
        <v>0.0</v>
      </c>
      <c r="F50" s="126"/>
      <c r="G50" s="149"/>
      <c r="H50" s="573" t="s">
        <v>536</v>
      </c>
      <c r="I50" s="149"/>
    </row>
    <row r="51" ht="15.75" customHeight="1">
      <c r="B51" s="126"/>
      <c r="C51" s="573" t="s">
        <v>537</v>
      </c>
      <c r="D51" s="430"/>
      <c r="E51" s="573">
        <v>0.0</v>
      </c>
      <c r="F51" s="128" t="s">
        <v>420</v>
      </c>
      <c r="G51" s="149"/>
      <c r="H51" s="573" t="s">
        <v>539</v>
      </c>
      <c r="I51" s="149"/>
    </row>
    <row r="52" ht="15.75" customHeight="1">
      <c r="B52" s="126"/>
      <c r="C52" s="573" t="s">
        <v>540</v>
      </c>
      <c r="D52" s="430"/>
      <c r="E52" s="430"/>
      <c r="F52" s="128"/>
      <c r="G52" s="149"/>
      <c r="H52" s="591" t="s">
        <v>541</v>
      </c>
      <c r="I52" s="149"/>
    </row>
    <row r="53" ht="15.75" customHeight="1">
      <c r="B53" s="126"/>
      <c r="C53" s="573" t="s">
        <v>543</v>
      </c>
      <c r="D53" s="430"/>
      <c r="E53" s="430"/>
      <c r="F53" s="149"/>
      <c r="G53" s="149"/>
      <c r="H53" s="573" t="s">
        <v>544</v>
      </c>
      <c r="I53" s="149"/>
    </row>
    <row r="54" ht="15.75" customHeight="1">
      <c r="B54" s="126"/>
      <c r="C54" s="573" t="s">
        <v>545</v>
      </c>
      <c r="D54" s="430"/>
      <c r="E54" s="573">
        <v>0.0</v>
      </c>
      <c r="F54" s="149"/>
      <c r="G54" s="149"/>
      <c r="H54" s="573" t="s">
        <v>369</v>
      </c>
      <c r="I54" s="149"/>
    </row>
    <row r="55" ht="15.75" hidden="1" customHeight="1">
      <c r="B55" s="595" t="s">
        <v>546</v>
      </c>
      <c r="C55" s="568" t="s">
        <v>548</v>
      </c>
      <c r="D55" s="568">
        <v>1.0</v>
      </c>
      <c r="E55" s="568">
        <v>0.0</v>
      </c>
      <c r="F55" s="289"/>
      <c r="G55" s="289"/>
      <c r="H55" s="568" t="s">
        <v>550</v>
      </c>
      <c r="I55" s="289"/>
    </row>
    <row r="56" ht="15.75" hidden="1" customHeight="1">
      <c r="B56" s="126"/>
      <c r="C56" s="573" t="s">
        <v>551</v>
      </c>
      <c r="D56" s="573">
        <v>1.0</v>
      </c>
      <c r="E56" s="573">
        <v>0.0</v>
      </c>
      <c r="F56" s="149"/>
      <c r="G56" s="149"/>
      <c r="H56" s="573" t="s">
        <v>550</v>
      </c>
      <c r="I56" s="149"/>
    </row>
    <row r="57" ht="15.75" hidden="1" customHeight="1">
      <c r="B57" s="126"/>
      <c r="C57" s="573" t="s">
        <v>552</v>
      </c>
      <c r="D57" s="430">
        <v>1.0</v>
      </c>
      <c r="E57" s="573">
        <v>0.0</v>
      </c>
      <c r="F57" s="149"/>
      <c r="G57" s="149"/>
      <c r="H57" s="573" t="s">
        <v>550</v>
      </c>
      <c r="I57" s="149"/>
    </row>
    <row r="58" ht="15.75" hidden="1" customHeight="1">
      <c r="A58" s="598"/>
      <c r="B58" s="126"/>
      <c r="C58" s="573" t="s">
        <v>554</v>
      </c>
      <c r="D58" s="573">
        <v>1.0</v>
      </c>
      <c r="E58" s="573">
        <v>0.0</v>
      </c>
      <c r="F58" s="149"/>
      <c r="G58" s="149"/>
      <c r="H58" s="573" t="s">
        <v>550</v>
      </c>
      <c r="I58" s="149"/>
      <c r="J58" s="599"/>
    </row>
    <row r="59" ht="15.75" hidden="1" customHeight="1">
      <c r="A59" s="598"/>
      <c r="B59" s="126"/>
      <c r="C59" s="573" t="s">
        <v>555</v>
      </c>
      <c r="D59" s="573">
        <v>1.0</v>
      </c>
      <c r="E59" s="573">
        <v>0.0</v>
      </c>
      <c r="F59" s="149"/>
      <c r="G59" s="149"/>
      <c r="H59" s="573" t="s">
        <v>550</v>
      </c>
      <c r="I59" s="149"/>
      <c r="J59" s="599"/>
    </row>
    <row r="60" ht="15.75" hidden="1" customHeight="1">
      <c r="A60" s="598"/>
      <c r="B60" s="126"/>
      <c r="C60" s="573" t="s">
        <v>558</v>
      </c>
      <c r="D60" s="430">
        <v>1.0</v>
      </c>
      <c r="E60" s="573">
        <v>0.0</v>
      </c>
      <c r="F60" s="149"/>
      <c r="G60" s="149"/>
      <c r="H60" s="573" t="s">
        <v>550</v>
      </c>
      <c r="I60" s="149"/>
      <c r="J60" s="599"/>
    </row>
    <row r="61" ht="15.75" customHeight="1">
      <c r="A61" s="598"/>
      <c r="B61" s="565" t="s">
        <v>560</v>
      </c>
      <c r="C61" s="568" t="s">
        <v>520</v>
      </c>
      <c r="D61" s="568">
        <v>2.0</v>
      </c>
      <c r="E61" s="568">
        <v>0.0</v>
      </c>
      <c r="F61" s="289"/>
      <c r="G61" s="289"/>
      <c r="H61" s="566" t="s">
        <v>561</v>
      </c>
      <c r="I61" s="289"/>
      <c r="J61" s="599"/>
    </row>
    <row r="62" ht="15.75" customHeight="1">
      <c r="A62" s="598"/>
      <c r="B62" s="126"/>
      <c r="C62" s="573" t="s">
        <v>562</v>
      </c>
      <c r="D62" s="573">
        <v>3.0</v>
      </c>
      <c r="E62" s="573">
        <v>0.0</v>
      </c>
      <c r="F62" s="581" t="s">
        <v>532</v>
      </c>
      <c r="G62" s="149"/>
      <c r="H62" s="573" t="s">
        <v>533</v>
      </c>
      <c r="I62" s="149"/>
      <c r="J62" s="599"/>
    </row>
    <row r="63" ht="15.75" customHeight="1">
      <c r="A63" s="598"/>
      <c r="B63" s="126"/>
      <c r="C63" s="573" t="s">
        <v>563</v>
      </c>
      <c r="D63" s="573">
        <v>8.0</v>
      </c>
      <c r="E63" s="573">
        <v>0.0</v>
      </c>
      <c r="F63" s="126"/>
      <c r="G63" s="149"/>
      <c r="H63" s="573" t="s">
        <v>536</v>
      </c>
      <c r="I63" s="149"/>
      <c r="J63" s="599"/>
    </row>
    <row r="64" ht="15.75" customHeight="1">
      <c r="A64" s="598"/>
      <c r="B64" s="126"/>
      <c r="C64" s="573" t="s">
        <v>565</v>
      </c>
      <c r="D64" s="573">
        <v>4.0</v>
      </c>
      <c r="E64" s="430"/>
      <c r="F64" s="149"/>
      <c r="G64" s="149"/>
      <c r="H64" s="573" t="s">
        <v>568</v>
      </c>
      <c r="I64" s="149"/>
      <c r="J64" s="599"/>
    </row>
    <row r="65" ht="15.75" customHeight="1">
      <c r="A65" s="598"/>
      <c r="B65" s="126"/>
      <c r="C65" s="573" t="s">
        <v>570</v>
      </c>
      <c r="D65" s="430"/>
      <c r="E65" s="573">
        <v>0.0</v>
      </c>
      <c r="F65" s="149"/>
      <c r="G65" s="149"/>
      <c r="H65" s="577" t="s">
        <v>571</v>
      </c>
      <c r="I65" s="149"/>
      <c r="J65" s="599"/>
    </row>
    <row r="66" ht="15.75" customHeight="1">
      <c r="A66" s="598"/>
      <c r="B66" s="126"/>
      <c r="C66" s="573" t="s">
        <v>573</v>
      </c>
      <c r="D66" s="610">
        <v>97.0</v>
      </c>
      <c r="E66" s="430"/>
      <c r="F66" s="149"/>
      <c r="G66" s="149"/>
      <c r="H66" s="610" t="s">
        <v>574</v>
      </c>
      <c r="I66" s="149"/>
      <c r="J66" s="599"/>
    </row>
    <row r="67" ht="15.75" customHeight="1">
      <c r="A67" s="598"/>
      <c r="B67" s="126"/>
      <c r="C67" s="573" t="s">
        <v>450</v>
      </c>
      <c r="D67" s="430"/>
      <c r="E67" s="576">
        <v>0.0</v>
      </c>
      <c r="F67" s="149"/>
      <c r="G67" s="149"/>
      <c r="H67" s="591" t="s">
        <v>578</v>
      </c>
      <c r="I67" s="149"/>
      <c r="J67" s="599"/>
    </row>
    <row r="68" ht="15.75" customHeight="1">
      <c r="A68" s="598"/>
      <c r="B68" s="126"/>
      <c r="C68" s="573" t="s">
        <v>476</v>
      </c>
      <c r="D68" s="430"/>
      <c r="E68" s="610" t="s">
        <v>580</v>
      </c>
      <c r="F68" s="149"/>
      <c r="G68" s="149"/>
      <c r="H68" s="615" t="s">
        <v>541</v>
      </c>
      <c r="I68" s="149"/>
      <c r="J68" s="599"/>
    </row>
    <row r="69" ht="15.75" hidden="1" customHeight="1">
      <c r="A69" s="598"/>
      <c r="B69" s="126"/>
      <c r="C69" s="573" t="s">
        <v>581</v>
      </c>
      <c r="D69" s="430"/>
      <c r="E69" s="573">
        <v>0.0</v>
      </c>
      <c r="F69" s="149"/>
      <c r="G69" s="149"/>
      <c r="H69" s="573"/>
      <c r="I69" s="149"/>
      <c r="J69" s="599"/>
    </row>
    <row r="70" ht="15.75" customHeight="1">
      <c r="B70" s="126"/>
      <c r="C70" s="573" t="s">
        <v>584</v>
      </c>
      <c r="D70" s="430"/>
      <c r="E70" s="573">
        <v>0.0</v>
      </c>
      <c r="F70" s="149"/>
      <c r="G70" s="149"/>
      <c r="H70" s="620" t="s">
        <v>585</v>
      </c>
      <c r="I70" s="149"/>
    </row>
    <row r="71" ht="15.75" customHeight="1">
      <c r="B71" s="621" t="s">
        <v>588</v>
      </c>
      <c r="C71" s="568" t="s">
        <v>589</v>
      </c>
      <c r="D71" s="568">
        <v>5.0</v>
      </c>
      <c r="E71" s="568">
        <v>0.0</v>
      </c>
      <c r="F71" s="289"/>
      <c r="G71" s="289"/>
      <c r="H71" s="568" t="s">
        <v>590</v>
      </c>
      <c r="I71" s="289"/>
    </row>
    <row r="72" ht="15.75" customHeight="1">
      <c r="B72" s="126"/>
      <c r="C72" s="610" t="s">
        <v>591</v>
      </c>
      <c r="D72" s="576">
        <v>5.0</v>
      </c>
      <c r="E72" s="573"/>
      <c r="F72" s="149"/>
      <c r="G72" s="149"/>
      <c r="H72" s="620" t="s">
        <v>592</v>
      </c>
      <c r="I72" s="149"/>
    </row>
    <row r="73" ht="15.75" customHeight="1">
      <c r="B73" s="126"/>
      <c r="C73" s="573" t="s">
        <v>594</v>
      </c>
      <c r="D73" s="430"/>
      <c r="E73" s="573">
        <v>0.0</v>
      </c>
      <c r="F73" s="149"/>
      <c r="G73" s="149"/>
      <c r="H73" s="623" t="s">
        <v>595</v>
      </c>
      <c r="I73" s="149"/>
    </row>
    <row r="74" ht="15.75" customHeight="1">
      <c r="B74" s="625" t="s">
        <v>599</v>
      </c>
      <c r="C74" s="289"/>
      <c r="D74" s="626"/>
      <c r="E74" s="626"/>
      <c r="F74" s="627"/>
      <c r="G74" s="289"/>
      <c r="H74" s="289"/>
      <c r="I74" s="289"/>
    </row>
    <row r="75" ht="15.75" hidden="1" customHeight="1">
      <c r="B75" s="628" t="s">
        <v>603</v>
      </c>
      <c r="C75" s="573" t="s">
        <v>604</v>
      </c>
      <c r="D75" s="430"/>
      <c r="E75" s="430"/>
      <c r="F75" s="149"/>
      <c r="G75" s="149"/>
      <c r="H75" s="573" t="s">
        <v>607</v>
      </c>
      <c r="I75" s="149"/>
    </row>
    <row r="76" ht="15.75" customHeight="1">
      <c r="B76" s="576" t="s">
        <v>608</v>
      </c>
      <c r="C76" s="610" t="s">
        <v>609</v>
      </c>
      <c r="D76" s="610">
        <v>1.0</v>
      </c>
      <c r="E76" s="610">
        <v>0.0</v>
      </c>
      <c r="F76" s="149"/>
      <c r="G76" s="149"/>
      <c r="H76" s="615" t="s">
        <v>541</v>
      </c>
      <c r="I76" s="149"/>
    </row>
    <row r="77" ht="15.75" customHeight="1">
      <c r="B77" s="576" t="s">
        <v>611</v>
      </c>
      <c r="C77" s="573" t="s">
        <v>612</v>
      </c>
      <c r="D77" s="573">
        <v>36.0</v>
      </c>
      <c r="E77" s="573">
        <v>0.0</v>
      </c>
      <c r="F77" s="149"/>
      <c r="G77" s="149"/>
      <c r="H77" s="591" t="s">
        <v>369</v>
      </c>
      <c r="I77" s="149"/>
    </row>
    <row r="78" ht="15.75" hidden="1" customHeight="1">
      <c r="B78" s="628"/>
      <c r="C78" s="573" t="s">
        <v>616</v>
      </c>
      <c r="D78" s="573">
        <v>1.0</v>
      </c>
      <c r="E78" s="573">
        <v>0.0</v>
      </c>
      <c r="F78" s="149"/>
      <c r="G78" s="149"/>
      <c r="H78" s="573" t="s">
        <v>550</v>
      </c>
      <c r="I78" s="149"/>
    </row>
    <row r="79" ht="15.75" customHeight="1">
      <c r="B79" s="576" t="s">
        <v>618</v>
      </c>
      <c r="C79" s="610" t="s">
        <v>619</v>
      </c>
      <c r="D79" s="430"/>
      <c r="E79" s="573">
        <v>0.0</v>
      </c>
      <c r="F79" s="149"/>
      <c r="G79" s="149"/>
      <c r="H79" s="631" t="s">
        <v>550</v>
      </c>
      <c r="I79" s="149"/>
    </row>
    <row r="80" ht="15.75" customHeight="1">
      <c r="B80" s="149"/>
      <c r="C80" s="610" t="s">
        <v>621</v>
      </c>
      <c r="D80" s="576">
        <v>1.0</v>
      </c>
      <c r="E80" s="610">
        <v>0.0</v>
      </c>
      <c r="F80" s="149"/>
      <c r="G80" s="149"/>
      <c r="H80" s="620" t="s">
        <v>539</v>
      </c>
      <c r="I80" s="149"/>
    </row>
    <row r="81" ht="15.75" customHeight="1">
      <c r="B81" s="149"/>
      <c r="C81" s="573" t="s">
        <v>623</v>
      </c>
      <c r="D81" s="430"/>
      <c r="E81" s="573">
        <v>0.0</v>
      </c>
      <c r="F81" s="149"/>
      <c r="G81" s="149"/>
      <c r="H81" s="632" t="s">
        <v>369</v>
      </c>
      <c r="I81" s="149"/>
    </row>
    <row r="82" ht="15.75" customHeight="1">
      <c r="B82" s="573" t="s">
        <v>365</v>
      </c>
      <c r="C82" s="573" t="s">
        <v>626</v>
      </c>
      <c r="D82" s="430"/>
      <c r="E82" s="573">
        <v>0.0</v>
      </c>
      <c r="F82" s="149"/>
      <c r="G82" s="149"/>
      <c r="H82" s="632" t="s">
        <v>369</v>
      </c>
      <c r="I82" s="149"/>
    </row>
    <row r="83" ht="15.75" hidden="1" customHeight="1">
      <c r="B83" s="149"/>
      <c r="C83" s="573" t="s">
        <v>628</v>
      </c>
      <c r="D83" s="430"/>
      <c r="E83" s="573" t="s">
        <v>629</v>
      </c>
      <c r="F83" s="34"/>
      <c r="G83" s="149"/>
      <c r="H83" s="573" t="s">
        <v>607</v>
      </c>
      <c r="I83" s="149"/>
    </row>
    <row r="84" ht="15.75" customHeight="1">
      <c r="B84" s="573"/>
      <c r="C84" s="610" t="s">
        <v>373</v>
      </c>
      <c r="D84" s="610">
        <v>30.0</v>
      </c>
      <c r="E84" s="610">
        <v>0.0</v>
      </c>
      <c r="F84" s="34"/>
      <c r="G84" s="149"/>
      <c r="H84" s="577" t="s">
        <v>571</v>
      </c>
      <c r="I84" s="149"/>
    </row>
    <row r="85" ht="15.75" customHeight="1">
      <c r="B85" s="573" t="s">
        <v>354</v>
      </c>
      <c r="C85" s="573" t="s">
        <v>355</v>
      </c>
      <c r="D85" s="573">
        <v>2.0</v>
      </c>
      <c r="E85" s="573">
        <v>0.0</v>
      </c>
      <c r="F85" s="149"/>
      <c r="G85" s="149"/>
      <c r="H85" s="591" t="s">
        <v>369</v>
      </c>
      <c r="I85" s="149"/>
    </row>
    <row r="86" ht="15.75" customHeight="1">
      <c r="B86" s="149"/>
      <c r="C86" s="576" t="s">
        <v>633</v>
      </c>
      <c r="D86" s="576">
        <v>2.0</v>
      </c>
      <c r="E86" s="576"/>
      <c r="F86" s="149"/>
      <c r="G86" s="149"/>
      <c r="H86" s="634" t="s">
        <v>592</v>
      </c>
      <c r="I86" s="149"/>
    </row>
    <row r="87" ht="15.75" customHeight="1">
      <c r="B87" s="149"/>
      <c r="C87" s="576" t="s">
        <v>635</v>
      </c>
      <c r="D87" s="430"/>
      <c r="E87" s="576">
        <v>0.0</v>
      </c>
      <c r="F87" s="149"/>
      <c r="G87" s="149"/>
      <c r="H87" s="637" t="s">
        <v>571</v>
      </c>
      <c r="I87" s="149"/>
    </row>
    <row r="88" ht="15.75" customHeight="1">
      <c r="B88" s="565" t="s">
        <v>638</v>
      </c>
      <c r="C88" s="639" t="s">
        <v>640</v>
      </c>
      <c r="D88" s="568">
        <v>3.0</v>
      </c>
      <c r="E88" s="568">
        <v>0.0</v>
      </c>
      <c r="F88" s="289"/>
      <c r="G88" s="289"/>
      <c r="H88" s="566" t="s">
        <v>338</v>
      </c>
      <c r="I88" s="289"/>
    </row>
    <row r="89" ht="15.75" customHeight="1">
      <c r="B89" s="126"/>
      <c r="C89" s="642" t="s">
        <v>643</v>
      </c>
      <c r="D89" s="573">
        <v>3.0</v>
      </c>
      <c r="E89" s="573">
        <v>0.0</v>
      </c>
      <c r="F89" s="149"/>
      <c r="G89" s="149"/>
      <c r="H89" s="610" t="s">
        <v>644</v>
      </c>
      <c r="I89" s="149"/>
    </row>
    <row r="90" ht="15.75" customHeight="1">
      <c r="B90" s="126"/>
      <c r="C90" s="643" t="s">
        <v>645</v>
      </c>
      <c r="D90" s="610">
        <v>6.0</v>
      </c>
      <c r="E90" s="573"/>
      <c r="F90" s="149"/>
      <c r="G90" s="149"/>
      <c r="H90" s="610" t="s">
        <v>592</v>
      </c>
      <c r="I90" s="149"/>
    </row>
    <row r="91" ht="15.75" customHeight="1">
      <c r="B91" s="147"/>
      <c r="C91" s="645" t="s">
        <v>648</v>
      </c>
      <c r="D91" s="647">
        <v>9.0</v>
      </c>
      <c r="E91" s="647">
        <v>0.0</v>
      </c>
      <c r="F91" s="281"/>
      <c r="G91" s="281"/>
      <c r="H91" s="650" t="s">
        <v>644</v>
      </c>
      <c r="I91" s="281"/>
    </row>
    <row r="92" ht="15.75" customHeight="1">
      <c r="B92" s="573" t="s">
        <v>389</v>
      </c>
      <c r="C92" s="573" t="s">
        <v>390</v>
      </c>
      <c r="D92" s="573">
        <v>2.0</v>
      </c>
      <c r="E92" s="573" t="s">
        <v>629</v>
      </c>
      <c r="F92" s="149"/>
      <c r="G92" s="149"/>
      <c r="H92" s="591" t="s">
        <v>541</v>
      </c>
      <c r="I92" s="149"/>
    </row>
    <row r="93" ht="15.75" customHeight="1">
      <c r="B93" s="573" t="s">
        <v>650</v>
      </c>
      <c r="C93" s="573" t="s">
        <v>651</v>
      </c>
      <c r="D93" s="573">
        <v>2.0</v>
      </c>
      <c r="E93" s="573" t="s">
        <v>629</v>
      </c>
      <c r="F93" s="149"/>
      <c r="G93" s="149"/>
      <c r="H93" s="632" t="s">
        <v>571</v>
      </c>
      <c r="I93" s="149"/>
    </row>
    <row r="94" ht="15.75" customHeight="1">
      <c r="B94" s="149"/>
      <c r="C94" s="573" t="s">
        <v>653</v>
      </c>
      <c r="D94" s="576">
        <v>2.0</v>
      </c>
      <c r="E94" s="573" t="s">
        <v>629</v>
      </c>
      <c r="F94" s="149"/>
      <c r="G94" s="149"/>
      <c r="H94" s="577" t="s">
        <v>571</v>
      </c>
      <c r="I94" s="149"/>
    </row>
    <row r="95" ht="15.75" customHeight="1">
      <c r="B95" s="610" t="s">
        <v>654</v>
      </c>
      <c r="C95" s="610" t="s">
        <v>656</v>
      </c>
      <c r="D95" s="576">
        <v>1.0</v>
      </c>
      <c r="E95" s="573">
        <v>0.0</v>
      </c>
      <c r="F95" s="149"/>
      <c r="G95" s="149"/>
      <c r="H95" s="577" t="s">
        <v>571</v>
      </c>
      <c r="I95" s="149"/>
    </row>
    <row r="96" ht="15.75" customHeight="1">
      <c r="B96" s="610" t="s">
        <v>658</v>
      </c>
      <c r="C96" s="610" t="s">
        <v>534</v>
      </c>
      <c r="D96" s="576">
        <v>1.0</v>
      </c>
      <c r="E96" s="573">
        <v>0.0</v>
      </c>
      <c r="F96" s="149"/>
      <c r="G96" s="149"/>
      <c r="H96" s="610" t="s">
        <v>660</v>
      </c>
      <c r="I96" s="149"/>
    </row>
    <row r="97" ht="15.75" customHeight="1">
      <c r="B97" s="576" t="s">
        <v>661</v>
      </c>
      <c r="C97" s="610" t="s">
        <v>661</v>
      </c>
      <c r="D97" s="576">
        <v>1.0</v>
      </c>
      <c r="E97" s="610">
        <v>0.0</v>
      </c>
      <c r="F97" s="149"/>
      <c r="G97" s="149"/>
      <c r="H97" s="577" t="s">
        <v>571</v>
      </c>
      <c r="I97" s="149"/>
    </row>
    <row r="98" ht="15.75" customHeight="1">
      <c r="B98" s="576" t="s">
        <v>663</v>
      </c>
      <c r="C98" s="610"/>
      <c r="D98" s="430"/>
      <c r="E98" s="573">
        <v>0.0</v>
      </c>
      <c r="F98" s="149"/>
      <c r="G98" s="149"/>
      <c r="H98" s="620"/>
      <c r="I98" s="149"/>
    </row>
    <row r="99" ht="15.75" customHeight="1">
      <c r="B99" s="650" t="s">
        <v>666</v>
      </c>
      <c r="C99" s="650" t="s">
        <v>666</v>
      </c>
      <c r="D99" s="650">
        <v>1.0</v>
      </c>
      <c r="E99" s="658">
        <v>0.0</v>
      </c>
      <c r="F99" s="281"/>
      <c r="G99" s="281"/>
      <c r="H99" s="660" t="s">
        <v>550</v>
      </c>
      <c r="I99" s="281"/>
    </row>
    <row r="100" ht="15.75" customHeight="1">
      <c r="B100" s="595" t="s">
        <v>667</v>
      </c>
      <c r="C100" s="149"/>
      <c r="D100" s="430"/>
      <c r="E100" s="430"/>
      <c r="F100" s="149"/>
      <c r="G100" s="149"/>
      <c r="H100" s="149"/>
      <c r="I100" s="149"/>
    </row>
    <row r="101" ht="15.75" customHeight="1">
      <c r="B101" s="573" t="s">
        <v>669</v>
      </c>
      <c r="C101" s="573" t="s">
        <v>670</v>
      </c>
      <c r="D101" s="573">
        <v>1.0</v>
      </c>
      <c r="E101" s="430"/>
      <c r="F101" s="149"/>
      <c r="G101" s="149"/>
      <c r="H101" s="573" t="s">
        <v>671</v>
      </c>
      <c r="I101" s="149"/>
    </row>
    <row r="102" ht="15.75" customHeight="1">
      <c r="B102" s="149"/>
      <c r="C102" s="573" t="s">
        <v>672</v>
      </c>
      <c r="D102" s="430"/>
      <c r="E102" s="576">
        <v>0.0</v>
      </c>
      <c r="F102" s="149"/>
      <c r="G102" s="149"/>
      <c r="H102" s="591" t="s">
        <v>428</v>
      </c>
      <c r="I102" s="149"/>
    </row>
    <row r="103" ht="15.75" customHeight="1">
      <c r="B103" s="149"/>
      <c r="C103" s="573" t="s">
        <v>431</v>
      </c>
      <c r="D103" s="430"/>
      <c r="E103" s="573">
        <v>0.0</v>
      </c>
      <c r="F103" s="149"/>
      <c r="G103" s="149"/>
      <c r="H103" s="576" t="s">
        <v>671</v>
      </c>
      <c r="I103" s="149"/>
    </row>
    <row r="104" ht="15.75" customHeight="1">
      <c r="B104" s="573" t="s">
        <v>674</v>
      </c>
      <c r="C104" s="642" t="s">
        <v>380</v>
      </c>
      <c r="D104" s="642">
        <v>6.0</v>
      </c>
      <c r="E104" s="669">
        <v>0.0</v>
      </c>
      <c r="F104" s="113"/>
      <c r="G104" s="113"/>
      <c r="H104" s="670" t="s">
        <v>369</v>
      </c>
      <c r="I104" s="113"/>
    </row>
    <row r="105" ht="15.75" customHeight="1">
      <c r="B105" s="149"/>
      <c r="C105" s="642" t="s">
        <v>675</v>
      </c>
      <c r="D105" s="642">
        <v>30.0</v>
      </c>
      <c r="E105" s="669">
        <v>0.0</v>
      </c>
      <c r="F105" s="113"/>
      <c r="G105" s="113"/>
      <c r="H105" s="670" t="s">
        <v>369</v>
      </c>
      <c r="I105" s="113"/>
    </row>
    <row r="106" ht="15.75" customHeight="1">
      <c r="B106" s="281"/>
      <c r="C106" s="645" t="s">
        <v>678</v>
      </c>
      <c r="D106" s="673">
        <v>1.0</v>
      </c>
      <c r="E106" s="674"/>
      <c r="F106" s="676"/>
      <c r="G106" s="676"/>
      <c r="H106" s="678" t="s">
        <v>369</v>
      </c>
      <c r="I106" s="676"/>
    </row>
    <row r="107" ht="15.75" customHeight="1">
      <c r="B107" s="565" t="s">
        <v>681</v>
      </c>
      <c r="C107" s="642" t="s">
        <v>682</v>
      </c>
      <c r="D107" s="681"/>
      <c r="E107" s="642" t="s">
        <v>683</v>
      </c>
      <c r="F107" s="113"/>
      <c r="G107" s="113"/>
      <c r="H107" s="642" t="s">
        <v>684</v>
      </c>
      <c r="I107" s="113"/>
    </row>
    <row r="108" ht="15.75" customHeight="1">
      <c r="B108" s="126"/>
      <c r="C108" s="642" t="s">
        <v>686</v>
      </c>
      <c r="D108" s="681"/>
      <c r="E108" s="681"/>
      <c r="F108" s="113"/>
      <c r="G108" s="113"/>
      <c r="H108" s="642" t="s">
        <v>392</v>
      </c>
      <c r="I108" s="113"/>
    </row>
    <row r="109" ht="15.75" customHeight="1">
      <c r="B109" s="126"/>
      <c r="C109" s="642" t="s">
        <v>688</v>
      </c>
      <c r="D109" s="681"/>
      <c r="E109" s="681"/>
      <c r="F109" s="113"/>
      <c r="G109" s="113"/>
      <c r="H109" s="684" t="s">
        <v>392</v>
      </c>
      <c r="I109" s="113"/>
    </row>
    <row r="110" ht="15.75" customHeight="1">
      <c r="B110" s="126"/>
      <c r="C110" s="642" t="s">
        <v>689</v>
      </c>
      <c r="D110" s="669">
        <v>5.0</v>
      </c>
      <c r="E110" s="669"/>
      <c r="F110" s="113"/>
      <c r="G110" s="113"/>
      <c r="H110" s="670" t="s">
        <v>550</v>
      </c>
      <c r="I110" s="113"/>
    </row>
    <row r="111" ht="15.75" customHeight="1">
      <c r="B111" s="147"/>
      <c r="C111" s="645" t="s">
        <v>690</v>
      </c>
      <c r="D111" s="673">
        <v>3.0</v>
      </c>
      <c r="E111" s="674"/>
      <c r="F111" s="676"/>
      <c r="G111" s="676"/>
      <c r="H111" s="645" t="s">
        <v>691</v>
      </c>
      <c r="I111" s="676"/>
    </row>
    <row r="112" ht="15.75" customHeight="1">
      <c r="B112" s="690" t="s">
        <v>693</v>
      </c>
      <c r="C112" s="113"/>
      <c r="D112" s="681"/>
      <c r="E112" s="681"/>
      <c r="F112" s="113"/>
      <c r="G112" s="113"/>
      <c r="H112" s="113"/>
      <c r="I112" s="113"/>
    </row>
    <row r="113" ht="15.75" customHeight="1">
      <c r="B113" s="573" t="s">
        <v>695</v>
      </c>
      <c r="C113" s="642" t="s">
        <v>696</v>
      </c>
      <c r="D113" s="669">
        <v>1.0</v>
      </c>
      <c r="E113" s="669">
        <v>0.0</v>
      </c>
      <c r="F113" s="113"/>
      <c r="G113" s="113"/>
      <c r="H113" s="670" t="s">
        <v>550</v>
      </c>
      <c r="I113" s="113"/>
    </row>
    <row r="114" ht="15.75" customHeight="1">
      <c r="B114" s="149"/>
      <c r="C114" s="642" t="s">
        <v>698</v>
      </c>
      <c r="D114" s="669">
        <v>2.0</v>
      </c>
      <c r="E114" s="669">
        <v>0.0</v>
      </c>
      <c r="F114" s="693"/>
      <c r="G114" s="693"/>
      <c r="H114" s="695" t="s">
        <v>629</v>
      </c>
      <c r="I114" s="693"/>
    </row>
    <row r="115" ht="15.75" customHeight="1">
      <c r="B115" s="149"/>
      <c r="C115" s="642" t="s">
        <v>700</v>
      </c>
      <c r="D115" s="669">
        <v>3.0</v>
      </c>
      <c r="E115" s="669">
        <v>0.0</v>
      </c>
      <c r="F115" s="693"/>
      <c r="G115" s="693"/>
      <c r="H115" s="695" t="s">
        <v>703</v>
      </c>
      <c r="I115" s="693"/>
    </row>
    <row r="116" ht="15.75" customHeight="1">
      <c r="B116" s="149"/>
      <c r="C116" s="642" t="s">
        <v>704</v>
      </c>
      <c r="D116" s="681"/>
      <c r="E116" s="669">
        <v>0.0</v>
      </c>
      <c r="F116" s="693"/>
      <c r="G116" s="693"/>
      <c r="H116" s="698" t="s">
        <v>703</v>
      </c>
      <c r="I116" s="693"/>
    </row>
    <row r="117" ht="15.75" customHeight="1">
      <c r="B117" s="149"/>
      <c r="C117" s="642" t="s">
        <v>706</v>
      </c>
      <c r="D117" s="681"/>
      <c r="E117" s="669">
        <v>0.0</v>
      </c>
      <c r="F117" s="693"/>
      <c r="G117" s="693"/>
      <c r="H117" s="695" t="s">
        <v>703</v>
      </c>
      <c r="I117" s="693"/>
    </row>
    <row r="118" ht="15.75" customHeight="1">
      <c r="B118" s="573" t="s">
        <v>707</v>
      </c>
      <c r="C118" s="642" t="s">
        <v>708</v>
      </c>
      <c r="D118" s="642">
        <v>30.0</v>
      </c>
      <c r="E118" s="681"/>
      <c r="F118" s="693"/>
      <c r="G118" s="693"/>
      <c r="H118" s="695" t="s">
        <v>629</v>
      </c>
      <c r="I118" s="693"/>
    </row>
    <row r="119" ht="15.75" customHeight="1">
      <c r="B119" s="149"/>
      <c r="C119" s="642" t="s">
        <v>709</v>
      </c>
      <c r="D119" s="642">
        <v>1.0</v>
      </c>
      <c r="E119" s="681"/>
      <c r="F119" s="693"/>
      <c r="G119" s="693"/>
      <c r="H119" s="695" t="s">
        <v>629</v>
      </c>
      <c r="I119" s="693"/>
    </row>
    <row r="120" ht="15.75" customHeight="1">
      <c r="B120" s="281"/>
      <c r="C120" s="645" t="s">
        <v>712</v>
      </c>
      <c r="D120" s="645">
        <v>20.0</v>
      </c>
      <c r="E120" s="674"/>
      <c r="F120" s="705"/>
      <c r="G120" s="705"/>
      <c r="H120" s="706" t="s">
        <v>629</v>
      </c>
      <c r="I120" s="705"/>
    </row>
    <row r="121" ht="15.75" hidden="1" customHeight="1">
      <c r="B121" s="707" t="s">
        <v>714</v>
      </c>
      <c r="C121" s="708" t="s">
        <v>715</v>
      </c>
      <c r="D121" s="674">
        <v>52.0</v>
      </c>
      <c r="E121" s="674"/>
      <c r="F121" s="705"/>
      <c r="G121" s="705"/>
      <c r="H121" s="710" t="s">
        <v>550</v>
      </c>
      <c r="I121" s="705"/>
    </row>
    <row r="122" ht="15.75" hidden="1" customHeight="1">
      <c r="B122" s="281"/>
      <c r="C122" s="712" t="s">
        <v>716</v>
      </c>
      <c r="D122" s="713">
        <v>5.0</v>
      </c>
      <c r="E122" s="713"/>
      <c r="F122" s="715"/>
      <c r="G122" s="715"/>
      <c r="H122" s="717" t="s">
        <v>718</v>
      </c>
      <c r="I122" s="715"/>
    </row>
    <row r="123" ht="15.75" customHeight="1">
      <c r="B123" s="24"/>
      <c r="C123" s="24"/>
      <c r="D123" s="24"/>
      <c r="E123" s="24"/>
    </row>
    <row r="124" ht="15.75" customHeight="1">
      <c r="B124" s="24"/>
      <c r="C124" s="24"/>
      <c r="D124" s="24"/>
      <c r="E124" s="24"/>
    </row>
    <row r="125" ht="15.75" customHeight="1">
      <c r="B125" s="24"/>
      <c r="C125" s="24"/>
      <c r="D125" s="24"/>
      <c r="E125" s="24"/>
    </row>
    <row r="126" ht="15.75" customHeight="1">
      <c r="B126" s="24"/>
      <c r="C126" s="24"/>
      <c r="D126" s="24"/>
      <c r="E126" s="24"/>
    </row>
    <row r="127" ht="15.75" customHeight="1">
      <c r="B127" s="24"/>
      <c r="C127" s="24"/>
      <c r="D127" s="24"/>
      <c r="E127" s="24"/>
    </row>
    <row r="128" ht="15.75" customHeight="1">
      <c r="B128" s="24"/>
      <c r="C128" s="24"/>
      <c r="D128" s="24"/>
      <c r="E128" s="24"/>
    </row>
    <row r="129" ht="15.75" customHeight="1">
      <c r="B129" s="24"/>
      <c r="C129" s="24"/>
      <c r="D129" s="24"/>
      <c r="E129" s="24"/>
    </row>
    <row r="130" ht="15.75" customHeight="1">
      <c r="B130" s="24"/>
      <c r="C130" s="24"/>
      <c r="D130" s="24"/>
      <c r="E130" s="24"/>
    </row>
    <row r="131" ht="15.75" customHeight="1">
      <c r="B131" s="24"/>
      <c r="C131" s="24"/>
      <c r="D131" s="24"/>
      <c r="E131" s="24"/>
    </row>
    <row r="132" ht="15.75" customHeight="1">
      <c r="B132" s="24"/>
      <c r="C132" s="24"/>
      <c r="D132" s="24"/>
      <c r="E132" s="24"/>
    </row>
    <row r="133" ht="15.75" customHeight="1">
      <c r="B133" s="24"/>
      <c r="C133" s="24"/>
      <c r="D133" s="24"/>
      <c r="E133" s="24"/>
    </row>
    <row r="134" ht="15.75" customHeight="1">
      <c r="B134" s="24"/>
      <c r="C134" s="24"/>
      <c r="D134" s="24"/>
      <c r="E134" s="24"/>
    </row>
    <row r="135" ht="15.75" customHeight="1">
      <c r="B135" s="24"/>
      <c r="C135" s="24"/>
      <c r="D135" s="24"/>
      <c r="E135" s="24"/>
    </row>
    <row r="136" ht="15.75" customHeight="1">
      <c r="B136" s="24"/>
      <c r="C136" s="24"/>
      <c r="D136" s="24"/>
      <c r="E136" s="24"/>
    </row>
    <row r="137" ht="15.75" customHeight="1">
      <c r="B137" s="24"/>
      <c r="C137" s="24"/>
      <c r="D137" s="24"/>
      <c r="E137" s="24"/>
    </row>
    <row r="138" ht="15.75" customHeight="1">
      <c r="B138" s="24"/>
      <c r="C138" s="24"/>
      <c r="D138" s="24"/>
      <c r="E138" s="24"/>
    </row>
    <row r="139" ht="15.75" customHeight="1">
      <c r="B139" s="24"/>
      <c r="C139" s="24"/>
      <c r="D139" s="24"/>
      <c r="E139" s="24"/>
    </row>
    <row r="140" ht="15.75" customHeight="1">
      <c r="B140" s="24"/>
      <c r="C140" s="24"/>
      <c r="D140" s="24"/>
      <c r="E140" s="24"/>
    </row>
    <row r="141" ht="15.75" customHeight="1">
      <c r="B141" s="24"/>
      <c r="C141" s="24"/>
      <c r="D141" s="24"/>
      <c r="E141" s="24"/>
    </row>
    <row r="142" ht="15.75" customHeight="1">
      <c r="B142" s="24"/>
      <c r="C142" s="24"/>
      <c r="D142" s="24"/>
      <c r="E142" s="24"/>
    </row>
    <row r="143" ht="15.75" customHeight="1">
      <c r="B143" s="24"/>
      <c r="C143" s="24"/>
      <c r="D143" s="24"/>
      <c r="E143" s="24"/>
    </row>
    <row r="144" ht="15.75" customHeight="1">
      <c r="B144" s="24"/>
      <c r="C144" s="24"/>
      <c r="D144" s="24"/>
      <c r="E144" s="24"/>
    </row>
    <row r="145" ht="15.75" customHeight="1">
      <c r="B145" s="24"/>
      <c r="C145" s="24"/>
      <c r="D145" s="24"/>
      <c r="E145" s="24"/>
    </row>
    <row r="146" ht="15.75" customHeight="1">
      <c r="B146" s="24"/>
      <c r="C146" s="24"/>
      <c r="D146" s="24"/>
      <c r="E146" s="24"/>
    </row>
    <row r="147" ht="15.75" customHeight="1">
      <c r="B147" s="24"/>
      <c r="C147" s="24"/>
      <c r="D147" s="24"/>
      <c r="E147" s="24"/>
    </row>
    <row r="148" ht="15.75" customHeight="1">
      <c r="B148" s="24"/>
      <c r="C148" s="24"/>
      <c r="D148" s="24"/>
      <c r="E148" s="24"/>
    </row>
    <row r="149" ht="15.75" customHeight="1">
      <c r="B149" s="24"/>
      <c r="C149" s="24"/>
      <c r="D149" s="24"/>
      <c r="E149" s="24"/>
    </row>
    <row r="150" ht="15.75" customHeight="1">
      <c r="B150" s="24"/>
      <c r="C150" s="24"/>
      <c r="D150" s="24"/>
      <c r="E150" s="24"/>
    </row>
    <row r="151" ht="15.75" customHeight="1">
      <c r="B151" s="24"/>
      <c r="C151" s="24"/>
      <c r="D151" s="24"/>
      <c r="E151" s="24"/>
    </row>
    <row r="152" ht="15.75" customHeight="1">
      <c r="B152" s="24"/>
      <c r="C152" s="24"/>
      <c r="D152" s="24"/>
      <c r="E152" s="24"/>
    </row>
    <row r="153" ht="15.75" customHeight="1">
      <c r="B153" s="24"/>
      <c r="C153" s="24"/>
      <c r="D153" s="24"/>
      <c r="E153" s="24"/>
    </row>
    <row r="154" ht="15.75" customHeight="1">
      <c r="B154" s="24"/>
      <c r="C154" s="24"/>
      <c r="D154" s="24"/>
      <c r="E154" s="24"/>
    </row>
    <row r="155" ht="15.75" customHeight="1">
      <c r="B155" s="24"/>
      <c r="C155" s="24"/>
      <c r="D155" s="24"/>
      <c r="E155" s="24"/>
    </row>
    <row r="156" ht="15.75" customHeight="1">
      <c r="B156" s="24"/>
      <c r="C156" s="24"/>
      <c r="D156" s="24"/>
      <c r="E156" s="24"/>
    </row>
    <row r="157" ht="15.75" customHeight="1">
      <c r="B157" s="24"/>
      <c r="C157" s="24"/>
      <c r="D157" s="24"/>
      <c r="E157" s="24"/>
    </row>
    <row r="158" ht="15.75" customHeight="1">
      <c r="B158" s="24"/>
      <c r="C158" s="24"/>
      <c r="D158" s="24"/>
      <c r="E158" s="24"/>
    </row>
    <row r="159" ht="15.75" customHeight="1">
      <c r="B159" s="24"/>
      <c r="C159" s="24"/>
      <c r="D159" s="24"/>
      <c r="E159" s="24"/>
    </row>
    <row r="160" ht="15.75" customHeight="1">
      <c r="B160" s="24"/>
      <c r="C160" s="24"/>
      <c r="D160" s="24"/>
      <c r="E160" s="24"/>
    </row>
    <row r="161" ht="15.75" customHeight="1">
      <c r="B161" s="24"/>
      <c r="C161" s="24"/>
      <c r="D161" s="24"/>
      <c r="E161" s="24"/>
    </row>
    <row r="162" ht="15.75" customHeight="1">
      <c r="B162" s="24"/>
      <c r="C162" s="24"/>
      <c r="D162" s="24"/>
      <c r="E162" s="24"/>
    </row>
    <row r="163" ht="15.75" customHeight="1">
      <c r="B163" s="24"/>
      <c r="C163" s="24"/>
      <c r="D163" s="24"/>
      <c r="E163" s="24"/>
    </row>
    <row r="164" ht="15.75" customHeight="1">
      <c r="B164" s="24"/>
      <c r="C164" s="24"/>
      <c r="D164" s="24"/>
      <c r="E164" s="24"/>
    </row>
    <row r="165" ht="15.75" customHeight="1">
      <c r="B165" s="24"/>
      <c r="C165" s="24"/>
      <c r="D165" s="24"/>
      <c r="E165" s="24"/>
    </row>
    <row r="166" ht="15.75" customHeight="1">
      <c r="B166" s="24"/>
      <c r="C166" s="24"/>
      <c r="D166" s="24"/>
      <c r="E166" s="24"/>
    </row>
    <row r="167" ht="15.75" customHeight="1">
      <c r="B167" s="24"/>
      <c r="C167" s="24"/>
      <c r="D167" s="24"/>
      <c r="E167" s="24"/>
    </row>
    <row r="168" ht="15.75" customHeight="1">
      <c r="B168" s="24"/>
      <c r="C168" s="24"/>
      <c r="D168" s="24"/>
      <c r="E168" s="24"/>
    </row>
    <row r="169" ht="15.75" customHeight="1">
      <c r="B169" s="24"/>
      <c r="C169" s="24"/>
      <c r="D169" s="24"/>
      <c r="E169" s="24"/>
    </row>
    <row r="170" ht="15.75" customHeight="1">
      <c r="B170" s="24"/>
      <c r="C170" s="24"/>
      <c r="D170" s="24"/>
      <c r="E170" s="24"/>
    </row>
    <row r="171" ht="15.75" customHeight="1">
      <c r="B171" s="24"/>
      <c r="C171" s="24"/>
      <c r="D171" s="24"/>
      <c r="E171" s="24"/>
    </row>
    <row r="172" ht="15.75" customHeight="1">
      <c r="B172" s="24"/>
      <c r="C172" s="24"/>
      <c r="D172" s="24"/>
      <c r="E172" s="24"/>
    </row>
    <row r="173" ht="15.75" customHeight="1">
      <c r="B173" s="24"/>
      <c r="C173" s="24"/>
      <c r="D173" s="24"/>
      <c r="E173" s="24"/>
    </row>
    <row r="174" ht="15.75" customHeight="1">
      <c r="B174" s="24"/>
      <c r="C174" s="24"/>
      <c r="D174" s="24"/>
      <c r="E174" s="24"/>
    </row>
    <row r="175" ht="15.75" customHeight="1">
      <c r="B175" s="24"/>
      <c r="C175" s="24"/>
      <c r="D175" s="24"/>
      <c r="E175" s="24"/>
    </row>
    <row r="176" ht="15.75" customHeight="1">
      <c r="B176" s="24"/>
      <c r="C176" s="24"/>
      <c r="D176" s="24"/>
      <c r="E176" s="24"/>
    </row>
    <row r="177" ht="15.75" customHeight="1">
      <c r="B177" s="24"/>
      <c r="C177" s="24"/>
      <c r="D177" s="24"/>
      <c r="E177" s="24"/>
    </row>
    <row r="178" ht="15.75" customHeight="1">
      <c r="B178" s="24"/>
      <c r="C178" s="24"/>
      <c r="D178" s="24"/>
      <c r="E178" s="24"/>
    </row>
    <row r="179" ht="15.75" customHeight="1">
      <c r="B179" s="24"/>
      <c r="C179" s="24"/>
      <c r="D179" s="24"/>
      <c r="E179" s="24"/>
    </row>
    <row r="180" ht="15.75" customHeight="1">
      <c r="B180" s="24"/>
      <c r="C180" s="24"/>
      <c r="D180" s="24"/>
      <c r="E180" s="24"/>
    </row>
    <row r="181" ht="15.75" customHeight="1">
      <c r="B181" s="24"/>
      <c r="C181" s="24"/>
      <c r="D181" s="24"/>
      <c r="E181" s="24"/>
    </row>
    <row r="182" ht="15.75" customHeight="1">
      <c r="B182" s="24"/>
      <c r="C182" s="24"/>
      <c r="D182" s="24"/>
      <c r="E182" s="24"/>
    </row>
    <row r="183" ht="15.75" customHeight="1">
      <c r="B183" s="24"/>
      <c r="C183" s="24"/>
      <c r="D183" s="24"/>
      <c r="E183" s="24"/>
    </row>
    <row r="184" ht="15.75" customHeight="1">
      <c r="B184" s="24"/>
      <c r="C184" s="24"/>
      <c r="D184" s="24"/>
      <c r="E184" s="24"/>
    </row>
    <row r="185" ht="15.75" customHeight="1">
      <c r="B185" s="24"/>
      <c r="C185" s="24"/>
      <c r="D185" s="24"/>
      <c r="E185" s="24"/>
    </row>
    <row r="186" ht="15.75" customHeight="1">
      <c r="B186" s="24"/>
      <c r="C186" s="24"/>
      <c r="D186" s="24"/>
      <c r="E186" s="24"/>
    </row>
    <row r="187" ht="15.75" customHeight="1">
      <c r="B187" s="24"/>
      <c r="C187" s="24"/>
      <c r="D187" s="24"/>
      <c r="E187" s="24"/>
    </row>
    <row r="188" ht="15.75" customHeight="1">
      <c r="B188" s="24"/>
      <c r="C188" s="24"/>
      <c r="D188" s="24"/>
      <c r="E188" s="24"/>
    </row>
    <row r="189" ht="15.75" customHeight="1">
      <c r="B189" s="24"/>
      <c r="C189" s="24"/>
      <c r="D189" s="24"/>
      <c r="E189" s="24"/>
    </row>
    <row r="190" ht="15.75" customHeight="1">
      <c r="B190" s="24"/>
      <c r="C190" s="24"/>
      <c r="D190" s="24"/>
      <c r="E190" s="24"/>
    </row>
    <row r="191" ht="15.75" customHeight="1">
      <c r="B191" s="24"/>
      <c r="C191" s="24"/>
      <c r="D191" s="24"/>
      <c r="E191" s="24"/>
    </row>
    <row r="192" ht="15.75" customHeight="1">
      <c r="B192" s="24"/>
      <c r="C192" s="24"/>
      <c r="D192" s="24"/>
      <c r="E192" s="24"/>
    </row>
    <row r="193" ht="15.75" customHeight="1">
      <c r="B193" s="24"/>
      <c r="C193" s="24"/>
      <c r="D193" s="24"/>
      <c r="E193" s="24"/>
    </row>
    <row r="194" ht="15.75" customHeight="1">
      <c r="B194" s="24"/>
      <c r="C194" s="24"/>
      <c r="D194" s="24"/>
      <c r="E194" s="24"/>
    </row>
    <row r="195" ht="15.75" customHeight="1">
      <c r="B195" s="24"/>
      <c r="C195" s="24"/>
      <c r="D195" s="24"/>
      <c r="E195" s="24"/>
    </row>
    <row r="196" ht="15.75" customHeight="1">
      <c r="B196" s="24"/>
      <c r="C196" s="24"/>
      <c r="D196" s="24"/>
      <c r="E196" s="24"/>
    </row>
    <row r="197" ht="15.75" customHeight="1">
      <c r="B197" s="24"/>
      <c r="C197" s="24"/>
      <c r="D197" s="24"/>
      <c r="E197" s="24"/>
    </row>
    <row r="198" ht="15.75" customHeight="1">
      <c r="B198" s="24"/>
      <c r="C198" s="24"/>
      <c r="D198" s="24"/>
      <c r="E198" s="24"/>
    </row>
    <row r="199" ht="15.75" customHeight="1">
      <c r="B199" s="24"/>
      <c r="C199" s="24"/>
      <c r="D199" s="24"/>
      <c r="E199" s="24"/>
    </row>
    <row r="200" ht="15.75" customHeight="1">
      <c r="B200" s="24"/>
      <c r="C200" s="24"/>
      <c r="D200" s="24"/>
      <c r="E200" s="24"/>
    </row>
    <row r="201" ht="15.75" customHeight="1">
      <c r="B201" s="24"/>
      <c r="C201" s="24"/>
      <c r="D201" s="24"/>
      <c r="E201" s="24"/>
    </row>
    <row r="202" ht="15.75" customHeight="1">
      <c r="B202" s="24"/>
      <c r="C202" s="24"/>
      <c r="D202" s="24"/>
      <c r="E202" s="24"/>
    </row>
    <row r="203" ht="15.75" customHeight="1">
      <c r="B203" s="24"/>
      <c r="C203" s="24"/>
      <c r="D203" s="24"/>
      <c r="E203" s="24"/>
    </row>
    <row r="204" ht="15.75" customHeight="1">
      <c r="B204" s="24"/>
      <c r="C204" s="24"/>
      <c r="D204" s="24"/>
      <c r="E204" s="24"/>
    </row>
    <row r="205" ht="15.75" customHeight="1">
      <c r="B205" s="24"/>
      <c r="C205" s="24"/>
      <c r="D205" s="24"/>
      <c r="E205" s="24"/>
    </row>
    <row r="206" ht="15.75" customHeight="1">
      <c r="B206" s="24"/>
      <c r="C206" s="24"/>
      <c r="D206" s="24"/>
      <c r="E206" s="24"/>
    </row>
    <row r="207" ht="15.75" customHeight="1">
      <c r="B207" s="24"/>
      <c r="C207" s="24"/>
      <c r="D207" s="24"/>
      <c r="E207" s="24"/>
    </row>
    <row r="208" ht="15.75" customHeight="1">
      <c r="B208" s="24"/>
      <c r="C208" s="24"/>
      <c r="D208" s="24"/>
      <c r="E208" s="24"/>
    </row>
    <row r="209" ht="15.75" customHeight="1">
      <c r="B209" s="24"/>
      <c r="C209" s="24"/>
      <c r="D209" s="24"/>
      <c r="E209" s="24"/>
    </row>
    <row r="210" ht="15.75" customHeight="1">
      <c r="B210" s="24"/>
      <c r="C210" s="24"/>
      <c r="D210" s="24"/>
      <c r="E210" s="24"/>
    </row>
    <row r="211" ht="15.75" customHeight="1">
      <c r="B211" s="24"/>
      <c r="C211" s="24"/>
      <c r="D211" s="24"/>
      <c r="E211" s="24"/>
    </row>
    <row r="212" ht="15.75" customHeight="1">
      <c r="B212" s="24"/>
      <c r="C212" s="24"/>
      <c r="D212" s="24"/>
      <c r="E212" s="24"/>
    </row>
    <row r="213" ht="15.75" customHeight="1">
      <c r="B213" s="24"/>
      <c r="C213" s="24"/>
      <c r="D213" s="24"/>
      <c r="E213" s="24"/>
    </row>
    <row r="214" ht="15.75" customHeight="1">
      <c r="B214" s="24"/>
      <c r="C214" s="24"/>
      <c r="D214" s="24"/>
      <c r="E214" s="24"/>
    </row>
    <row r="215" ht="15.75" customHeight="1">
      <c r="B215" s="24"/>
      <c r="C215" s="24"/>
      <c r="D215" s="24"/>
      <c r="E215" s="24"/>
    </row>
    <row r="216" ht="15.75" customHeight="1">
      <c r="B216" s="24"/>
      <c r="C216" s="24"/>
      <c r="D216" s="24"/>
      <c r="E216" s="24"/>
    </row>
    <row r="217" ht="15.75" customHeight="1">
      <c r="B217" s="24"/>
      <c r="C217" s="24"/>
      <c r="D217" s="24"/>
      <c r="E217" s="24"/>
    </row>
    <row r="218" ht="15.75" customHeight="1">
      <c r="B218" s="24"/>
      <c r="C218" s="24"/>
      <c r="D218" s="24"/>
      <c r="E218" s="24"/>
    </row>
    <row r="219" ht="15.75" customHeight="1">
      <c r="B219" s="24"/>
      <c r="C219" s="24"/>
      <c r="D219" s="24"/>
      <c r="E219" s="24"/>
    </row>
    <row r="220" ht="15.75" customHeight="1">
      <c r="B220" s="24"/>
      <c r="C220" s="24"/>
      <c r="D220" s="24"/>
      <c r="E220" s="24"/>
    </row>
    <row r="221" ht="15.75" customHeight="1">
      <c r="B221" s="24"/>
      <c r="C221" s="24"/>
      <c r="D221" s="24"/>
      <c r="E221" s="24"/>
    </row>
    <row r="222" ht="15.75" customHeight="1">
      <c r="B222" s="24"/>
      <c r="C222" s="24"/>
      <c r="D222" s="24"/>
      <c r="E222" s="24"/>
    </row>
    <row r="223" ht="15.75" customHeight="1">
      <c r="B223" s="24"/>
      <c r="C223" s="24"/>
      <c r="D223" s="24"/>
      <c r="E223" s="24"/>
    </row>
    <row r="224" ht="15.75" customHeight="1">
      <c r="B224" s="24"/>
      <c r="C224" s="24"/>
      <c r="D224" s="24"/>
      <c r="E224" s="24"/>
    </row>
    <row r="225" ht="15.75" customHeight="1">
      <c r="B225" s="24"/>
      <c r="C225" s="24"/>
      <c r="D225" s="24"/>
      <c r="E225" s="24"/>
    </row>
    <row r="226" ht="15.75" customHeight="1">
      <c r="B226" s="24"/>
      <c r="C226" s="24"/>
      <c r="D226" s="24"/>
      <c r="E226" s="24"/>
    </row>
    <row r="227" ht="15.75" customHeight="1">
      <c r="B227" s="24"/>
      <c r="C227" s="24"/>
      <c r="D227" s="24"/>
      <c r="E227" s="24"/>
    </row>
    <row r="228" ht="15.75" customHeight="1">
      <c r="B228" s="24"/>
      <c r="C228" s="24"/>
      <c r="D228" s="24"/>
      <c r="E228" s="24"/>
    </row>
    <row r="229" ht="15.75" customHeight="1">
      <c r="B229" s="24"/>
      <c r="C229" s="24"/>
      <c r="D229" s="24"/>
      <c r="E229" s="24"/>
    </row>
    <row r="230" ht="15.75" customHeight="1">
      <c r="B230" s="24"/>
      <c r="C230" s="24"/>
      <c r="D230" s="24"/>
      <c r="E230" s="24"/>
    </row>
    <row r="231" ht="15.75" customHeight="1">
      <c r="B231" s="24"/>
      <c r="C231" s="24"/>
      <c r="D231" s="24"/>
      <c r="E231" s="24"/>
    </row>
    <row r="232" ht="15.75" customHeight="1">
      <c r="B232" s="24"/>
      <c r="C232" s="24"/>
      <c r="D232" s="24"/>
      <c r="E232" s="24"/>
    </row>
    <row r="233" ht="15.75" customHeight="1">
      <c r="B233" s="24"/>
      <c r="C233" s="24"/>
      <c r="D233" s="24"/>
      <c r="E233" s="24"/>
    </row>
    <row r="234" ht="15.75" customHeight="1">
      <c r="B234" s="24"/>
      <c r="C234" s="24"/>
      <c r="D234" s="24"/>
      <c r="E234" s="24"/>
    </row>
    <row r="235" ht="15.75" customHeight="1">
      <c r="B235" s="24"/>
      <c r="C235" s="24"/>
      <c r="D235" s="24"/>
      <c r="E235" s="24"/>
    </row>
    <row r="236" ht="15.75" customHeight="1">
      <c r="B236" s="24"/>
      <c r="C236" s="24"/>
      <c r="D236" s="24"/>
      <c r="E236" s="24"/>
    </row>
    <row r="237" ht="15.75" customHeight="1">
      <c r="B237" s="24"/>
      <c r="C237" s="24"/>
      <c r="D237" s="24"/>
      <c r="E237" s="24"/>
    </row>
    <row r="238" ht="15.75" customHeight="1">
      <c r="B238" s="24"/>
      <c r="C238" s="24"/>
      <c r="D238" s="24"/>
      <c r="E238" s="24"/>
    </row>
    <row r="239" ht="15.75" customHeight="1">
      <c r="B239" s="24"/>
      <c r="C239" s="24"/>
      <c r="D239" s="24"/>
      <c r="E239" s="24"/>
    </row>
    <row r="240" ht="15.75" customHeight="1">
      <c r="B240" s="24"/>
      <c r="C240" s="24"/>
      <c r="D240" s="24"/>
      <c r="E240" s="24"/>
    </row>
    <row r="241" ht="15.75" customHeight="1">
      <c r="B241" s="24"/>
      <c r="C241" s="24"/>
      <c r="D241" s="24"/>
      <c r="E241" s="24"/>
    </row>
    <row r="242" ht="15.75" customHeight="1">
      <c r="B242" s="24"/>
      <c r="C242" s="24"/>
      <c r="D242" s="24"/>
      <c r="E242" s="24"/>
    </row>
    <row r="243" ht="15.75" customHeight="1">
      <c r="B243" s="24"/>
      <c r="C243" s="24"/>
      <c r="D243" s="24"/>
      <c r="E243" s="24"/>
    </row>
    <row r="244" ht="15.75" customHeight="1">
      <c r="B244" s="24"/>
      <c r="C244" s="24"/>
      <c r="D244" s="24"/>
      <c r="E244" s="24"/>
    </row>
    <row r="245" ht="15.75" customHeight="1">
      <c r="B245" s="24"/>
      <c r="C245" s="24"/>
      <c r="D245" s="24"/>
      <c r="E245" s="24"/>
    </row>
    <row r="246" ht="15.75" customHeight="1">
      <c r="B246" s="24"/>
      <c r="C246" s="24"/>
      <c r="D246" s="24"/>
      <c r="E246" s="24"/>
    </row>
    <row r="247" ht="15.75" customHeight="1">
      <c r="B247" s="24"/>
      <c r="C247" s="24"/>
      <c r="D247" s="24"/>
      <c r="E247" s="24"/>
    </row>
    <row r="248" ht="15.75" customHeight="1">
      <c r="B248" s="24"/>
      <c r="C248" s="24"/>
      <c r="D248" s="24"/>
      <c r="E248" s="24"/>
    </row>
    <row r="249" ht="15.75" customHeight="1">
      <c r="B249" s="24"/>
      <c r="C249" s="24"/>
      <c r="D249" s="24"/>
      <c r="E249" s="24"/>
    </row>
    <row r="250" ht="15.75" customHeight="1">
      <c r="B250" s="24"/>
      <c r="C250" s="24"/>
      <c r="D250" s="24"/>
      <c r="E250" s="24"/>
    </row>
    <row r="251" ht="15.75" customHeight="1">
      <c r="B251" s="24"/>
      <c r="C251" s="24"/>
      <c r="D251" s="24"/>
      <c r="E251" s="24"/>
    </row>
    <row r="252" ht="15.75" customHeight="1">
      <c r="B252" s="24"/>
      <c r="C252" s="24"/>
      <c r="D252" s="24"/>
      <c r="E252" s="24"/>
    </row>
    <row r="253" ht="15.75" customHeight="1">
      <c r="B253" s="24"/>
      <c r="C253" s="24"/>
      <c r="D253" s="24"/>
      <c r="E253" s="24"/>
    </row>
    <row r="254" ht="15.75" customHeight="1">
      <c r="B254" s="24"/>
      <c r="C254" s="24"/>
      <c r="D254" s="24"/>
      <c r="E254" s="24"/>
    </row>
    <row r="255" ht="15.75" customHeight="1">
      <c r="B255" s="24"/>
      <c r="C255" s="24"/>
      <c r="D255" s="24"/>
      <c r="E255" s="24"/>
    </row>
    <row r="256" ht="15.75" customHeight="1">
      <c r="B256" s="24"/>
      <c r="C256" s="24"/>
      <c r="D256" s="24"/>
      <c r="E256" s="24"/>
    </row>
    <row r="257" ht="15.75" customHeight="1">
      <c r="B257" s="24"/>
      <c r="C257" s="24"/>
      <c r="D257" s="24"/>
      <c r="E257" s="24"/>
    </row>
    <row r="258" ht="15.75" customHeight="1">
      <c r="B258" s="24"/>
      <c r="C258" s="24"/>
      <c r="D258" s="24"/>
      <c r="E258" s="24"/>
    </row>
    <row r="259" ht="15.75" customHeight="1">
      <c r="B259" s="24"/>
      <c r="C259" s="24"/>
      <c r="D259" s="24"/>
      <c r="E259" s="24"/>
    </row>
    <row r="260" ht="15.75" customHeight="1">
      <c r="B260" s="24"/>
      <c r="C260" s="24"/>
      <c r="D260" s="24"/>
      <c r="E260" s="24"/>
    </row>
    <row r="261" ht="15.75" customHeight="1">
      <c r="B261" s="24"/>
      <c r="C261" s="24"/>
      <c r="D261" s="24"/>
      <c r="E261" s="24"/>
    </row>
    <row r="262" ht="15.75" customHeight="1">
      <c r="B262" s="24"/>
      <c r="C262" s="24"/>
      <c r="D262" s="24"/>
      <c r="E262" s="24"/>
    </row>
    <row r="263" ht="15.75" customHeight="1">
      <c r="B263" s="24"/>
      <c r="C263" s="24"/>
      <c r="D263" s="24"/>
      <c r="E263" s="24"/>
    </row>
    <row r="264" ht="15.75" customHeight="1">
      <c r="B264" s="24"/>
      <c r="C264" s="24"/>
      <c r="D264" s="24"/>
      <c r="E264" s="24"/>
    </row>
    <row r="265" ht="15.75" customHeight="1">
      <c r="B265" s="24"/>
      <c r="C265" s="24"/>
      <c r="D265" s="24"/>
      <c r="E265" s="24"/>
    </row>
    <row r="266" ht="15.75" customHeight="1">
      <c r="B266" s="24"/>
      <c r="C266" s="24"/>
      <c r="D266" s="24"/>
      <c r="E266" s="24"/>
    </row>
    <row r="267" ht="15.75" customHeight="1">
      <c r="B267" s="24"/>
      <c r="C267" s="24"/>
      <c r="D267" s="24"/>
      <c r="E267" s="24"/>
    </row>
    <row r="268" ht="15.75" customHeight="1">
      <c r="B268" s="24"/>
      <c r="C268" s="24"/>
      <c r="D268" s="24"/>
      <c r="E268" s="24"/>
    </row>
    <row r="269" ht="15.75" customHeight="1">
      <c r="B269" s="24"/>
      <c r="C269" s="24"/>
      <c r="D269" s="24"/>
      <c r="E269" s="24"/>
    </row>
    <row r="270" ht="15.75" customHeight="1">
      <c r="D270" s="762"/>
      <c r="E270" s="24"/>
    </row>
    <row r="271" ht="15.75" customHeight="1">
      <c r="D271" s="762"/>
      <c r="E271" s="24"/>
    </row>
    <row r="272" ht="15.75" customHeight="1">
      <c r="D272" s="762"/>
      <c r="E272" s="24"/>
    </row>
    <row r="273" ht="15.75" customHeight="1">
      <c r="D273" s="762"/>
      <c r="E273" s="24"/>
    </row>
    <row r="274" ht="15.75" customHeight="1">
      <c r="D274" s="762"/>
      <c r="E274" s="24"/>
    </row>
    <row r="275" ht="15.75" customHeight="1">
      <c r="D275" s="762"/>
      <c r="E275" s="24"/>
    </row>
    <row r="276" ht="15.75" customHeight="1">
      <c r="D276" s="762"/>
      <c r="E276" s="24"/>
    </row>
    <row r="277" ht="15.75" customHeight="1">
      <c r="D277" s="762"/>
      <c r="E277" s="24"/>
    </row>
    <row r="278" ht="15.75" customHeight="1">
      <c r="D278" s="762"/>
      <c r="E278" s="24"/>
    </row>
    <row r="279" ht="15.75" customHeight="1">
      <c r="D279" s="762"/>
      <c r="E279" s="24"/>
    </row>
    <row r="280" ht="15.75" customHeight="1">
      <c r="D280" s="762"/>
      <c r="E280" s="24"/>
    </row>
    <row r="281" ht="15.75" customHeight="1">
      <c r="D281" s="762"/>
      <c r="E281" s="24"/>
    </row>
    <row r="282" ht="15.75" customHeight="1">
      <c r="D282" s="762"/>
      <c r="E282" s="24"/>
    </row>
    <row r="283" ht="15.75" customHeight="1">
      <c r="D283" s="762"/>
      <c r="E283" s="24"/>
    </row>
    <row r="284" ht="15.75" customHeight="1">
      <c r="D284" s="762"/>
      <c r="E284" s="24"/>
    </row>
    <row r="285" ht="15.75" customHeight="1">
      <c r="D285" s="762"/>
      <c r="E285" s="24"/>
    </row>
    <row r="286" ht="15.75" customHeight="1">
      <c r="D286" s="762"/>
      <c r="E286" s="24"/>
    </row>
    <row r="287" ht="15.75" customHeight="1">
      <c r="D287" s="762"/>
      <c r="E287" s="24"/>
    </row>
    <row r="288" ht="15.75" customHeight="1">
      <c r="D288" s="762"/>
      <c r="E288" s="24"/>
    </row>
    <row r="289" ht="15.75" customHeight="1">
      <c r="D289" s="762"/>
      <c r="E289" s="24"/>
    </row>
    <row r="290" ht="15.75" customHeight="1">
      <c r="D290" s="762"/>
      <c r="E290" s="24"/>
    </row>
    <row r="291" ht="15.75" customHeight="1">
      <c r="D291" s="762"/>
      <c r="E291" s="24"/>
    </row>
    <row r="292" ht="15.75" customHeight="1">
      <c r="D292" s="762"/>
      <c r="E292" s="24"/>
    </row>
    <row r="293" ht="15.75" customHeight="1">
      <c r="D293" s="762"/>
      <c r="E293" s="24"/>
    </row>
    <row r="294" ht="15.75" customHeight="1">
      <c r="D294" s="762"/>
      <c r="E294" s="24"/>
    </row>
    <row r="295" ht="15.75" customHeight="1">
      <c r="D295" s="762"/>
      <c r="E295" s="24"/>
    </row>
    <row r="296" ht="15.75" customHeight="1">
      <c r="D296" s="762"/>
      <c r="E296" s="24"/>
    </row>
    <row r="297" ht="15.75" customHeight="1">
      <c r="D297" s="762"/>
      <c r="E297" s="24"/>
    </row>
    <row r="298" ht="15.75" customHeight="1">
      <c r="D298" s="762"/>
      <c r="E298" s="24"/>
    </row>
    <row r="299" ht="15.75" customHeight="1">
      <c r="D299" s="762"/>
      <c r="E299" s="24"/>
    </row>
    <row r="300" ht="15.75" customHeight="1">
      <c r="D300" s="762"/>
      <c r="E300" s="24"/>
    </row>
    <row r="301" ht="15.75" customHeight="1">
      <c r="D301" s="762"/>
      <c r="E301" s="24"/>
    </row>
    <row r="302" ht="15.75" customHeight="1">
      <c r="D302" s="762"/>
      <c r="E302" s="24"/>
    </row>
    <row r="303" ht="15.75" customHeight="1">
      <c r="D303" s="762"/>
      <c r="E303" s="24"/>
    </row>
    <row r="304" ht="15.75" customHeight="1">
      <c r="D304" s="762"/>
      <c r="E304" s="24"/>
    </row>
    <row r="305" ht="15.75" customHeight="1">
      <c r="D305" s="762"/>
      <c r="E305" s="24"/>
    </row>
    <row r="306" ht="15.75" customHeight="1">
      <c r="D306" s="762"/>
      <c r="E306" s="24"/>
    </row>
    <row r="307" ht="15.75" customHeight="1">
      <c r="D307" s="762"/>
      <c r="E307" s="24"/>
    </row>
    <row r="308" ht="15.75" customHeight="1">
      <c r="D308" s="762"/>
      <c r="E308" s="24"/>
    </row>
    <row r="309" ht="15.75" customHeight="1">
      <c r="D309" s="762"/>
      <c r="E309" s="24"/>
    </row>
    <row r="310" ht="15.75" customHeight="1">
      <c r="D310" s="762"/>
      <c r="E310" s="24"/>
    </row>
    <row r="311" ht="15.75" customHeight="1">
      <c r="D311" s="762"/>
      <c r="E311" s="24"/>
    </row>
    <row r="312" ht="15.75" customHeight="1">
      <c r="D312" s="762"/>
      <c r="E312" s="24"/>
    </row>
    <row r="313" ht="15.75" customHeight="1">
      <c r="D313" s="762"/>
      <c r="E313" s="24"/>
    </row>
    <row r="314" ht="15.75" customHeight="1">
      <c r="D314" s="762"/>
      <c r="E314" s="24"/>
    </row>
    <row r="315" ht="15.75" customHeight="1">
      <c r="D315" s="762"/>
      <c r="E315" s="24"/>
    </row>
    <row r="316" ht="15.75" customHeight="1">
      <c r="D316" s="762"/>
      <c r="E316" s="24"/>
    </row>
    <row r="317" ht="15.75" customHeight="1">
      <c r="D317" s="762"/>
      <c r="E317" s="24"/>
    </row>
    <row r="318" ht="15.75" customHeight="1">
      <c r="D318" s="762"/>
      <c r="E318" s="24"/>
    </row>
    <row r="319" ht="15.75" customHeight="1">
      <c r="D319" s="762"/>
      <c r="E319" s="24"/>
    </row>
    <row r="320" ht="15.75" customHeight="1">
      <c r="D320" s="762"/>
      <c r="E320" s="24"/>
    </row>
    <row r="321" ht="15.75" customHeight="1">
      <c r="D321" s="762"/>
      <c r="E321" s="24"/>
    </row>
    <row r="322" ht="15.75" customHeight="1">
      <c r="D322" s="762"/>
      <c r="E322" s="24"/>
    </row>
    <row r="323" ht="15.75" customHeight="1">
      <c r="D323" s="762"/>
      <c r="E323" s="24"/>
    </row>
    <row r="324" ht="15.75" customHeight="1">
      <c r="D324" s="762"/>
      <c r="E324" s="24"/>
    </row>
    <row r="325" ht="15.75" customHeight="1">
      <c r="D325" s="762"/>
      <c r="E325" s="24"/>
    </row>
    <row r="326" ht="15.75" customHeight="1">
      <c r="D326" s="762"/>
      <c r="E326" s="24"/>
    </row>
    <row r="327" ht="15.75" customHeight="1">
      <c r="D327" s="762"/>
      <c r="E327" s="24"/>
    </row>
    <row r="328" ht="15.75" customHeight="1">
      <c r="D328" s="762"/>
      <c r="E328" s="24"/>
    </row>
    <row r="329" ht="15.75" customHeight="1">
      <c r="D329" s="762"/>
      <c r="E329" s="24"/>
    </row>
    <row r="330" ht="15.75" customHeight="1">
      <c r="D330" s="762"/>
      <c r="E330" s="24"/>
    </row>
    <row r="331" ht="15.75" customHeight="1">
      <c r="D331" s="762"/>
      <c r="E331" s="24"/>
    </row>
    <row r="332" ht="15.75" customHeight="1">
      <c r="D332" s="762"/>
      <c r="E332" s="24"/>
    </row>
    <row r="333" ht="15.75" customHeight="1">
      <c r="D333" s="762"/>
      <c r="E333" s="24"/>
    </row>
    <row r="334" ht="15.75" customHeight="1">
      <c r="D334" s="762"/>
      <c r="E334" s="24"/>
    </row>
    <row r="335" ht="15.75" customHeight="1">
      <c r="D335" s="762"/>
      <c r="E335" s="24"/>
    </row>
    <row r="336" ht="15.75" customHeight="1">
      <c r="D336" s="762"/>
      <c r="E336" s="24"/>
    </row>
    <row r="337" ht="15.75" customHeight="1">
      <c r="D337" s="762"/>
      <c r="E337" s="24"/>
    </row>
    <row r="338" ht="15.75" customHeight="1">
      <c r="D338" s="762"/>
      <c r="E338" s="24"/>
    </row>
    <row r="339" ht="15.75" customHeight="1">
      <c r="D339" s="762"/>
      <c r="E339" s="24"/>
    </row>
    <row r="340" ht="15.75" customHeight="1">
      <c r="D340" s="762"/>
      <c r="E340" s="24"/>
    </row>
    <row r="341" ht="15.75" customHeight="1">
      <c r="D341" s="762"/>
      <c r="E341" s="24"/>
    </row>
    <row r="342" ht="15.75" customHeight="1">
      <c r="D342" s="762"/>
      <c r="E342" s="24"/>
    </row>
    <row r="343" ht="15.75" customHeight="1">
      <c r="D343" s="762"/>
      <c r="E343" s="24"/>
    </row>
    <row r="344" ht="15.75" customHeight="1">
      <c r="D344" s="762"/>
      <c r="E344" s="24"/>
    </row>
    <row r="345" ht="15.75" customHeight="1">
      <c r="D345" s="762"/>
      <c r="E345" s="24"/>
    </row>
    <row r="346" ht="15.75" customHeight="1">
      <c r="D346" s="762"/>
      <c r="E346" s="24"/>
    </row>
    <row r="347" ht="15.75" customHeight="1">
      <c r="D347" s="762"/>
      <c r="E347" s="24"/>
    </row>
    <row r="348" ht="15.75" customHeight="1">
      <c r="D348" s="762"/>
      <c r="E348" s="24"/>
    </row>
    <row r="349" ht="15.75" customHeight="1">
      <c r="D349" s="762"/>
      <c r="E349" s="24"/>
    </row>
    <row r="350" ht="15.75" customHeight="1">
      <c r="D350" s="762"/>
      <c r="E350" s="24"/>
    </row>
    <row r="351" ht="15.75" customHeight="1">
      <c r="D351" s="762"/>
      <c r="E351" s="24"/>
    </row>
    <row r="352" ht="15.75" customHeight="1">
      <c r="D352" s="762"/>
      <c r="E352" s="24"/>
    </row>
    <row r="353" ht="15.75" customHeight="1">
      <c r="D353" s="762"/>
      <c r="E353" s="24"/>
    </row>
    <row r="354" ht="15.75" customHeight="1">
      <c r="D354" s="762"/>
      <c r="E354" s="24"/>
    </row>
    <row r="355" ht="15.75" customHeight="1">
      <c r="D355" s="762"/>
      <c r="E355" s="24"/>
    </row>
    <row r="356" ht="15.75" customHeight="1">
      <c r="D356" s="762"/>
      <c r="E356" s="24"/>
    </row>
    <row r="357" ht="15.75" customHeight="1">
      <c r="D357" s="762"/>
      <c r="E357" s="24"/>
    </row>
    <row r="358" ht="15.75" customHeight="1">
      <c r="D358" s="762"/>
      <c r="E358" s="24"/>
    </row>
    <row r="359" ht="15.75" customHeight="1">
      <c r="D359" s="762"/>
      <c r="E359" s="24"/>
    </row>
    <row r="360" ht="15.75" customHeight="1">
      <c r="D360" s="762"/>
      <c r="E360" s="24"/>
    </row>
    <row r="361" ht="15.75" customHeight="1">
      <c r="D361" s="762"/>
      <c r="E361" s="24"/>
    </row>
    <row r="362" ht="15.75" customHeight="1">
      <c r="D362" s="762"/>
      <c r="E362" s="24"/>
    </row>
    <row r="363" ht="15.75" customHeight="1">
      <c r="D363" s="762"/>
      <c r="E363" s="24"/>
    </row>
    <row r="364" ht="15.75" customHeight="1">
      <c r="D364" s="762"/>
      <c r="E364" s="24"/>
    </row>
    <row r="365" ht="15.75" customHeight="1">
      <c r="D365" s="762"/>
      <c r="E365" s="24"/>
    </row>
    <row r="366" ht="15.75" customHeight="1">
      <c r="D366" s="762"/>
      <c r="E366" s="24"/>
    </row>
    <row r="367" ht="15.75" customHeight="1">
      <c r="D367" s="762"/>
      <c r="E367" s="24"/>
    </row>
    <row r="368" ht="15.75" customHeight="1">
      <c r="D368" s="762"/>
      <c r="E368" s="24"/>
    </row>
    <row r="369" ht="15.75" customHeight="1">
      <c r="D369" s="762"/>
      <c r="E369" s="24"/>
    </row>
    <row r="370" ht="15.75" customHeight="1">
      <c r="D370" s="762"/>
      <c r="E370" s="24"/>
    </row>
    <row r="371" ht="15.75" customHeight="1">
      <c r="D371" s="762"/>
      <c r="E371" s="24"/>
    </row>
    <row r="372" ht="15.75" customHeight="1">
      <c r="D372" s="762"/>
      <c r="E372" s="24"/>
    </row>
    <row r="373" ht="15.75" customHeight="1">
      <c r="D373" s="762"/>
      <c r="E373" s="24"/>
    </row>
    <row r="374" ht="15.75" customHeight="1">
      <c r="D374" s="762"/>
      <c r="E374" s="24"/>
    </row>
    <row r="375" ht="15.75" customHeight="1">
      <c r="D375" s="762"/>
      <c r="E375" s="24"/>
    </row>
    <row r="376" ht="15.75" customHeight="1">
      <c r="D376" s="762"/>
      <c r="E376" s="24"/>
    </row>
    <row r="377" ht="15.75" customHeight="1">
      <c r="D377" s="762"/>
      <c r="E377" s="24"/>
    </row>
    <row r="378" ht="15.75" customHeight="1">
      <c r="D378" s="762"/>
      <c r="E378" s="24"/>
    </row>
    <row r="379" ht="15.75" customHeight="1">
      <c r="D379" s="762"/>
      <c r="E379" s="24"/>
    </row>
    <row r="380" ht="15.75" customHeight="1">
      <c r="D380" s="762"/>
      <c r="E380" s="24"/>
    </row>
    <row r="381" ht="15.75" customHeight="1">
      <c r="D381" s="762"/>
      <c r="E381" s="24"/>
    </row>
    <row r="382" ht="15.75" customHeight="1">
      <c r="D382" s="762"/>
      <c r="E382" s="24"/>
    </row>
    <row r="383" ht="15.75" customHeight="1">
      <c r="D383" s="762"/>
      <c r="E383" s="24"/>
    </row>
    <row r="384" ht="15.75" customHeight="1">
      <c r="D384" s="762"/>
      <c r="E384" s="24"/>
    </row>
    <row r="385" ht="15.75" customHeight="1">
      <c r="D385" s="762"/>
      <c r="E385" s="24"/>
    </row>
    <row r="386" ht="15.75" customHeight="1">
      <c r="D386" s="762"/>
      <c r="E386" s="24"/>
    </row>
    <row r="387" ht="15.75" customHeight="1">
      <c r="D387" s="762"/>
      <c r="E387" s="24"/>
    </row>
    <row r="388" ht="15.75" customHeight="1">
      <c r="D388" s="762"/>
      <c r="E388" s="24"/>
    </row>
    <row r="389" ht="15.75" customHeight="1">
      <c r="D389" s="762"/>
      <c r="E389" s="24"/>
    </row>
    <row r="390" ht="15.75" customHeight="1">
      <c r="D390" s="762"/>
      <c r="E390" s="24"/>
    </row>
    <row r="391" ht="15.75" customHeight="1">
      <c r="D391" s="762"/>
      <c r="E391" s="24"/>
    </row>
    <row r="392" ht="15.75" customHeight="1">
      <c r="D392" s="762"/>
      <c r="E392" s="24"/>
    </row>
    <row r="393" ht="15.75" customHeight="1">
      <c r="D393" s="762"/>
      <c r="E393" s="24"/>
    </row>
    <row r="394" ht="15.75" customHeight="1">
      <c r="D394" s="762"/>
      <c r="E394" s="24"/>
    </row>
    <row r="395" ht="15.75" customHeight="1">
      <c r="D395" s="762"/>
      <c r="E395" s="24"/>
    </row>
    <row r="396" ht="15.75" customHeight="1">
      <c r="D396" s="762"/>
      <c r="E396" s="24"/>
    </row>
    <row r="397" ht="15.75" customHeight="1">
      <c r="D397" s="762"/>
      <c r="E397" s="24"/>
    </row>
    <row r="398" ht="15.75" customHeight="1">
      <c r="D398" s="762"/>
      <c r="E398" s="24"/>
    </row>
    <row r="399" ht="15.75" customHeight="1">
      <c r="D399" s="762"/>
      <c r="E399" s="24"/>
    </row>
    <row r="400" ht="15.75" customHeight="1">
      <c r="D400" s="762"/>
      <c r="E400" s="24"/>
    </row>
    <row r="401" ht="15.75" customHeight="1">
      <c r="D401" s="762"/>
      <c r="E401" s="24"/>
    </row>
    <row r="402" ht="15.75" customHeight="1">
      <c r="D402" s="762"/>
      <c r="E402" s="24"/>
    </row>
    <row r="403" ht="15.75" customHeight="1">
      <c r="D403" s="762"/>
      <c r="E403" s="24"/>
    </row>
    <row r="404" ht="15.75" customHeight="1">
      <c r="D404" s="762"/>
      <c r="E404" s="24"/>
    </row>
    <row r="405" ht="15.75" customHeight="1">
      <c r="D405" s="762"/>
      <c r="E405" s="24"/>
    </row>
    <row r="406" ht="15.75" customHeight="1">
      <c r="D406" s="762"/>
      <c r="E406" s="24"/>
    </row>
    <row r="407" ht="15.75" customHeight="1">
      <c r="D407" s="762"/>
      <c r="E407" s="24"/>
    </row>
    <row r="408" ht="15.75" customHeight="1">
      <c r="D408" s="762"/>
      <c r="E408" s="24"/>
    </row>
    <row r="409" ht="15.75" customHeight="1">
      <c r="D409" s="762"/>
      <c r="E409" s="24"/>
    </row>
    <row r="410" ht="15.75" customHeight="1">
      <c r="D410" s="762"/>
      <c r="E410" s="24"/>
    </row>
    <row r="411" ht="15.75" customHeight="1">
      <c r="D411" s="762"/>
      <c r="E411" s="24"/>
    </row>
    <row r="412" ht="15.75" customHeight="1">
      <c r="D412" s="762"/>
      <c r="E412" s="24"/>
    </row>
    <row r="413" ht="15.75" customHeight="1">
      <c r="D413" s="762"/>
      <c r="E413" s="24"/>
    </row>
    <row r="414" ht="15.75" customHeight="1">
      <c r="D414" s="762"/>
      <c r="E414" s="24"/>
    </row>
    <row r="415" ht="15.75" customHeight="1">
      <c r="D415" s="762"/>
      <c r="E415" s="24"/>
    </row>
    <row r="416" ht="15.75" customHeight="1">
      <c r="D416" s="762"/>
      <c r="E416" s="24"/>
    </row>
    <row r="417" ht="15.75" customHeight="1">
      <c r="D417" s="762"/>
      <c r="E417" s="24"/>
    </row>
    <row r="418" ht="15.75" customHeight="1">
      <c r="D418" s="762"/>
      <c r="E418" s="24"/>
    </row>
    <row r="419" ht="15.75" customHeight="1">
      <c r="D419" s="762"/>
      <c r="E419" s="24"/>
    </row>
    <row r="420" ht="15.75" customHeight="1">
      <c r="D420" s="762"/>
      <c r="E420" s="24"/>
    </row>
    <row r="421" ht="15.75" customHeight="1">
      <c r="D421" s="762"/>
      <c r="E421" s="24"/>
    </row>
    <row r="422" ht="15.75" customHeight="1">
      <c r="D422" s="762"/>
      <c r="E422" s="24"/>
    </row>
    <row r="423" ht="15.75" customHeight="1">
      <c r="D423" s="762"/>
      <c r="E423" s="24"/>
    </row>
    <row r="424" ht="15.75" customHeight="1">
      <c r="D424" s="762"/>
      <c r="E424" s="24"/>
    </row>
    <row r="425" ht="15.75" customHeight="1">
      <c r="D425" s="762"/>
      <c r="E425" s="24"/>
    </row>
    <row r="426" ht="15.75" customHeight="1">
      <c r="D426" s="762"/>
      <c r="E426" s="24"/>
    </row>
    <row r="427" ht="15.75" customHeight="1">
      <c r="D427" s="762"/>
      <c r="E427" s="24"/>
    </row>
    <row r="428" ht="15.75" customHeight="1">
      <c r="D428" s="762"/>
      <c r="E428" s="24"/>
    </row>
    <row r="429" ht="15.75" customHeight="1">
      <c r="D429" s="762"/>
      <c r="E429" s="24"/>
    </row>
    <row r="430" ht="15.75" customHeight="1">
      <c r="D430" s="762"/>
      <c r="E430" s="24"/>
    </row>
    <row r="431" ht="15.75" customHeight="1">
      <c r="D431" s="762"/>
      <c r="E431" s="24"/>
    </row>
    <row r="432" ht="15.75" customHeight="1">
      <c r="D432" s="762"/>
      <c r="E432" s="24"/>
    </row>
    <row r="433" ht="15.75" customHeight="1">
      <c r="D433" s="762"/>
      <c r="E433" s="24"/>
    </row>
    <row r="434" ht="15.75" customHeight="1">
      <c r="D434" s="762"/>
      <c r="E434" s="24"/>
    </row>
    <row r="435" ht="15.75" customHeight="1">
      <c r="D435" s="762"/>
      <c r="E435" s="24"/>
    </row>
    <row r="436" ht="15.75" customHeight="1">
      <c r="D436" s="762"/>
      <c r="E436" s="24"/>
    </row>
    <row r="437" ht="15.75" customHeight="1">
      <c r="D437" s="762"/>
      <c r="E437" s="24"/>
    </row>
    <row r="438" ht="15.75" customHeight="1">
      <c r="D438" s="762"/>
      <c r="E438" s="24"/>
    </row>
    <row r="439" ht="15.75" customHeight="1">
      <c r="D439" s="762"/>
      <c r="E439" s="24"/>
    </row>
    <row r="440" ht="15.75" customHeight="1">
      <c r="D440" s="762"/>
      <c r="E440" s="24"/>
    </row>
    <row r="441" ht="15.75" customHeight="1">
      <c r="D441" s="762"/>
      <c r="E441" s="24"/>
    </row>
    <row r="442" ht="15.75" customHeight="1">
      <c r="D442" s="762"/>
      <c r="E442" s="24"/>
    </row>
    <row r="443" ht="15.75" customHeight="1">
      <c r="D443" s="762"/>
      <c r="E443" s="24"/>
    </row>
    <row r="444" ht="15.75" customHeight="1">
      <c r="D444" s="762"/>
      <c r="E444" s="24"/>
    </row>
    <row r="445" ht="15.75" customHeight="1">
      <c r="D445" s="762"/>
      <c r="E445" s="24"/>
    </row>
    <row r="446" ht="15.75" customHeight="1">
      <c r="D446" s="762"/>
      <c r="E446" s="24"/>
    </row>
    <row r="447" ht="15.75" customHeight="1">
      <c r="D447" s="762"/>
      <c r="E447" s="24"/>
    </row>
    <row r="448" ht="15.75" customHeight="1">
      <c r="D448" s="762"/>
      <c r="E448" s="24"/>
    </row>
    <row r="449" ht="15.75" customHeight="1">
      <c r="D449" s="762"/>
      <c r="E449" s="24"/>
    </row>
    <row r="450" ht="15.75" customHeight="1">
      <c r="D450" s="762"/>
      <c r="E450" s="24"/>
    </row>
    <row r="451" ht="15.75" customHeight="1">
      <c r="D451" s="762"/>
      <c r="E451" s="24"/>
    </row>
    <row r="452" ht="15.75" customHeight="1">
      <c r="D452" s="762"/>
      <c r="E452" s="24"/>
    </row>
    <row r="453" ht="15.75" customHeight="1">
      <c r="D453" s="762"/>
      <c r="E453" s="24"/>
    </row>
    <row r="454" ht="15.75" customHeight="1">
      <c r="D454" s="762"/>
      <c r="E454" s="24"/>
    </row>
    <row r="455" ht="15.75" customHeight="1">
      <c r="D455" s="762"/>
      <c r="E455" s="24"/>
    </row>
    <row r="456" ht="15.75" customHeight="1">
      <c r="D456" s="762"/>
      <c r="E456" s="24"/>
    </row>
    <row r="457" ht="15.75" customHeight="1">
      <c r="D457" s="762"/>
      <c r="E457" s="24"/>
    </row>
    <row r="458" ht="15.75" customHeight="1">
      <c r="D458" s="762"/>
      <c r="E458" s="24"/>
    </row>
    <row r="459" ht="15.75" customHeight="1">
      <c r="D459" s="762"/>
      <c r="E459" s="24"/>
    </row>
    <row r="460" ht="15.75" customHeight="1">
      <c r="D460" s="762"/>
      <c r="E460" s="24"/>
    </row>
    <row r="461" ht="15.75" customHeight="1">
      <c r="D461" s="762"/>
      <c r="E461" s="24"/>
    </row>
    <row r="462" ht="15.75" customHeight="1">
      <c r="D462" s="762"/>
      <c r="E462" s="24"/>
    </row>
    <row r="463" ht="15.75" customHeight="1">
      <c r="D463" s="762"/>
      <c r="E463" s="24"/>
    </row>
    <row r="464" ht="15.75" customHeight="1">
      <c r="D464" s="762"/>
      <c r="E464" s="24"/>
    </row>
    <row r="465" ht="15.75" customHeight="1">
      <c r="D465" s="762"/>
      <c r="E465" s="24"/>
    </row>
    <row r="466" ht="15.75" customHeight="1">
      <c r="D466" s="762"/>
      <c r="E466" s="24"/>
    </row>
    <row r="467" ht="15.75" customHeight="1">
      <c r="D467" s="762"/>
      <c r="E467" s="24"/>
    </row>
    <row r="468" ht="15.75" customHeight="1">
      <c r="D468" s="762"/>
      <c r="E468" s="24"/>
    </row>
    <row r="469" ht="15.75" customHeight="1">
      <c r="D469" s="762"/>
      <c r="E469" s="24"/>
    </row>
    <row r="470" ht="15.75" customHeight="1">
      <c r="D470" s="762"/>
      <c r="E470" s="24"/>
    </row>
    <row r="471" ht="15.75" customHeight="1">
      <c r="D471" s="762"/>
      <c r="E471" s="24"/>
    </row>
    <row r="472" ht="15.75" customHeight="1">
      <c r="D472" s="762"/>
      <c r="E472" s="24"/>
    </row>
    <row r="473" ht="15.75" customHeight="1">
      <c r="D473" s="762"/>
      <c r="E473" s="24"/>
    </row>
    <row r="474" ht="15.75" customHeight="1">
      <c r="D474" s="762"/>
      <c r="E474" s="24"/>
    </row>
    <row r="475" ht="15.75" customHeight="1">
      <c r="D475" s="762"/>
      <c r="E475" s="24"/>
    </row>
    <row r="476" ht="15.75" customHeight="1">
      <c r="D476" s="762"/>
      <c r="E476" s="24"/>
    </row>
    <row r="477" ht="15.75" customHeight="1">
      <c r="D477" s="762"/>
      <c r="E477" s="24"/>
    </row>
    <row r="478" ht="15.75" customHeight="1">
      <c r="D478" s="762"/>
      <c r="E478" s="24"/>
    </row>
    <row r="479" ht="15.75" customHeight="1">
      <c r="D479" s="762"/>
      <c r="E479" s="24"/>
    </row>
    <row r="480" ht="15.75" customHeight="1">
      <c r="D480" s="762"/>
      <c r="E480" s="24"/>
    </row>
    <row r="481" ht="15.75" customHeight="1">
      <c r="D481" s="762"/>
      <c r="E481" s="24"/>
    </row>
    <row r="482" ht="15.75" customHeight="1">
      <c r="D482" s="762"/>
      <c r="E482" s="24"/>
    </row>
    <row r="483" ht="15.75" customHeight="1">
      <c r="D483" s="762"/>
      <c r="E483" s="24"/>
    </row>
    <row r="484" ht="15.75" customHeight="1">
      <c r="D484" s="762"/>
      <c r="E484" s="24"/>
    </row>
    <row r="485" ht="15.75" customHeight="1">
      <c r="D485" s="762"/>
      <c r="E485" s="24"/>
    </row>
    <row r="486" ht="15.75" customHeight="1">
      <c r="D486" s="762"/>
      <c r="E486" s="24"/>
    </row>
    <row r="487" ht="15.75" customHeight="1">
      <c r="D487" s="762"/>
      <c r="E487" s="24"/>
    </row>
    <row r="488" ht="15.75" customHeight="1">
      <c r="D488" s="762"/>
      <c r="E488" s="24"/>
    </row>
    <row r="489" ht="15.75" customHeight="1">
      <c r="D489" s="762"/>
      <c r="E489" s="24"/>
    </row>
    <row r="490" ht="15.75" customHeight="1">
      <c r="D490" s="762"/>
      <c r="E490" s="24"/>
    </row>
    <row r="491" ht="15.75" customHeight="1">
      <c r="D491" s="762"/>
      <c r="E491" s="24"/>
    </row>
    <row r="492" ht="15.75" customHeight="1">
      <c r="D492" s="762"/>
      <c r="E492" s="24"/>
    </row>
    <row r="493" ht="15.75" customHeight="1">
      <c r="D493" s="762"/>
      <c r="E493" s="24"/>
    </row>
    <row r="494" ht="15.75" customHeight="1">
      <c r="D494" s="762"/>
      <c r="E494" s="24"/>
    </row>
    <row r="495" ht="15.75" customHeight="1">
      <c r="D495" s="762"/>
      <c r="E495" s="24"/>
    </row>
    <row r="496" ht="15.75" customHeight="1">
      <c r="D496" s="762"/>
      <c r="E496" s="24"/>
    </row>
    <row r="497" ht="15.75" customHeight="1">
      <c r="D497" s="762"/>
      <c r="E497" s="24"/>
    </row>
    <row r="498" ht="15.75" customHeight="1">
      <c r="D498" s="762"/>
      <c r="E498" s="24"/>
    </row>
    <row r="499" ht="15.75" customHeight="1">
      <c r="D499" s="762"/>
      <c r="E499" s="24"/>
    </row>
    <row r="500" ht="15.75" customHeight="1">
      <c r="D500" s="762"/>
      <c r="E500" s="24"/>
    </row>
    <row r="501" ht="15.75" customHeight="1">
      <c r="D501" s="762"/>
      <c r="E501" s="24"/>
    </row>
    <row r="502" ht="15.75" customHeight="1">
      <c r="D502" s="762"/>
      <c r="E502" s="24"/>
    </row>
    <row r="503" ht="15.75" customHeight="1">
      <c r="D503" s="762"/>
      <c r="E503" s="24"/>
    </row>
    <row r="504" ht="15.75" customHeight="1">
      <c r="D504" s="762"/>
      <c r="E504" s="24"/>
    </row>
    <row r="505" ht="15.75" customHeight="1">
      <c r="D505" s="762"/>
      <c r="E505" s="24"/>
    </row>
    <row r="506" ht="15.75" customHeight="1">
      <c r="D506" s="762"/>
      <c r="E506" s="24"/>
    </row>
    <row r="507" ht="15.75" customHeight="1">
      <c r="D507" s="762"/>
      <c r="E507" s="24"/>
    </row>
    <row r="508" ht="15.75" customHeight="1">
      <c r="D508" s="762"/>
      <c r="E508" s="24"/>
    </row>
    <row r="509" ht="15.75" customHeight="1">
      <c r="D509" s="762"/>
      <c r="E509" s="24"/>
    </row>
    <row r="510" ht="15.75" customHeight="1">
      <c r="D510" s="762"/>
      <c r="E510" s="24"/>
    </row>
    <row r="511" ht="15.75" customHeight="1">
      <c r="D511" s="762"/>
      <c r="E511" s="24"/>
    </row>
    <row r="512" ht="15.75" customHeight="1">
      <c r="D512" s="762"/>
      <c r="E512" s="24"/>
    </row>
    <row r="513" ht="15.75" customHeight="1">
      <c r="D513" s="762"/>
      <c r="E513" s="24"/>
    </row>
    <row r="514" ht="15.75" customHeight="1">
      <c r="D514" s="762"/>
      <c r="E514" s="24"/>
    </row>
    <row r="515" ht="15.75" customHeight="1">
      <c r="D515" s="762"/>
      <c r="E515" s="24"/>
    </row>
    <row r="516" ht="15.75" customHeight="1">
      <c r="D516" s="762"/>
      <c r="E516" s="24"/>
    </row>
    <row r="517" ht="15.75" customHeight="1">
      <c r="D517" s="762"/>
      <c r="E517" s="24"/>
    </row>
    <row r="518" ht="15.75" customHeight="1">
      <c r="D518" s="762"/>
      <c r="E518" s="24"/>
    </row>
    <row r="519" ht="15.75" customHeight="1">
      <c r="D519" s="762"/>
      <c r="E519" s="24"/>
    </row>
    <row r="520" ht="15.75" customHeight="1">
      <c r="D520" s="762"/>
      <c r="E520" s="24"/>
    </row>
    <row r="521" ht="15.75" customHeight="1">
      <c r="D521" s="762"/>
      <c r="E521" s="24"/>
    </row>
    <row r="522" ht="15.75" customHeight="1">
      <c r="D522" s="762"/>
      <c r="E522" s="24"/>
    </row>
    <row r="523" ht="15.75" customHeight="1">
      <c r="D523" s="762"/>
      <c r="E523" s="24"/>
    </row>
    <row r="524" ht="15.75" customHeight="1">
      <c r="D524" s="762"/>
      <c r="E524" s="24"/>
    </row>
    <row r="525" ht="15.75" customHeight="1">
      <c r="D525" s="762"/>
      <c r="E525" s="24"/>
    </row>
    <row r="526" ht="15.75" customHeight="1">
      <c r="D526" s="762"/>
      <c r="E526" s="24"/>
    </row>
    <row r="527" ht="15.75" customHeight="1">
      <c r="D527" s="762"/>
      <c r="E527" s="24"/>
    </row>
    <row r="528" ht="15.75" customHeight="1">
      <c r="D528" s="762"/>
      <c r="E528" s="24"/>
    </row>
    <row r="529" ht="15.75" customHeight="1">
      <c r="D529" s="762"/>
      <c r="E529" s="24"/>
    </row>
    <row r="530" ht="15.75" customHeight="1">
      <c r="D530" s="762"/>
      <c r="E530" s="24"/>
    </row>
    <row r="531" ht="15.75" customHeight="1">
      <c r="D531" s="762"/>
      <c r="E531" s="24"/>
    </row>
    <row r="532" ht="15.75" customHeight="1">
      <c r="D532" s="762"/>
      <c r="E532" s="24"/>
    </row>
    <row r="533" ht="15.75" customHeight="1">
      <c r="D533" s="762"/>
      <c r="E533" s="24"/>
    </row>
    <row r="534" ht="15.75" customHeight="1">
      <c r="D534" s="762"/>
      <c r="E534" s="24"/>
    </row>
    <row r="535" ht="15.75" customHeight="1">
      <c r="D535" s="762"/>
      <c r="E535" s="24"/>
    </row>
    <row r="536" ht="15.75" customHeight="1">
      <c r="D536" s="762"/>
      <c r="E536" s="24"/>
    </row>
    <row r="537" ht="15.75" customHeight="1">
      <c r="D537" s="762"/>
      <c r="E537" s="24"/>
    </row>
    <row r="538" ht="15.75" customHeight="1">
      <c r="D538" s="762"/>
      <c r="E538" s="24"/>
    </row>
    <row r="539" ht="15.75" customHeight="1">
      <c r="D539" s="762"/>
      <c r="E539" s="24"/>
    </row>
    <row r="540" ht="15.75" customHeight="1">
      <c r="D540" s="762"/>
      <c r="E540" s="24"/>
    </row>
    <row r="541" ht="15.75" customHeight="1">
      <c r="D541" s="762"/>
      <c r="E541" s="24"/>
    </row>
    <row r="542" ht="15.75" customHeight="1">
      <c r="D542" s="762"/>
      <c r="E542" s="24"/>
    </row>
    <row r="543" ht="15.75" customHeight="1">
      <c r="D543" s="762"/>
      <c r="E543" s="24"/>
    </row>
    <row r="544" ht="15.75" customHeight="1">
      <c r="D544" s="762"/>
      <c r="E544" s="24"/>
    </row>
    <row r="545" ht="15.75" customHeight="1">
      <c r="D545" s="762"/>
      <c r="E545" s="24"/>
    </row>
    <row r="546" ht="15.75" customHeight="1">
      <c r="D546" s="762"/>
      <c r="E546" s="24"/>
    </row>
    <row r="547" ht="15.75" customHeight="1">
      <c r="D547" s="762"/>
      <c r="E547" s="24"/>
    </row>
    <row r="548" ht="15.75" customHeight="1">
      <c r="D548" s="762"/>
      <c r="E548" s="24"/>
    </row>
    <row r="549" ht="15.75" customHeight="1">
      <c r="D549" s="762"/>
      <c r="E549" s="24"/>
    </row>
    <row r="550" ht="15.75" customHeight="1">
      <c r="D550" s="762"/>
      <c r="E550" s="24"/>
    </row>
    <row r="551" ht="15.75" customHeight="1">
      <c r="D551" s="762"/>
      <c r="E551" s="24"/>
    </row>
    <row r="552" ht="15.75" customHeight="1">
      <c r="D552" s="762"/>
      <c r="E552" s="24"/>
    </row>
    <row r="553" ht="15.75" customHeight="1">
      <c r="D553" s="762"/>
      <c r="E553" s="24"/>
    </row>
    <row r="554" ht="15.75" customHeight="1">
      <c r="D554" s="762"/>
      <c r="E554" s="24"/>
    </row>
    <row r="555" ht="15.75" customHeight="1">
      <c r="D555" s="762"/>
      <c r="E555" s="24"/>
    </row>
    <row r="556" ht="15.75" customHeight="1">
      <c r="D556" s="762"/>
      <c r="E556" s="24"/>
    </row>
    <row r="557" ht="15.75" customHeight="1">
      <c r="D557" s="762"/>
      <c r="E557" s="24"/>
    </row>
    <row r="558" ht="15.75" customHeight="1">
      <c r="D558" s="762"/>
      <c r="E558" s="24"/>
    </row>
    <row r="559" ht="15.75" customHeight="1">
      <c r="D559" s="762"/>
      <c r="E559" s="24"/>
    </row>
    <row r="560" ht="15.75" customHeight="1">
      <c r="D560" s="762"/>
      <c r="E560" s="24"/>
    </row>
    <row r="561" ht="15.75" customHeight="1">
      <c r="D561" s="762"/>
      <c r="E561" s="24"/>
    </row>
    <row r="562" ht="15.75" customHeight="1">
      <c r="D562" s="762"/>
      <c r="E562" s="24"/>
    </row>
    <row r="563" ht="15.75" customHeight="1">
      <c r="D563" s="762"/>
      <c r="E563" s="24"/>
    </row>
    <row r="564" ht="15.75" customHeight="1">
      <c r="D564" s="762"/>
      <c r="E564" s="24"/>
    </row>
    <row r="565" ht="15.75" customHeight="1">
      <c r="D565" s="762"/>
      <c r="E565" s="24"/>
    </row>
    <row r="566" ht="15.75" customHeight="1">
      <c r="D566" s="762"/>
      <c r="E566" s="24"/>
    </row>
    <row r="567" ht="15.75" customHeight="1">
      <c r="D567" s="762"/>
      <c r="E567" s="24"/>
    </row>
    <row r="568" ht="15.75" customHeight="1">
      <c r="D568" s="762"/>
      <c r="E568" s="24"/>
    </row>
    <row r="569" ht="15.75" customHeight="1">
      <c r="D569" s="762"/>
      <c r="E569" s="24"/>
    </row>
    <row r="570" ht="15.75" customHeight="1">
      <c r="D570" s="762"/>
      <c r="E570" s="24"/>
    </row>
    <row r="571" ht="15.75" customHeight="1">
      <c r="D571" s="762"/>
      <c r="E571" s="24"/>
    </row>
    <row r="572" ht="15.75" customHeight="1">
      <c r="D572" s="762"/>
      <c r="E572" s="24"/>
    </row>
    <row r="573" ht="15.75" customHeight="1">
      <c r="D573" s="762"/>
      <c r="E573" s="24"/>
    </row>
    <row r="574" ht="15.75" customHeight="1">
      <c r="D574" s="762"/>
      <c r="E574" s="24"/>
    </row>
    <row r="575" ht="15.75" customHeight="1">
      <c r="D575" s="762"/>
      <c r="E575" s="24"/>
    </row>
    <row r="576" ht="15.75" customHeight="1">
      <c r="D576" s="762"/>
      <c r="E576" s="24"/>
    </row>
    <row r="577" ht="15.75" customHeight="1">
      <c r="D577" s="762"/>
      <c r="E577" s="24"/>
    </row>
    <row r="578" ht="15.75" customHeight="1">
      <c r="D578" s="762"/>
      <c r="E578" s="24"/>
    </row>
    <row r="579" ht="15.75" customHeight="1">
      <c r="D579" s="762"/>
      <c r="E579" s="24"/>
    </row>
    <row r="580" ht="15.75" customHeight="1">
      <c r="D580" s="762"/>
      <c r="E580" s="24"/>
    </row>
    <row r="581" ht="15.75" customHeight="1">
      <c r="D581" s="762"/>
      <c r="E581" s="24"/>
    </row>
    <row r="582" ht="15.75" customHeight="1">
      <c r="D582" s="762"/>
      <c r="E582" s="24"/>
    </row>
    <row r="583" ht="15.75" customHeight="1">
      <c r="D583" s="762"/>
      <c r="E583" s="24"/>
    </row>
    <row r="584" ht="15.75" customHeight="1">
      <c r="D584" s="762"/>
      <c r="E584" s="24"/>
    </row>
    <row r="585" ht="15.75" customHeight="1">
      <c r="D585" s="762"/>
      <c r="E585" s="24"/>
    </row>
    <row r="586" ht="15.75" customHeight="1">
      <c r="D586" s="762"/>
      <c r="E586" s="24"/>
    </row>
    <row r="587" ht="15.75" customHeight="1">
      <c r="D587" s="762"/>
      <c r="E587" s="24"/>
    </row>
    <row r="588" ht="15.75" customHeight="1">
      <c r="D588" s="762"/>
      <c r="E588" s="24"/>
    </row>
    <row r="589" ht="15.75" customHeight="1">
      <c r="D589" s="762"/>
      <c r="E589" s="24"/>
    </row>
    <row r="590" ht="15.75" customHeight="1">
      <c r="D590" s="762"/>
      <c r="E590" s="24"/>
    </row>
    <row r="591" ht="15.75" customHeight="1">
      <c r="D591" s="762"/>
      <c r="E591" s="24"/>
    </row>
    <row r="592" ht="15.75" customHeight="1">
      <c r="D592" s="762"/>
      <c r="E592" s="24"/>
    </row>
    <row r="593" ht="15.75" customHeight="1">
      <c r="D593" s="762"/>
      <c r="E593" s="24"/>
    </row>
    <row r="594" ht="15.75" customHeight="1">
      <c r="D594" s="762"/>
      <c r="E594" s="24"/>
    </row>
    <row r="595" ht="15.75" customHeight="1">
      <c r="D595" s="762"/>
      <c r="E595" s="24"/>
    </row>
    <row r="596" ht="15.75" customHeight="1">
      <c r="D596" s="762"/>
      <c r="E596" s="24"/>
    </row>
    <row r="597" ht="15.75" customHeight="1">
      <c r="D597" s="762"/>
      <c r="E597" s="24"/>
    </row>
    <row r="598" ht="15.75" customHeight="1">
      <c r="D598" s="762"/>
      <c r="E598" s="24"/>
    </row>
    <row r="599" ht="15.75" customHeight="1">
      <c r="D599" s="762"/>
      <c r="E599" s="24"/>
    </row>
    <row r="600" ht="15.75" customHeight="1">
      <c r="D600" s="762"/>
      <c r="E600" s="24"/>
    </row>
    <row r="601" ht="15.75" customHeight="1">
      <c r="D601" s="762"/>
      <c r="E601" s="24"/>
    </row>
    <row r="602" ht="15.75" customHeight="1">
      <c r="D602" s="762"/>
      <c r="E602" s="24"/>
    </row>
    <row r="603" ht="15.75" customHeight="1">
      <c r="D603" s="762"/>
      <c r="E603" s="24"/>
    </row>
    <row r="604" ht="15.75" customHeight="1">
      <c r="D604" s="762"/>
      <c r="E604" s="24"/>
    </row>
    <row r="605" ht="15.75" customHeight="1">
      <c r="D605" s="762"/>
      <c r="E605" s="24"/>
    </row>
    <row r="606" ht="15.75" customHeight="1">
      <c r="D606" s="762"/>
      <c r="E606" s="24"/>
    </row>
    <row r="607" ht="15.75" customHeight="1">
      <c r="D607" s="762"/>
      <c r="E607" s="24"/>
    </row>
    <row r="608" ht="15.75" customHeight="1">
      <c r="D608" s="762"/>
      <c r="E608" s="24"/>
    </row>
    <row r="609" ht="15.75" customHeight="1">
      <c r="D609" s="762"/>
      <c r="E609" s="24"/>
    </row>
    <row r="610" ht="15.75" customHeight="1">
      <c r="D610" s="762"/>
      <c r="E610" s="24"/>
    </row>
    <row r="611" ht="15.75" customHeight="1">
      <c r="D611" s="762"/>
      <c r="E611" s="24"/>
    </row>
    <row r="612" ht="15.75" customHeight="1">
      <c r="D612" s="762"/>
      <c r="E612" s="24"/>
    </row>
    <row r="613" ht="15.75" customHeight="1">
      <c r="D613" s="762"/>
      <c r="E613" s="24"/>
    </row>
    <row r="614" ht="15.75" customHeight="1">
      <c r="D614" s="762"/>
      <c r="E614" s="24"/>
    </row>
    <row r="615" ht="15.75" customHeight="1">
      <c r="D615" s="762"/>
      <c r="E615" s="24"/>
    </row>
    <row r="616" ht="15.75" customHeight="1">
      <c r="D616" s="762"/>
      <c r="E616" s="24"/>
    </row>
    <row r="617" ht="15.75" customHeight="1">
      <c r="D617" s="762"/>
      <c r="E617" s="24"/>
    </row>
    <row r="618" ht="15.75" customHeight="1">
      <c r="D618" s="762"/>
      <c r="E618" s="24"/>
    </row>
    <row r="619" ht="15.75" customHeight="1">
      <c r="D619" s="762"/>
      <c r="E619" s="24"/>
    </row>
    <row r="620" ht="15.75" customHeight="1">
      <c r="D620" s="762"/>
      <c r="E620" s="24"/>
    </row>
    <row r="621" ht="15.75" customHeight="1">
      <c r="D621" s="762"/>
      <c r="E621" s="24"/>
    </row>
    <row r="622" ht="15.75" customHeight="1">
      <c r="D622" s="762"/>
      <c r="E622" s="24"/>
    </row>
    <row r="623" ht="15.75" customHeight="1">
      <c r="D623" s="762"/>
      <c r="E623" s="24"/>
    </row>
    <row r="624" ht="15.75" customHeight="1">
      <c r="D624" s="762"/>
      <c r="E624" s="24"/>
    </row>
    <row r="625" ht="15.75" customHeight="1">
      <c r="D625" s="762"/>
      <c r="E625" s="24"/>
    </row>
    <row r="626" ht="15.75" customHeight="1">
      <c r="D626" s="762"/>
      <c r="E626" s="24"/>
    </row>
    <row r="627" ht="15.75" customHeight="1">
      <c r="D627" s="762"/>
      <c r="E627" s="24"/>
    </row>
    <row r="628" ht="15.75" customHeight="1">
      <c r="D628" s="762"/>
      <c r="E628" s="24"/>
    </row>
    <row r="629" ht="15.75" customHeight="1">
      <c r="D629" s="762"/>
      <c r="E629" s="24"/>
    </row>
    <row r="630" ht="15.75" customHeight="1">
      <c r="D630" s="762"/>
      <c r="E630" s="24"/>
    </row>
    <row r="631" ht="15.75" customHeight="1">
      <c r="D631" s="762"/>
      <c r="E631" s="24"/>
    </row>
    <row r="632" ht="15.75" customHeight="1">
      <c r="D632" s="762"/>
      <c r="E632" s="24"/>
    </row>
    <row r="633" ht="15.75" customHeight="1">
      <c r="D633" s="762"/>
      <c r="E633" s="24"/>
    </row>
    <row r="634" ht="15.75" customHeight="1">
      <c r="D634" s="762"/>
      <c r="E634" s="24"/>
    </row>
    <row r="635" ht="15.75" customHeight="1">
      <c r="D635" s="762"/>
      <c r="E635" s="24"/>
    </row>
    <row r="636" ht="15.75" customHeight="1">
      <c r="D636" s="762"/>
      <c r="E636" s="24"/>
    </row>
    <row r="637" ht="15.75" customHeight="1">
      <c r="D637" s="762"/>
      <c r="E637" s="24"/>
    </row>
    <row r="638" ht="15.75" customHeight="1">
      <c r="D638" s="762"/>
      <c r="E638" s="24"/>
    </row>
    <row r="639" ht="15.75" customHeight="1">
      <c r="D639" s="762"/>
      <c r="E639" s="24"/>
    </row>
    <row r="640" ht="15.75" customHeight="1">
      <c r="D640" s="762"/>
      <c r="E640" s="24"/>
    </row>
    <row r="641" ht="15.75" customHeight="1">
      <c r="D641" s="762"/>
      <c r="E641" s="24"/>
    </row>
    <row r="642" ht="15.75" customHeight="1">
      <c r="D642" s="762"/>
      <c r="E642" s="24"/>
    </row>
    <row r="643" ht="15.75" customHeight="1">
      <c r="D643" s="762"/>
      <c r="E643" s="24"/>
    </row>
    <row r="644" ht="15.75" customHeight="1">
      <c r="D644" s="762"/>
      <c r="E644" s="24"/>
    </row>
    <row r="645" ht="15.75" customHeight="1">
      <c r="D645" s="762"/>
      <c r="E645" s="24"/>
    </row>
    <row r="646" ht="15.75" customHeight="1">
      <c r="D646" s="762"/>
      <c r="E646" s="24"/>
    </row>
    <row r="647" ht="15.75" customHeight="1">
      <c r="D647" s="762"/>
      <c r="E647" s="24"/>
    </row>
    <row r="648" ht="15.75" customHeight="1">
      <c r="D648" s="762"/>
      <c r="E648" s="24"/>
    </row>
    <row r="649" ht="15.75" customHeight="1">
      <c r="D649" s="762"/>
      <c r="E649" s="24"/>
    </row>
    <row r="650" ht="15.75" customHeight="1">
      <c r="D650" s="762"/>
      <c r="E650" s="24"/>
    </row>
    <row r="651" ht="15.75" customHeight="1">
      <c r="D651" s="762"/>
      <c r="E651" s="24"/>
    </row>
    <row r="652" ht="15.75" customHeight="1">
      <c r="D652" s="762"/>
      <c r="E652" s="24"/>
    </row>
    <row r="653" ht="15.75" customHeight="1">
      <c r="D653" s="762"/>
      <c r="E653" s="24"/>
    </row>
    <row r="654" ht="15.75" customHeight="1">
      <c r="D654" s="762"/>
      <c r="E654" s="24"/>
    </row>
    <row r="655" ht="15.75" customHeight="1">
      <c r="D655" s="762"/>
      <c r="E655" s="24"/>
    </row>
    <row r="656" ht="15.75" customHeight="1">
      <c r="D656" s="762"/>
      <c r="E656" s="24"/>
    </row>
    <row r="657" ht="15.75" customHeight="1">
      <c r="D657" s="762"/>
      <c r="E657" s="24"/>
    </row>
    <row r="658" ht="15.75" customHeight="1">
      <c r="D658" s="762"/>
      <c r="E658" s="24"/>
    </row>
    <row r="659" ht="15.75" customHeight="1">
      <c r="D659" s="762"/>
      <c r="E659" s="24"/>
    </row>
    <row r="660" ht="15.75" customHeight="1">
      <c r="D660" s="762"/>
      <c r="E660" s="24"/>
    </row>
    <row r="661" ht="15.75" customHeight="1">
      <c r="D661" s="762"/>
      <c r="E661" s="24"/>
    </row>
    <row r="662" ht="15.75" customHeight="1">
      <c r="D662" s="762"/>
      <c r="E662" s="24"/>
    </row>
    <row r="663" ht="15.75" customHeight="1">
      <c r="D663" s="762"/>
      <c r="E663" s="24"/>
    </row>
    <row r="664" ht="15.75" customHeight="1">
      <c r="D664" s="762"/>
      <c r="E664" s="24"/>
    </row>
    <row r="665" ht="15.75" customHeight="1">
      <c r="D665" s="762"/>
      <c r="E665" s="24"/>
    </row>
    <row r="666" ht="15.75" customHeight="1">
      <c r="D666" s="762"/>
      <c r="E666" s="24"/>
    </row>
    <row r="667" ht="15.75" customHeight="1">
      <c r="D667" s="762"/>
      <c r="E667" s="24"/>
    </row>
    <row r="668" ht="15.75" customHeight="1">
      <c r="D668" s="762"/>
      <c r="E668" s="24"/>
    </row>
    <row r="669" ht="15.75" customHeight="1">
      <c r="D669" s="762"/>
      <c r="E669" s="24"/>
    </row>
    <row r="670" ht="15.75" customHeight="1">
      <c r="D670" s="762"/>
      <c r="E670" s="24"/>
    </row>
    <row r="671" ht="15.75" customHeight="1">
      <c r="D671" s="762"/>
      <c r="E671" s="24"/>
    </row>
    <row r="672" ht="15.75" customHeight="1">
      <c r="D672" s="762"/>
      <c r="E672" s="24"/>
    </row>
    <row r="673" ht="15.75" customHeight="1">
      <c r="D673" s="762"/>
      <c r="E673" s="24"/>
    </row>
    <row r="674" ht="15.75" customHeight="1">
      <c r="D674" s="762"/>
      <c r="E674" s="24"/>
    </row>
    <row r="675" ht="15.75" customHeight="1">
      <c r="D675" s="762"/>
      <c r="E675" s="24"/>
    </row>
    <row r="676" ht="15.75" customHeight="1">
      <c r="D676" s="762"/>
      <c r="E676" s="24"/>
    </row>
    <row r="677" ht="15.75" customHeight="1">
      <c r="D677" s="762"/>
      <c r="E677" s="24"/>
    </row>
    <row r="678" ht="15.75" customHeight="1">
      <c r="D678" s="762"/>
      <c r="E678" s="24"/>
    </row>
    <row r="679" ht="15.75" customHeight="1">
      <c r="D679" s="762"/>
      <c r="E679" s="24"/>
    </row>
    <row r="680" ht="15.75" customHeight="1">
      <c r="D680" s="762"/>
      <c r="E680" s="24"/>
    </row>
    <row r="681" ht="15.75" customHeight="1">
      <c r="D681" s="762"/>
      <c r="E681" s="24"/>
    </row>
    <row r="682" ht="15.75" customHeight="1">
      <c r="D682" s="762"/>
      <c r="E682" s="24"/>
    </row>
    <row r="683" ht="15.75" customHeight="1">
      <c r="D683" s="762"/>
      <c r="E683" s="24"/>
    </row>
    <row r="684" ht="15.75" customHeight="1">
      <c r="D684" s="762"/>
      <c r="E684" s="24"/>
    </row>
    <row r="685" ht="15.75" customHeight="1">
      <c r="D685" s="762"/>
      <c r="E685" s="24"/>
    </row>
    <row r="686" ht="15.75" customHeight="1">
      <c r="D686" s="762"/>
      <c r="E686" s="24"/>
    </row>
    <row r="687" ht="15.75" customHeight="1">
      <c r="D687" s="762"/>
      <c r="E687" s="24"/>
    </row>
    <row r="688" ht="15.75" customHeight="1">
      <c r="D688" s="762"/>
      <c r="E688" s="24"/>
    </row>
    <row r="689" ht="15.75" customHeight="1">
      <c r="D689" s="762"/>
      <c r="E689" s="24"/>
    </row>
    <row r="690" ht="15.75" customHeight="1">
      <c r="D690" s="762"/>
      <c r="E690" s="24"/>
    </row>
    <row r="691" ht="15.75" customHeight="1">
      <c r="D691" s="762"/>
      <c r="E691" s="24"/>
    </row>
    <row r="692" ht="15.75" customHeight="1">
      <c r="D692" s="762"/>
      <c r="E692" s="24"/>
    </row>
    <row r="693" ht="15.75" customHeight="1">
      <c r="D693" s="762"/>
      <c r="E693" s="24"/>
    </row>
    <row r="694" ht="15.75" customHeight="1">
      <c r="D694" s="762"/>
      <c r="E694" s="24"/>
    </row>
    <row r="695" ht="15.75" customHeight="1">
      <c r="D695" s="762"/>
      <c r="E695" s="24"/>
    </row>
    <row r="696" ht="15.75" customHeight="1">
      <c r="D696" s="762"/>
      <c r="E696" s="24"/>
    </row>
    <row r="697" ht="15.75" customHeight="1">
      <c r="D697" s="762"/>
      <c r="E697" s="24"/>
    </row>
    <row r="698" ht="15.75" customHeight="1">
      <c r="D698" s="762"/>
      <c r="E698" s="24"/>
    </row>
    <row r="699" ht="15.75" customHeight="1">
      <c r="D699" s="762"/>
      <c r="E699" s="24"/>
    </row>
    <row r="700" ht="15.75" customHeight="1">
      <c r="D700" s="762"/>
      <c r="E700" s="24"/>
    </row>
    <row r="701" ht="15.75" customHeight="1">
      <c r="D701" s="762"/>
      <c r="E701" s="24"/>
    </row>
    <row r="702" ht="15.75" customHeight="1">
      <c r="D702" s="762"/>
      <c r="E702" s="24"/>
    </row>
    <row r="703" ht="15.75" customHeight="1">
      <c r="D703" s="762"/>
      <c r="E703" s="24"/>
    </row>
    <row r="704" ht="15.75" customHeight="1">
      <c r="D704" s="762"/>
      <c r="E704" s="24"/>
    </row>
    <row r="705" ht="15.75" customHeight="1">
      <c r="D705" s="762"/>
      <c r="E705" s="24"/>
    </row>
    <row r="706" ht="15.75" customHeight="1">
      <c r="D706" s="762"/>
      <c r="E706" s="24"/>
    </row>
    <row r="707" ht="15.75" customHeight="1">
      <c r="D707" s="762"/>
      <c r="E707" s="24"/>
    </row>
    <row r="708" ht="15.75" customHeight="1">
      <c r="D708" s="762"/>
      <c r="E708" s="24"/>
    </row>
    <row r="709" ht="15.75" customHeight="1">
      <c r="D709" s="762"/>
      <c r="E709" s="24"/>
    </row>
    <row r="710" ht="15.75" customHeight="1">
      <c r="D710" s="762"/>
      <c r="E710" s="24"/>
    </row>
    <row r="711" ht="15.75" customHeight="1">
      <c r="D711" s="762"/>
      <c r="E711" s="24"/>
    </row>
    <row r="712" ht="15.75" customHeight="1">
      <c r="D712" s="762"/>
      <c r="E712" s="24"/>
    </row>
    <row r="713" ht="15.75" customHeight="1">
      <c r="D713" s="762"/>
      <c r="E713" s="24"/>
    </row>
    <row r="714" ht="15.75" customHeight="1">
      <c r="D714" s="762"/>
      <c r="E714" s="24"/>
    </row>
    <row r="715" ht="15.75" customHeight="1">
      <c r="D715" s="762"/>
      <c r="E715" s="24"/>
    </row>
    <row r="716" ht="15.75" customHeight="1">
      <c r="D716" s="762"/>
      <c r="E716" s="24"/>
    </row>
    <row r="717" ht="15.75" customHeight="1">
      <c r="D717" s="762"/>
      <c r="E717" s="24"/>
    </row>
    <row r="718" ht="15.75" customHeight="1">
      <c r="D718" s="762"/>
      <c r="E718" s="24"/>
    </row>
    <row r="719" ht="15.75" customHeight="1">
      <c r="D719" s="762"/>
      <c r="E719" s="24"/>
    </row>
    <row r="720" ht="15.75" customHeight="1">
      <c r="D720" s="762"/>
      <c r="E720" s="24"/>
    </row>
    <row r="721" ht="15.75" customHeight="1">
      <c r="D721" s="762"/>
      <c r="E721" s="24"/>
    </row>
    <row r="722" ht="15.75" customHeight="1">
      <c r="D722" s="762"/>
      <c r="E722" s="24"/>
    </row>
    <row r="723" ht="15.75" customHeight="1">
      <c r="D723" s="762"/>
      <c r="E723" s="24"/>
    </row>
    <row r="724" ht="15.75" customHeight="1">
      <c r="D724" s="762"/>
      <c r="E724" s="24"/>
    </row>
    <row r="725" ht="15.75" customHeight="1">
      <c r="D725" s="762"/>
      <c r="E725" s="24"/>
    </row>
    <row r="726" ht="15.75" customHeight="1">
      <c r="D726" s="762"/>
      <c r="E726" s="24"/>
    </row>
    <row r="727" ht="15.75" customHeight="1">
      <c r="D727" s="762"/>
      <c r="E727" s="24"/>
    </row>
    <row r="728" ht="15.75" customHeight="1">
      <c r="D728" s="762"/>
      <c r="E728" s="24"/>
    </row>
    <row r="729" ht="15.75" customHeight="1">
      <c r="D729" s="762"/>
      <c r="E729" s="24"/>
    </row>
    <row r="730" ht="15.75" customHeight="1">
      <c r="D730" s="762"/>
      <c r="E730" s="24"/>
    </row>
    <row r="731" ht="15.75" customHeight="1">
      <c r="D731" s="762"/>
      <c r="E731" s="24"/>
    </row>
    <row r="732" ht="15.75" customHeight="1">
      <c r="D732" s="762"/>
      <c r="E732" s="24"/>
    </row>
    <row r="733" ht="15.75" customHeight="1">
      <c r="D733" s="762"/>
      <c r="E733" s="24"/>
    </row>
    <row r="734" ht="15.75" customHeight="1">
      <c r="D734" s="762"/>
      <c r="E734" s="24"/>
    </row>
    <row r="735" ht="15.75" customHeight="1">
      <c r="D735" s="762"/>
      <c r="E735" s="24"/>
    </row>
    <row r="736" ht="15.75" customHeight="1">
      <c r="D736" s="762"/>
      <c r="E736" s="24"/>
    </row>
    <row r="737" ht="15.75" customHeight="1">
      <c r="D737" s="762"/>
      <c r="E737" s="24"/>
    </row>
    <row r="738" ht="15.75" customHeight="1">
      <c r="D738" s="762"/>
      <c r="E738" s="24"/>
    </row>
    <row r="739" ht="15.75" customHeight="1">
      <c r="D739" s="762"/>
      <c r="E739" s="24"/>
    </row>
    <row r="740" ht="15.75" customHeight="1">
      <c r="D740" s="762"/>
      <c r="E740" s="24"/>
    </row>
    <row r="741" ht="15.75" customHeight="1">
      <c r="D741" s="762"/>
      <c r="E741" s="24"/>
    </row>
    <row r="742" ht="15.75" customHeight="1">
      <c r="D742" s="762"/>
      <c r="E742" s="24"/>
    </row>
    <row r="743" ht="15.75" customHeight="1">
      <c r="D743" s="762"/>
      <c r="E743" s="24"/>
    </row>
    <row r="744" ht="15.75" customHeight="1">
      <c r="D744" s="762"/>
      <c r="E744" s="24"/>
    </row>
    <row r="745" ht="15.75" customHeight="1">
      <c r="D745" s="762"/>
      <c r="E745" s="24"/>
    </row>
    <row r="746" ht="15.75" customHeight="1">
      <c r="D746" s="762"/>
      <c r="E746" s="24"/>
    </row>
    <row r="747" ht="15.75" customHeight="1">
      <c r="D747" s="762"/>
      <c r="E747" s="24"/>
    </row>
    <row r="748" ht="15.75" customHeight="1">
      <c r="D748" s="762"/>
      <c r="E748" s="24"/>
    </row>
    <row r="749" ht="15.75" customHeight="1">
      <c r="D749" s="762"/>
      <c r="E749" s="24"/>
    </row>
    <row r="750" ht="15.75" customHeight="1">
      <c r="D750" s="762"/>
      <c r="E750" s="24"/>
    </row>
    <row r="751" ht="15.75" customHeight="1">
      <c r="D751" s="762"/>
      <c r="E751" s="24"/>
    </row>
    <row r="752" ht="15.75" customHeight="1">
      <c r="D752" s="762"/>
      <c r="E752" s="24"/>
    </row>
    <row r="753" ht="15.75" customHeight="1">
      <c r="D753" s="762"/>
      <c r="E753" s="24"/>
    </row>
    <row r="754" ht="15.75" customHeight="1">
      <c r="D754" s="762"/>
      <c r="E754" s="24"/>
    </row>
    <row r="755" ht="15.75" customHeight="1">
      <c r="D755" s="762"/>
      <c r="E755" s="24"/>
    </row>
    <row r="756" ht="15.75" customHeight="1">
      <c r="D756" s="762"/>
      <c r="E756" s="24"/>
    </row>
    <row r="757" ht="15.75" customHeight="1">
      <c r="D757" s="762"/>
      <c r="E757" s="24"/>
    </row>
    <row r="758" ht="15.75" customHeight="1">
      <c r="D758" s="762"/>
      <c r="E758" s="24"/>
    </row>
    <row r="759" ht="15.75" customHeight="1">
      <c r="D759" s="762"/>
      <c r="E759" s="24"/>
    </row>
    <row r="760" ht="15.75" customHeight="1">
      <c r="D760" s="762"/>
      <c r="E760" s="24"/>
    </row>
    <row r="761" ht="15.75" customHeight="1">
      <c r="D761" s="762"/>
      <c r="E761" s="24"/>
    </row>
    <row r="762" ht="15.75" customHeight="1">
      <c r="D762" s="762"/>
      <c r="E762" s="24"/>
    </row>
    <row r="763" ht="15.75" customHeight="1">
      <c r="D763" s="762"/>
      <c r="E763" s="24"/>
    </row>
    <row r="764" ht="15.75" customHeight="1">
      <c r="D764" s="762"/>
      <c r="E764" s="24"/>
    </row>
    <row r="765" ht="15.75" customHeight="1">
      <c r="D765" s="762"/>
      <c r="E765" s="24"/>
    </row>
    <row r="766" ht="15.75" customHeight="1">
      <c r="D766" s="762"/>
      <c r="E766" s="24"/>
    </row>
    <row r="767" ht="15.75" customHeight="1">
      <c r="D767" s="762"/>
      <c r="E767" s="24"/>
    </row>
    <row r="768" ht="15.75" customHeight="1">
      <c r="D768" s="762"/>
      <c r="E768" s="24"/>
    </row>
    <row r="769" ht="15.75" customHeight="1">
      <c r="D769" s="762"/>
      <c r="E769" s="24"/>
    </row>
    <row r="770" ht="15.75" customHeight="1">
      <c r="D770" s="762"/>
      <c r="E770" s="24"/>
    </row>
    <row r="771" ht="15.75" customHeight="1">
      <c r="D771" s="762"/>
      <c r="E771" s="24"/>
    </row>
    <row r="772" ht="15.75" customHeight="1">
      <c r="D772" s="762"/>
      <c r="E772" s="24"/>
    </row>
    <row r="773" ht="15.75" customHeight="1">
      <c r="D773" s="762"/>
      <c r="E773" s="24"/>
    </row>
    <row r="774" ht="15.75" customHeight="1">
      <c r="D774" s="762"/>
      <c r="E774" s="24"/>
    </row>
    <row r="775" ht="15.75" customHeight="1">
      <c r="D775" s="762"/>
      <c r="E775" s="24"/>
    </row>
    <row r="776" ht="15.75" customHeight="1">
      <c r="D776" s="762"/>
      <c r="E776" s="24"/>
    </row>
    <row r="777" ht="15.75" customHeight="1">
      <c r="D777" s="762"/>
      <c r="E777" s="24"/>
    </row>
    <row r="778" ht="15.75" customHeight="1">
      <c r="D778" s="762"/>
      <c r="E778" s="24"/>
    </row>
    <row r="779" ht="15.75" customHeight="1">
      <c r="D779" s="762"/>
      <c r="E779" s="24"/>
    </row>
    <row r="780" ht="15.75" customHeight="1">
      <c r="D780" s="762"/>
      <c r="E780" s="24"/>
    </row>
    <row r="781" ht="15.75" customHeight="1">
      <c r="D781" s="762"/>
      <c r="E781" s="24"/>
    </row>
    <row r="782" ht="15.75" customHeight="1">
      <c r="D782" s="762"/>
      <c r="E782" s="24"/>
    </row>
    <row r="783" ht="15.75" customHeight="1">
      <c r="D783" s="762"/>
      <c r="E783" s="24"/>
    </row>
    <row r="784" ht="15.75" customHeight="1">
      <c r="D784" s="762"/>
      <c r="E784" s="24"/>
    </row>
    <row r="785" ht="15.75" customHeight="1">
      <c r="D785" s="762"/>
      <c r="E785" s="24"/>
    </row>
    <row r="786" ht="15.75" customHeight="1">
      <c r="D786" s="762"/>
      <c r="E786" s="24"/>
    </row>
    <row r="787" ht="15.75" customHeight="1">
      <c r="D787" s="762"/>
      <c r="E787" s="24"/>
    </row>
    <row r="788" ht="15.75" customHeight="1">
      <c r="D788" s="762"/>
      <c r="E788" s="24"/>
    </row>
    <row r="789" ht="15.75" customHeight="1">
      <c r="D789" s="762"/>
      <c r="E789" s="24"/>
    </row>
    <row r="790" ht="15.75" customHeight="1">
      <c r="D790" s="762"/>
      <c r="E790" s="24"/>
    </row>
    <row r="791" ht="15.75" customHeight="1">
      <c r="D791" s="762"/>
      <c r="E791" s="24"/>
    </row>
    <row r="792" ht="15.75" customHeight="1">
      <c r="D792" s="762"/>
      <c r="E792" s="24"/>
    </row>
    <row r="793" ht="15.75" customHeight="1">
      <c r="D793" s="762"/>
      <c r="E793" s="24"/>
    </row>
    <row r="794" ht="15.75" customHeight="1">
      <c r="D794" s="762"/>
      <c r="E794" s="24"/>
    </row>
    <row r="795" ht="15.75" customHeight="1">
      <c r="D795" s="762"/>
      <c r="E795" s="24"/>
    </row>
    <row r="796" ht="15.75" customHeight="1">
      <c r="D796" s="762"/>
      <c r="E796" s="24"/>
    </row>
    <row r="797" ht="15.75" customHeight="1">
      <c r="D797" s="762"/>
      <c r="E797" s="24"/>
    </row>
    <row r="798" ht="15.75" customHeight="1">
      <c r="D798" s="762"/>
      <c r="E798" s="24"/>
    </row>
    <row r="799" ht="15.75" customHeight="1">
      <c r="D799" s="762"/>
      <c r="E799" s="24"/>
    </row>
    <row r="800" ht="15.75" customHeight="1">
      <c r="D800" s="762"/>
      <c r="E800" s="24"/>
    </row>
    <row r="801" ht="15.75" customHeight="1">
      <c r="D801" s="762"/>
      <c r="E801" s="24"/>
    </row>
    <row r="802" ht="15.75" customHeight="1">
      <c r="D802" s="762"/>
      <c r="E802" s="24"/>
    </row>
    <row r="803" ht="15.75" customHeight="1">
      <c r="D803" s="762"/>
      <c r="E803" s="24"/>
    </row>
    <row r="804" ht="15.75" customHeight="1">
      <c r="D804" s="762"/>
      <c r="E804" s="24"/>
    </row>
    <row r="805" ht="15.75" customHeight="1">
      <c r="D805" s="762"/>
      <c r="E805" s="24"/>
    </row>
    <row r="806" ht="15.75" customHeight="1">
      <c r="D806" s="762"/>
      <c r="E806" s="24"/>
    </row>
    <row r="807" ht="15.75" customHeight="1">
      <c r="D807" s="762"/>
      <c r="E807" s="24"/>
    </row>
    <row r="808" ht="15.75" customHeight="1">
      <c r="D808" s="762"/>
      <c r="E808" s="24"/>
    </row>
    <row r="809" ht="15.75" customHeight="1">
      <c r="D809" s="762"/>
      <c r="E809" s="24"/>
    </row>
    <row r="810" ht="15.75" customHeight="1">
      <c r="D810" s="762"/>
      <c r="E810" s="24"/>
    </row>
    <row r="811" ht="15.75" customHeight="1">
      <c r="D811" s="762"/>
      <c r="E811" s="24"/>
    </row>
    <row r="812" ht="15.75" customHeight="1">
      <c r="D812" s="762"/>
      <c r="E812" s="24"/>
    </row>
    <row r="813" ht="15.75" customHeight="1">
      <c r="D813" s="762"/>
      <c r="E813" s="24"/>
    </row>
    <row r="814" ht="15.75" customHeight="1">
      <c r="D814" s="762"/>
      <c r="E814" s="24"/>
    </row>
    <row r="815" ht="15.75" customHeight="1">
      <c r="D815" s="762"/>
      <c r="E815" s="24"/>
    </row>
    <row r="816" ht="15.75" customHeight="1">
      <c r="D816" s="762"/>
      <c r="E816" s="24"/>
    </row>
    <row r="817" ht="15.75" customHeight="1">
      <c r="D817" s="762"/>
      <c r="E817" s="24"/>
    </row>
    <row r="818" ht="15.75" customHeight="1">
      <c r="D818" s="762"/>
      <c r="E818" s="24"/>
    </row>
    <row r="819" ht="15.75" customHeight="1">
      <c r="D819" s="762"/>
      <c r="E819" s="24"/>
    </row>
    <row r="820" ht="15.75" customHeight="1">
      <c r="D820" s="762"/>
      <c r="E820" s="24"/>
    </row>
    <row r="821" ht="15.75" customHeight="1">
      <c r="D821" s="762"/>
      <c r="E821" s="24"/>
    </row>
    <row r="822" ht="15.75" customHeight="1">
      <c r="D822" s="762"/>
      <c r="E822" s="24"/>
    </row>
    <row r="823" ht="15.75" customHeight="1">
      <c r="D823" s="762"/>
      <c r="E823" s="24"/>
    </row>
    <row r="824" ht="15.75" customHeight="1">
      <c r="D824" s="762"/>
      <c r="E824" s="24"/>
    </row>
    <row r="825" ht="15.75" customHeight="1">
      <c r="D825" s="762"/>
      <c r="E825" s="24"/>
    </row>
    <row r="826" ht="15.75" customHeight="1">
      <c r="D826" s="762"/>
      <c r="E826" s="24"/>
    </row>
    <row r="827" ht="15.75" customHeight="1">
      <c r="D827" s="762"/>
      <c r="E827" s="24"/>
    </row>
    <row r="828" ht="15.75" customHeight="1">
      <c r="D828" s="762"/>
      <c r="E828" s="24"/>
    </row>
    <row r="829" ht="15.75" customHeight="1">
      <c r="D829" s="762"/>
      <c r="E829" s="24"/>
    </row>
    <row r="830" ht="15.75" customHeight="1">
      <c r="D830" s="762"/>
      <c r="E830" s="24"/>
    </row>
    <row r="831" ht="15.75" customHeight="1">
      <c r="D831" s="762"/>
      <c r="E831" s="24"/>
    </row>
    <row r="832" ht="15.75" customHeight="1">
      <c r="D832" s="762"/>
      <c r="E832" s="24"/>
    </row>
    <row r="833" ht="15.75" customHeight="1">
      <c r="D833" s="762"/>
      <c r="E833" s="24"/>
    </row>
    <row r="834" ht="15.75" customHeight="1">
      <c r="D834" s="762"/>
      <c r="E834" s="24"/>
    </row>
    <row r="835" ht="15.75" customHeight="1">
      <c r="D835" s="762"/>
      <c r="E835" s="24"/>
    </row>
    <row r="836" ht="15.75" customHeight="1">
      <c r="D836" s="762"/>
      <c r="E836" s="24"/>
    </row>
    <row r="837" ht="15.75" customHeight="1">
      <c r="D837" s="762"/>
      <c r="E837" s="24"/>
    </row>
    <row r="838" ht="15.75" customHeight="1">
      <c r="D838" s="762"/>
      <c r="E838" s="24"/>
    </row>
    <row r="839" ht="15.75" customHeight="1">
      <c r="D839" s="762"/>
      <c r="E839" s="24"/>
    </row>
    <row r="840" ht="15.75" customHeight="1">
      <c r="D840" s="762"/>
      <c r="E840" s="24"/>
    </row>
    <row r="841" ht="15.75" customHeight="1">
      <c r="D841" s="762"/>
      <c r="E841" s="24"/>
    </row>
    <row r="842" ht="15.75" customHeight="1">
      <c r="D842" s="762"/>
      <c r="E842" s="24"/>
    </row>
    <row r="843" ht="15.75" customHeight="1">
      <c r="D843" s="762"/>
      <c r="E843" s="24"/>
    </row>
    <row r="844" ht="15.75" customHeight="1">
      <c r="D844" s="762"/>
      <c r="E844" s="24"/>
    </row>
    <row r="845" ht="15.75" customHeight="1">
      <c r="D845" s="762"/>
      <c r="E845" s="24"/>
    </row>
    <row r="846" ht="15.75" customHeight="1">
      <c r="D846" s="762"/>
      <c r="E846" s="24"/>
    </row>
    <row r="847" ht="15.75" customHeight="1">
      <c r="D847" s="762"/>
      <c r="E847" s="24"/>
    </row>
    <row r="848" ht="15.75" customHeight="1">
      <c r="D848" s="762"/>
      <c r="E848" s="24"/>
    </row>
    <row r="849" ht="15.75" customHeight="1">
      <c r="D849" s="762"/>
      <c r="E849" s="24"/>
    </row>
    <row r="850" ht="15.75" customHeight="1">
      <c r="D850" s="762"/>
      <c r="E850" s="24"/>
    </row>
    <row r="851" ht="15.75" customHeight="1">
      <c r="D851" s="762"/>
      <c r="E851" s="24"/>
    </row>
    <row r="852" ht="15.75" customHeight="1">
      <c r="D852" s="762"/>
      <c r="E852" s="24"/>
    </row>
    <row r="853" ht="15.75" customHeight="1">
      <c r="D853" s="762"/>
      <c r="E853" s="24"/>
    </row>
    <row r="854" ht="15.75" customHeight="1">
      <c r="D854" s="762"/>
      <c r="E854" s="24"/>
    </row>
    <row r="855" ht="15.75" customHeight="1">
      <c r="D855" s="762"/>
      <c r="E855" s="24"/>
    </row>
    <row r="856" ht="15.75" customHeight="1">
      <c r="D856" s="762"/>
      <c r="E856" s="24"/>
    </row>
    <row r="857" ht="15.75" customHeight="1">
      <c r="D857" s="762"/>
      <c r="E857" s="24"/>
    </row>
    <row r="858" ht="15.75" customHeight="1">
      <c r="D858" s="762"/>
      <c r="E858" s="24"/>
    </row>
    <row r="859" ht="15.75" customHeight="1">
      <c r="D859" s="762"/>
      <c r="E859" s="24"/>
    </row>
    <row r="860" ht="15.75" customHeight="1">
      <c r="D860" s="762"/>
      <c r="E860" s="24"/>
    </row>
    <row r="861" ht="15.75" customHeight="1">
      <c r="D861" s="762"/>
      <c r="E861" s="24"/>
    </row>
    <row r="862" ht="15.75" customHeight="1">
      <c r="D862" s="762"/>
      <c r="E862" s="24"/>
    </row>
    <row r="863" ht="15.75" customHeight="1">
      <c r="D863" s="762"/>
      <c r="E863" s="24"/>
    </row>
    <row r="864" ht="15.75" customHeight="1">
      <c r="D864" s="762"/>
      <c r="E864" s="24"/>
    </row>
    <row r="865" ht="15.75" customHeight="1">
      <c r="D865" s="762"/>
      <c r="E865" s="24"/>
    </row>
    <row r="866" ht="15.75" customHeight="1">
      <c r="D866" s="762"/>
      <c r="E866" s="24"/>
    </row>
    <row r="867" ht="15.75" customHeight="1">
      <c r="D867" s="762"/>
      <c r="E867" s="24"/>
    </row>
    <row r="868" ht="15.75" customHeight="1">
      <c r="D868" s="762"/>
      <c r="E868" s="24"/>
    </row>
    <row r="869" ht="15.75" customHeight="1">
      <c r="D869" s="762"/>
      <c r="E869" s="24"/>
    </row>
    <row r="870" ht="15.75" customHeight="1">
      <c r="D870" s="762"/>
      <c r="E870" s="24"/>
    </row>
    <row r="871" ht="15.75" customHeight="1">
      <c r="D871" s="762"/>
      <c r="E871" s="24"/>
    </row>
    <row r="872" ht="15.75" customHeight="1">
      <c r="D872" s="762"/>
      <c r="E872" s="24"/>
    </row>
    <row r="873" ht="15.75" customHeight="1">
      <c r="D873" s="762"/>
      <c r="E873" s="24"/>
    </row>
    <row r="874" ht="15.75" customHeight="1">
      <c r="D874" s="762"/>
      <c r="E874" s="24"/>
    </row>
    <row r="875" ht="15.75" customHeight="1">
      <c r="D875" s="762"/>
      <c r="E875" s="24"/>
    </row>
    <row r="876" ht="15.75" customHeight="1">
      <c r="D876" s="762"/>
      <c r="E876" s="24"/>
    </row>
    <row r="877" ht="15.75" customHeight="1">
      <c r="D877" s="762"/>
      <c r="E877" s="24"/>
    </row>
    <row r="878" ht="15.75" customHeight="1">
      <c r="D878" s="762"/>
      <c r="E878" s="24"/>
    </row>
    <row r="879" ht="15.75" customHeight="1">
      <c r="D879" s="762"/>
      <c r="E879" s="24"/>
    </row>
    <row r="880" ht="15.75" customHeight="1">
      <c r="D880" s="762"/>
      <c r="E880" s="24"/>
    </row>
    <row r="881" ht="15.75" customHeight="1">
      <c r="D881" s="762"/>
      <c r="E881" s="24"/>
    </row>
    <row r="882" ht="15.75" customHeight="1">
      <c r="D882" s="762"/>
      <c r="E882" s="24"/>
    </row>
    <row r="883" ht="15.75" customHeight="1">
      <c r="D883" s="762"/>
      <c r="E883" s="24"/>
    </row>
    <row r="884" ht="15.75" customHeight="1">
      <c r="D884" s="762"/>
      <c r="E884" s="24"/>
    </row>
    <row r="885" ht="15.75" customHeight="1">
      <c r="D885" s="762"/>
      <c r="E885" s="24"/>
    </row>
    <row r="886" ht="15.75" customHeight="1">
      <c r="D886" s="762"/>
      <c r="E886" s="24"/>
    </row>
    <row r="887" ht="15.75" customHeight="1">
      <c r="D887" s="762"/>
      <c r="E887" s="24"/>
    </row>
    <row r="888" ht="15.75" customHeight="1">
      <c r="D888" s="762"/>
      <c r="E888" s="24"/>
    </row>
    <row r="889" ht="15.75" customHeight="1">
      <c r="D889" s="762"/>
      <c r="E889" s="24"/>
    </row>
    <row r="890" ht="15.75" customHeight="1">
      <c r="D890" s="762"/>
      <c r="E890" s="24"/>
    </row>
    <row r="891" ht="15.75" customHeight="1">
      <c r="D891" s="762"/>
      <c r="E891" s="24"/>
    </row>
    <row r="892" ht="15.75" customHeight="1">
      <c r="D892" s="762"/>
      <c r="E892" s="24"/>
    </row>
    <row r="893" ht="15.75" customHeight="1">
      <c r="D893" s="762"/>
      <c r="E893" s="24"/>
    </row>
    <row r="894" ht="15.75" customHeight="1">
      <c r="D894" s="762"/>
      <c r="E894" s="24"/>
    </row>
    <row r="895" ht="15.75" customHeight="1">
      <c r="D895" s="762"/>
      <c r="E895" s="24"/>
    </row>
    <row r="896" ht="15.75" customHeight="1">
      <c r="D896" s="762"/>
      <c r="E896" s="24"/>
    </row>
    <row r="897" ht="15.75" customHeight="1">
      <c r="D897" s="762"/>
      <c r="E897" s="24"/>
    </row>
    <row r="898" ht="15.75" customHeight="1">
      <c r="D898" s="762"/>
      <c r="E898" s="24"/>
    </row>
    <row r="899" ht="15.75" customHeight="1">
      <c r="D899" s="762"/>
      <c r="E899" s="24"/>
    </row>
    <row r="900" ht="15.75" customHeight="1">
      <c r="D900" s="762"/>
      <c r="E900" s="24"/>
    </row>
    <row r="901" ht="15.75" customHeight="1">
      <c r="D901" s="762"/>
      <c r="E901" s="24"/>
    </row>
    <row r="902" ht="15.75" customHeight="1">
      <c r="D902" s="762"/>
      <c r="E902" s="24"/>
    </row>
    <row r="903" ht="15.75" customHeight="1">
      <c r="D903" s="762"/>
      <c r="E903" s="24"/>
    </row>
    <row r="904" ht="15.75" customHeight="1">
      <c r="D904" s="762"/>
      <c r="E904" s="24"/>
    </row>
    <row r="905" ht="15.75" customHeight="1">
      <c r="D905" s="762"/>
      <c r="E905" s="24"/>
    </row>
    <row r="906" ht="15.75" customHeight="1">
      <c r="D906" s="762"/>
      <c r="E906" s="24"/>
    </row>
    <row r="907" ht="15.75" customHeight="1">
      <c r="D907" s="762"/>
      <c r="E907" s="24"/>
    </row>
    <row r="908" ht="15.75" customHeight="1">
      <c r="D908" s="762"/>
      <c r="E908" s="24"/>
    </row>
    <row r="909" ht="15.75" customHeight="1">
      <c r="D909" s="762"/>
      <c r="E909" s="24"/>
    </row>
    <row r="910" ht="15.75" customHeight="1">
      <c r="D910" s="762"/>
      <c r="E910" s="24"/>
    </row>
    <row r="911" ht="15.75" customHeight="1">
      <c r="D911" s="762"/>
      <c r="E911" s="24"/>
    </row>
    <row r="912" ht="15.75" customHeight="1">
      <c r="D912" s="762"/>
      <c r="E912" s="24"/>
    </row>
    <row r="913" ht="15.75" customHeight="1">
      <c r="D913" s="762"/>
      <c r="E913" s="24"/>
    </row>
    <row r="914" ht="15.75" customHeight="1">
      <c r="D914" s="762"/>
      <c r="E914" s="24"/>
    </row>
    <row r="915" ht="15.75" customHeight="1">
      <c r="D915" s="762"/>
      <c r="E915" s="24"/>
    </row>
    <row r="916" ht="15.75" customHeight="1">
      <c r="D916" s="762"/>
      <c r="E916" s="24"/>
    </row>
    <row r="917" ht="15.75" customHeight="1">
      <c r="D917" s="762"/>
      <c r="E917" s="24"/>
    </row>
    <row r="918" ht="15.75" customHeight="1">
      <c r="D918" s="762"/>
      <c r="E918" s="24"/>
    </row>
    <row r="919" ht="15.75" customHeight="1">
      <c r="D919" s="762"/>
      <c r="E919" s="24"/>
    </row>
    <row r="920" ht="15.75" customHeight="1">
      <c r="D920" s="762"/>
      <c r="E920" s="24"/>
    </row>
    <row r="921" ht="15.75" customHeight="1">
      <c r="D921" s="762"/>
      <c r="E921" s="24"/>
    </row>
    <row r="922" ht="15.75" customHeight="1">
      <c r="D922" s="762"/>
      <c r="E922" s="24"/>
    </row>
    <row r="923" ht="15.75" customHeight="1">
      <c r="D923" s="762"/>
      <c r="E923" s="24"/>
    </row>
    <row r="924" ht="15.75" customHeight="1">
      <c r="D924" s="762"/>
      <c r="E924" s="24"/>
    </row>
    <row r="925" ht="15.75" customHeight="1">
      <c r="D925" s="762"/>
      <c r="E925" s="24"/>
    </row>
    <row r="926" ht="15.75" customHeight="1">
      <c r="D926" s="762"/>
      <c r="E926" s="24"/>
    </row>
    <row r="927" ht="15.75" customHeight="1">
      <c r="D927" s="762"/>
      <c r="E927" s="24"/>
    </row>
    <row r="928" ht="15.75" customHeight="1">
      <c r="D928" s="762"/>
      <c r="E928" s="24"/>
    </row>
    <row r="929" ht="15.75" customHeight="1">
      <c r="D929" s="762"/>
      <c r="E929" s="24"/>
    </row>
    <row r="930" ht="15.75" customHeight="1">
      <c r="D930" s="762"/>
      <c r="E930" s="24"/>
    </row>
    <row r="931" ht="15.75" customHeight="1">
      <c r="D931" s="762"/>
      <c r="E931" s="24"/>
    </row>
    <row r="932" ht="15.75" customHeight="1">
      <c r="D932" s="762"/>
      <c r="E932" s="24"/>
    </row>
    <row r="933" ht="15.75" customHeight="1">
      <c r="D933" s="762"/>
      <c r="E933" s="24"/>
    </row>
    <row r="934" ht="15.75" customHeight="1">
      <c r="D934" s="762"/>
      <c r="E934" s="24"/>
    </row>
    <row r="935" ht="15.75" customHeight="1">
      <c r="D935" s="762"/>
      <c r="E935" s="24"/>
    </row>
    <row r="936" ht="15.75" customHeight="1">
      <c r="D936" s="762"/>
      <c r="E936" s="24"/>
    </row>
    <row r="937" ht="15.75" customHeight="1">
      <c r="D937" s="762"/>
      <c r="E937" s="24"/>
    </row>
    <row r="938" ht="15.75" customHeight="1">
      <c r="D938" s="762"/>
      <c r="E938" s="24"/>
    </row>
    <row r="939" ht="15.75" customHeight="1">
      <c r="D939" s="762"/>
      <c r="E939" s="24"/>
    </row>
    <row r="940" ht="15.75" customHeight="1">
      <c r="D940" s="762"/>
      <c r="E940" s="24"/>
    </row>
    <row r="941" ht="15.75" customHeight="1">
      <c r="D941" s="762"/>
      <c r="E941" s="24"/>
    </row>
    <row r="942" ht="15.75" customHeight="1">
      <c r="D942" s="762"/>
      <c r="E942" s="24"/>
    </row>
    <row r="943" ht="15.75" customHeight="1">
      <c r="D943" s="762"/>
      <c r="E943" s="24"/>
    </row>
    <row r="944" ht="15.75" customHeight="1">
      <c r="D944" s="762"/>
      <c r="E944" s="24"/>
    </row>
    <row r="945" ht="15.75" customHeight="1">
      <c r="D945" s="762"/>
      <c r="E945" s="24"/>
    </row>
    <row r="946" ht="15.75" customHeight="1">
      <c r="D946" s="762"/>
      <c r="E946" s="24"/>
    </row>
    <row r="947" ht="15.75" customHeight="1">
      <c r="D947" s="762"/>
      <c r="E947" s="24"/>
    </row>
    <row r="948" ht="15.75" customHeight="1">
      <c r="D948" s="762"/>
      <c r="E948" s="24"/>
    </row>
    <row r="949" ht="15.75" customHeight="1">
      <c r="D949" s="762"/>
      <c r="E949" s="24"/>
    </row>
    <row r="950" ht="15.75" customHeight="1">
      <c r="D950" s="762"/>
      <c r="E950" s="24"/>
    </row>
    <row r="951" ht="15.75" customHeight="1">
      <c r="D951" s="762"/>
      <c r="E951" s="24"/>
    </row>
    <row r="952" ht="15.75" customHeight="1">
      <c r="D952" s="762"/>
      <c r="E952" s="24"/>
    </row>
    <row r="953" ht="15.75" customHeight="1">
      <c r="D953" s="762"/>
      <c r="E953" s="24"/>
    </row>
    <row r="954" ht="15.75" customHeight="1">
      <c r="D954" s="762"/>
      <c r="E954" s="24"/>
    </row>
    <row r="955" ht="15.75" customHeight="1">
      <c r="D955" s="762"/>
      <c r="E955" s="24"/>
    </row>
    <row r="956" ht="15.75" customHeight="1">
      <c r="D956" s="762"/>
      <c r="E956" s="24"/>
    </row>
    <row r="957" ht="15.75" customHeight="1">
      <c r="D957" s="762"/>
      <c r="E957" s="24"/>
    </row>
    <row r="958" ht="15.75" customHeight="1">
      <c r="D958" s="762"/>
      <c r="E958" s="24"/>
    </row>
    <row r="959" ht="15.75" customHeight="1">
      <c r="D959" s="762"/>
      <c r="E959" s="24"/>
    </row>
    <row r="960" ht="15.75" customHeight="1">
      <c r="D960" s="762"/>
      <c r="E960" s="24"/>
    </row>
    <row r="961" ht="15.75" customHeight="1">
      <c r="D961" s="762"/>
      <c r="E961" s="24"/>
    </row>
    <row r="962" ht="15.75" customHeight="1">
      <c r="D962" s="762"/>
      <c r="E962" s="24"/>
    </row>
    <row r="963" ht="15.75" customHeight="1">
      <c r="D963" s="762"/>
      <c r="E963" s="24"/>
    </row>
    <row r="964" ht="15.75" customHeight="1">
      <c r="D964" s="762"/>
      <c r="E964" s="24"/>
    </row>
    <row r="965" ht="15.75" customHeight="1">
      <c r="D965" s="762"/>
      <c r="E965" s="24"/>
    </row>
    <row r="966" ht="15.75" customHeight="1">
      <c r="D966" s="762"/>
      <c r="E966" s="24"/>
    </row>
    <row r="967" ht="15.75" customHeight="1">
      <c r="D967" s="762"/>
      <c r="E967" s="24"/>
    </row>
    <row r="968" ht="15.75" customHeight="1">
      <c r="D968" s="762"/>
      <c r="E968" s="24"/>
    </row>
    <row r="969" ht="15.75" customHeight="1">
      <c r="D969" s="762"/>
      <c r="E969" s="24"/>
    </row>
    <row r="970" ht="15.75" customHeight="1">
      <c r="D970" s="762"/>
      <c r="E970" s="24"/>
    </row>
    <row r="971" ht="15.75" customHeight="1">
      <c r="D971" s="762"/>
      <c r="E971" s="24"/>
    </row>
    <row r="972" ht="15.75" customHeight="1">
      <c r="D972" s="762"/>
      <c r="E972" s="24"/>
    </row>
    <row r="973" ht="15.75" customHeight="1">
      <c r="D973" s="762"/>
      <c r="E973" s="24"/>
    </row>
    <row r="974" ht="15.75" customHeight="1">
      <c r="D974" s="762"/>
      <c r="E974" s="24"/>
    </row>
    <row r="975" ht="15.75" customHeight="1">
      <c r="D975" s="762"/>
      <c r="E975" s="24"/>
    </row>
    <row r="976" ht="15.75" customHeight="1">
      <c r="D976" s="762"/>
      <c r="E976" s="24"/>
    </row>
    <row r="977" ht="15.75" customHeight="1">
      <c r="D977" s="762"/>
      <c r="E977" s="24"/>
    </row>
    <row r="978" ht="15.75" customHeight="1">
      <c r="D978" s="762"/>
      <c r="E978" s="24"/>
    </row>
    <row r="979" ht="15.75" customHeight="1">
      <c r="D979" s="762"/>
      <c r="E979" s="24"/>
    </row>
    <row r="980" ht="15.75" customHeight="1">
      <c r="D980" s="762"/>
      <c r="E980" s="24"/>
    </row>
    <row r="981" ht="15.75" customHeight="1">
      <c r="D981" s="762"/>
      <c r="E981" s="24"/>
    </row>
    <row r="982" ht="15.75" customHeight="1">
      <c r="D982" s="762"/>
      <c r="E982" s="24"/>
    </row>
    <row r="983" ht="15.75" customHeight="1">
      <c r="D983" s="762"/>
      <c r="E983" s="24"/>
    </row>
    <row r="984" ht="15.75" customHeight="1">
      <c r="D984" s="762"/>
      <c r="E984" s="24"/>
    </row>
    <row r="985" ht="15.75" customHeight="1">
      <c r="D985" s="762"/>
      <c r="E985" s="24"/>
    </row>
    <row r="986" ht="15.75" customHeight="1">
      <c r="D986" s="762"/>
      <c r="E986" s="24"/>
    </row>
    <row r="987" ht="15.75" customHeight="1">
      <c r="D987" s="762"/>
      <c r="E987" s="24"/>
    </row>
    <row r="988" ht="15.75" customHeight="1">
      <c r="D988" s="762"/>
      <c r="E988" s="24"/>
    </row>
    <row r="989" ht="15.75" customHeight="1">
      <c r="D989" s="762"/>
      <c r="E989" s="24"/>
    </row>
    <row r="990" ht="15.75" customHeight="1">
      <c r="D990" s="762"/>
      <c r="E990" s="24"/>
    </row>
    <row r="991" ht="15.75" customHeight="1">
      <c r="D991" s="762"/>
      <c r="E991" s="24"/>
    </row>
    <row r="992" ht="15.75" customHeight="1">
      <c r="D992" s="762"/>
      <c r="E992" s="24"/>
    </row>
    <row r="993" ht="15.75" customHeight="1">
      <c r="D993" s="762"/>
      <c r="E993" s="24"/>
    </row>
    <row r="994" ht="15.75" customHeight="1">
      <c r="D994" s="762"/>
      <c r="E994" s="24"/>
    </row>
    <row r="995" ht="15.75" customHeight="1">
      <c r="D995" s="762"/>
      <c r="E995" s="24"/>
    </row>
    <row r="996" ht="15.75" customHeight="1">
      <c r="D996" s="762"/>
      <c r="E996" s="24"/>
    </row>
    <row r="997" ht="15.75" customHeight="1">
      <c r="D997" s="762"/>
      <c r="E997" s="24"/>
    </row>
    <row r="998" ht="15.75" customHeight="1">
      <c r="D998" s="762"/>
      <c r="E998" s="24"/>
    </row>
    <row r="999" ht="15.75" customHeight="1">
      <c r="D999" s="762"/>
      <c r="E999" s="24"/>
    </row>
    <row r="1000" ht="15.75" customHeight="1">
      <c r="D1000" s="762"/>
      <c r="E1000" s="24"/>
    </row>
    <row r="1001" ht="15.75" customHeight="1">
      <c r="D1001" s="762"/>
      <c r="E1001" s="24"/>
    </row>
    <row r="1002" ht="15.75" customHeight="1">
      <c r="D1002" s="762"/>
      <c r="E1002" s="24"/>
    </row>
    <row r="1003" ht="15.75" customHeight="1">
      <c r="D1003" s="762"/>
      <c r="E1003" s="24"/>
    </row>
    <row r="1004" ht="15.75" customHeight="1">
      <c r="D1004" s="762"/>
      <c r="E1004" s="24"/>
    </row>
    <row r="1005" ht="15.75" customHeight="1">
      <c r="D1005" s="762"/>
      <c r="E1005" s="24"/>
    </row>
    <row r="1006" ht="15.75" customHeight="1">
      <c r="D1006" s="762"/>
      <c r="E1006" s="24"/>
    </row>
    <row r="1007" ht="15.75" customHeight="1">
      <c r="D1007" s="762"/>
      <c r="E1007" s="24"/>
    </row>
    <row r="1008" ht="15.75" customHeight="1">
      <c r="D1008" s="762"/>
      <c r="E1008" s="24"/>
    </row>
    <row r="1009" ht="15.75" customHeight="1">
      <c r="D1009" s="762"/>
      <c r="E1009" s="24"/>
    </row>
    <row r="1010" ht="15.75" customHeight="1">
      <c r="D1010" s="762"/>
      <c r="E1010" s="24"/>
    </row>
    <row r="1011" ht="15.75" customHeight="1">
      <c r="D1011" s="762"/>
      <c r="E1011" s="24"/>
    </row>
    <row r="1012" ht="15.75" customHeight="1">
      <c r="D1012" s="762"/>
      <c r="E1012" s="24"/>
    </row>
    <row r="1013" ht="15.75" customHeight="1">
      <c r="D1013" s="762"/>
      <c r="E1013" s="24"/>
    </row>
    <row r="1014" ht="15.75" customHeight="1">
      <c r="D1014" s="762"/>
      <c r="E1014" s="24"/>
    </row>
    <row r="1015" ht="15.75" customHeight="1">
      <c r="D1015" s="762"/>
      <c r="E1015" s="24"/>
    </row>
    <row r="1016" ht="15.75" customHeight="1">
      <c r="D1016" s="762"/>
      <c r="E1016" s="24"/>
    </row>
    <row r="1017" ht="15.75" customHeight="1">
      <c r="D1017" s="762"/>
      <c r="E1017" s="24"/>
    </row>
    <row r="1018" ht="15.75" customHeight="1">
      <c r="D1018" s="762"/>
      <c r="E1018" s="24"/>
    </row>
    <row r="1019" ht="15.75" customHeight="1">
      <c r="D1019" s="762"/>
      <c r="E1019" s="24"/>
    </row>
    <row r="1020" ht="15.75" customHeight="1">
      <c r="D1020" s="762"/>
      <c r="E1020" s="24"/>
    </row>
  </sheetData>
  <mergeCells count="9">
    <mergeCell ref="B88:B91"/>
    <mergeCell ref="B107:B111"/>
    <mergeCell ref="B16:B42"/>
    <mergeCell ref="B46:B54"/>
    <mergeCell ref="F49:F50"/>
    <mergeCell ref="B55:B60"/>
    <mergeCell ref="B61:B70"/>
    <mergeCell ref="F62:F63"/>
    <mergeCell ref="B71:B73"/>
  </mergeCells>
  <hyperlinks>
    <hyperlink r:id="rId1" location="gid=0" ref="H1"/>
    <hyperlink r:id="rId2" location="gid=0" ref="H2"/>
    <hyperlink r:id="rId3" ref="I11"/>
    <hyperlink r:id="rId4" ref="I12"/>
    <hyperlink r:id="rId5" ref="I27"/>
    <hyperlink r:id="rId6" ref="I36"/>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44.88"/>
    <col customWidth="1" min="3" max="3" width="13.0"/>
    <col customWidth="1" min="4" max="4" width="15.63"/>
    <col customWidth="1" min="5" max="5" width="15.13"/>
    <col customWidth="1" min="6" max="6" width="19.5"/>
    <col customWidth="1" min="7" max="7" width="28.75"/>
    <col customWidth="1" min="8" max="8" width="35.63"/>
    <col customWidth="1" min="9" max="9" width="36.63"/>
  </cols>
  <sheetData>
    <row r="2" ht="21.75" customHeight="1">
      <c r="B2" s="388" t="s">
        <v>327</v>
      </c>
      <c r="C2" s="2"/>
      <c r="D2" s="2"/>
      <c r="E2" s="390"/>
      <c r="F2" s="392" t="s">
        <v>7</v>
      </c>
      <c r="G2" s="395" t="s">
        <v>330</v>
      </c>
      <c r="H2" s="397" t="s">
        <v>11</v>
      </c>
    </row>
    <row r="3" ht="40.5" customHeight="1">
      <c r="B3" s="18"/>
      <c r="C3" s="20"/>
      <c r="D3" s="20"/>
      <c r="E3" s="123"/>
      <c r="F3" s="401"/>
      <c r="G3" s="289"/>
      <c r="H3" s="402"/>
    </row>
    <row r="4" ht="33.0" customHeight="1">
      <c r="B4" s="403" t="s">
        <v>20</v>
      </c>
      <c r="C4" s="405" t="s">
        <v>21</v>
      </c>
      <c r="D4" s="41"/>
      <c r="E4" s="42"/>
      <c r="F4" s="409" t="s">
        <v>23</v>
      </c>
      <c r="G4" s="411" t="s">
        <v>341</v>
      </c>
      <c r="H4" s="3"/>
    </row>
    <row r="5" ht="24.0" customHeight="1">
      <c r="B5" s="403" t="s">
        <v>41</v>
      </c>
      <c r="C5" s="414">
        <v>46151.0</v>
      </c>
      <c r="D5" s="417" t="s">
        <v>35</v>
      </c>
      <c r="E5" s="420" t="s">
        <v>348</v>
      </c>
      <c r="F5" s="417" t="s">
        <v>70</v>
      </c>
      <c r="G5" s="424" t="s">
        <v>352</v>
      </c>
      <c r="H5" s="3"/>
    </row>
    <row r="6">
      <c r="B6" s="112"/>
      <c r="C6" s="426"/>
      <c r="D6" s="426"/>
      <c r="E6" s="426"/>
      <c r="F6" s="426"/>
      <c r="G6" s="122"/>
      <c r="H6" s="23"/>
    </row>
    <row r="7">
      <c r="B7" s="431" t="s">
        <v>345</v>
      </c>
      <c r="C7" s="433" t="s">
        <v>346</v>
      </c>
      <c r="D7" s="433" t="s">
        <v>359</v>
      </c>
      <c r="E7" s="435" t="s">
        <v>361</v>
      </c>
      <c r="F7" s="437" t="s">
        <v>363</v>
      </c>
      <c r="G7" s="440" t="s">
        <v>353</v>
      </c>
      <c r="H7" s="65"/>
    </row>
    <row r="8">
      <c r="B8" s="443" t="s">
        <v>367</v>
      </c>
      <c r="C8" s="444">
        <v>35.0</v>
      </c>
      <c r="D8" s="446">
        <v>6000.0</v>
      </c>
      <c r="E8" s="457">
        <f t="shared" ref="E8:E39" si="1">C8*D8</f>
        <v>210000</v>
      </c>
      <c r="F8" s="458" t="s">
        <v>381</v>
      </c>
      <c r="G8" s="459"/>
      <c r="H8" s="200"/>
    </row>
    <row r="9">
      <c r="B9" s="443" t="s">
        <v>383</v>
      </c>
      <c r="C9" s="444">
        <v>52.0</v>
      </c>
      <c r="D9" s="446">
        <v>6000.0</v>
      </c>
      <c r="E9" s="457">
        <f t="shared" si="1"/>
        <v>312000</v>
      </c>
      <c r="F9" s="458" t="s">
        <v>381</v>
      </c>
      <c r="G9" s="459"/>
      <c r="H9" s="200"/>
    </row>
    <row r="10">
      <c r="B10" s="462" t="s">
        <v>386</v>
      </c>
      <c r="C10" s="464">
        <v>5.0</v>
      </c>
      <c r="D10" s="466">
        <v>6000.0</v>
      </c>
      <c r="E10" s="468">
        <f t="shared" si="1"/>
        <v>30000</v>
      </c>
      <c r="F10" s="470" t="s">
        <v>381</v>
      </c>
      <c r="G10" s="471"/>
      <c r="H10" s="200"/>
    </row>
    <row r="11">
      <c r="B11" s="473" t="s">
        <v>391</v>
      </c>
      <c r="C11" s="444">
        <v>5.0</v>
      </c>
      <c r="D11" s="457">
        <v>10900.0</v>
      </c>
      <c r="E11" s="457">
        <f t="shared" si="1"/>
        <v>54500</v>
      </c>
      <c r="F11" s="458" t="s">
        <v>395</v>
      </c>
      <c r="G11" s="459"/>
      <c r="H11" s="200"/>
      <c r="I11" s="476" t="s">
        <v>396</v>
      </c>
    </row>
    <row r="12">
      <c r="A12" s="258"/>
      <c r="B12" s="462" t="s">
        <v>397</v>
      </c>
      <c r="C12" s="464">
        <v>1.0</v>
      </c>
      <c r="D12" s="466">
        <v>1360000.0</v>
      </c>
      <c r="E12" s="468">
        <f t="shared" si="1"/>
        <v>1360000</v>
      </c>
      <c r="F12" s="479" t="s">
        <v>402</v>
      </c>
      <c r="G12" s="480"/>
      <c r="H12" s="200"/>
    </row>
    <row r="13">
      <c r="A13" s="258"/>
      <c r="B13" s="483" t="s">
        <v>407</v>
      </c>
      <c r="C13" s="484">
        <v>4.0</v>
      </c>
      <c r="D13" s="485">
        <v>6800.0</v>
      </c>
      <c r="E13" s="485">
        <f t="shared" si="1"/>
        <v>27200</v>
      </c>
      <c r="F13" s="488" t="s">
        <v>410</v>
      </c>
      <c r="G13" s="497" t="s">
        <v>412</v>
      </c>
      <c r="H13" s="200"/>
    </row>
    <row r="14" hidden="1">
      <c r="A14" s="258"/>
      <c r="B14" s="483" t="s">
        <v>425</v>
      </c>
      <c r="C14" s="498">
        <v>0.0</v>
      </c>
      <c r="D14" s="485">
        <v>3690.0</v>
      </c>
      <c r="E14" s="485">
        <f t="shared" si="1"/>
        <v>0</v>
      </c>
      <c r="F14" s="501" t="s">
        <v>428</v>
      </c>
      <c r="G14" s="506" t="s">
        <v>429</v>
      </c>
      <c r="H14" s="200"/>
    </row>
    <row r="15">
      <c r="A15" s="258"/>
      <c r="B15" s="508" t="s">
        <v>439</v>
      </c>
      <c r="C15" s="498">
        <v>1.0</v>
      </c>
      <c r="D15" s="509">
        <v>15990.0</v>
      </c>
      <c r="E15" s="485">
        <f t="shared" si="1"/>
        <v>15990</v>
      </c>
      <c r="F15" s="501" t="s">
        <v>428</v>
      </c>
      <c r="G15" s="516" t="s">
        <v>443</v>
      </c>
      <c r="H15" s="200"/>
      <c r="I15" s="24"/>
    </row>
    <row r="16">
      <c r="A16" s="258"/>
      <c r="B16" s="508" t="s">
        <v>453</v>
      </c>
      <c r="C16" s="498">
        <v>1.0</v>
      </c>
      <c r="D16" s="509">
        <v>8590.0</v>
      </c>
      <c r="E16" s="485">
        <f t="shared" si="1"/>
        <v>8590</v>
      </c>
      <c r="F16" s="501" t="s">
        <v>428</v>
      </c>
      <c r="G16" s="516"/>
      <c r="H16" s="200"/>
      <c r="I16" s="24"/>
    </row>
    <row r="17">
      <c r="A17" s="258"/>
      <c r="B17" s="508" t="s">
        <v>454</v>
      </c>
      <c r="C17" s="498">
        <v>1.0</v>
      </c>
      <c r="D17" s="509">
        <v>92500.0</v>
      </c>
      <c r="E17" s="485">
        <f t="shared" si="1"/>
        <v>92500</v>
      </c>
      <c r="F17" s="501" t="s">
        <v>428</v>
      </c>
      <c r="G17" s="525" t="s">
        <v>456</v>
      </c>
      <c r="H17" s="200"/>
      <c r="I17" s="258"/>
    </row>
    <row r="18" ht="15.75" hidden="1" customHeight="1">
      <c r="A18" s="258"/>
      <c r="B18" s="483" t="s">
        <v>463</v>
      </c>
      <c r="C18" s="498">
        <v>0.0</v>
      </c>
      <c r="D18" s="485">
        <v>3900.0</v>
      </c>
      <c r="E18" s="485">
        <f t="shared" si="1"/>
        <v>0</v>
      </c>
      <c r="F18" s="501" t="s">
        <v>428</v>
      </c>
      <c r="G18" s="516" t="s">
        <v>466</v>
      </c>
      <c r="H18" s="200"/>
      <c r="I18" s="24"/>
    </row>
    <row r="19" ht="15.75" hidden="1" customHeight="1">
      <c r="A19" s="258"/>
      <c r="B19" s="483" t="s">
        <v>470</v>
      </c>
      <c r="C19" s="498">
        <v>0.0</v>
      </c>
      <c r="D19" s="485">
        <v>3266.0</v>
      </c>
      <c r="E19" s="485">
        <f t="shared" si="1"/>
        <v>0</v>
      </c>
      <c r="F19" s="501" t="s">
        <v>428</v>
      </c>
      <c r="G19" s="537" t="s">
        <v>473</v>
      </c>
      <c r="H19" s="200"/>
      <c r="I19" s="24"/>
    </row>
    <row r="20">
      <c r="A20" s="258"/>
      <c r="B20" s="483" t="s">
        <v>482</v>
      </c>
      <c r="C20" s="484">
        <v>1.0</v>
      </c>
      <c r="D20" s="509">
        <v>7500.0</v>
      </c>
      <c r="E20" s="485">
        <f t="shared" si="1"/>
        <v>7500</v>
      </c>
      <c r="F20" s="501" t="s">
        <v>428</v>
      </c>
      <c r="G20" s="537" t="s">
        <v>484</v>
      </c>
      <c r="H20" s="200"/>
    </row>
    <row r="21">
      <c r="A21" s="258"/>
      <c r="B21" s="483" t="s">
        <v>490</v>
      </c>
      <c r="C21" s="484">
        <v>1.0</v>
      </c>
      <c r="D21" s="485">
        <v>11900.0</v>
      </c>
      <c r="E21" s="485">
        <f t="shared" si="1"/>
        <v>11900</v>
      </c>
      <c r="F21" s="501" t="s">
        <v>428</v>
      </c>
      <c r="G21" s="516" t="s">
        <v>497</v>
      </c>
      <c r="H21" s="200"/>
      <c r="I21" s="258"/>
    </row>
    <row r="22">
      <c r="A22" s="258"/>
      <c r="B22" s="483" t="s">
        <v>504</v>
      </c>
      <c r="C22" s="484">
        <v>1.0</v>
      </c>
      <c r="D22" s="509">
        <v>16840.0</v>
      </c>
      <c r="E22" s="485">
        <f t="shared" si="1"/>
        <v>16840</v>
      </c>
      <c r="F22" s="501" t="s">
        <v>428</v>
      </c>
      <c r="G22" s="516" t="s">
        <v>506</v>
      </c>
      <c r="H22" s="200"/>
      <c r="I22" s="258"/>
    </row>
    <row r="23" hidden="1">
      <c r="A23" s="258"/>
      <c r="B23" s="483" t="s">
        <v>514</v>
      </c>
      <c r="C23" s="498">
        <v>0.0</v>
      </c>
      <c r="D23" s="485">
        <v>9820.0</v>
      </c>
      <c r="E23" s="485">
        <f t="shared" si="1"/>
        <v>0</v>
      </c>
      <c r="F23" s="501" t="s">
        <v>428</v>
      </c>
      <c r="G23" s="516" t="s">
        <v>515</v>
      </c>
      <c r="H23" s="200"/>
      <c r="I23" s="258"/>
    </row>
    <row r="24" ht="15.75" customHeight="1">
      <c r="A24" s="258"/>
      <c r="B24" s="483" t="s">
        <v>522</v>
      </c>
      <c r="C24" s="571">
        <v>1.0</v>
      </c>
      <c r="D24" s="485">
        <v>98000.0</v>
      </c>
      <c r="E24" s="485">
        <f t="shared" si="1"/>
        <v>98000</v>
      </c>
      <c r="F24" s="501" t="s">
        <v>369</v>
      </c>
      <c r="G24" s="516" t="s">
        <v>385</v>
      </c>
      <c r="H24" s="200"/>
      <c r="I24" s="258"/>
    </row>
    <row r="25" ht="15.75" customHeight="1">
      <c r="A25" s="258"/>
      <c r="B25" s="508" t="s">
        <v>529</v>
      </c>
      <c r="C25" s="248"/>
      <c r="D25" s="579"/>
      <c r="E25" s="485">
        <f t="shared" si="1"/>
        <v>0</v>
      </c>
      <c r="F25" s="248"/>
      <c r="G25" s="254"/>
      <c r="H25" s="200"/>
      <c r="I25" s="258"/>
    </row>
    <row r="26" ht="15.75" customHeight="1">
      <c r="A26" s="258"/>
      <c r="B26" s="508" t="s">
        <v>534</v>
      </c>
      <c r="C26" s="498">
        <v>1.0</v>
      </c>
      <c r="D26" s="509">
        <v>14590.0</v>
      </c>
      <c r="E26" s="485">
        <f t="shared" si="1"/>
        <v>14590</v>
      </c>
      <c r="F26" s="585" t="s">
        <v>428</v>
      </c>
      <c r="G26" s="587"/>
      <c r="H26" s="587"/>
      <c r="I26" s="258"/>
    </row>
    <row r="27" ht="15.75" customHeight="1">
      <c r="A27" s="258"/>
      <c r="B27" s="483" t="s">
        <v>538</v>
      </c>
      <c r="C27" s="498">
        <v>2.0</v>
      </c>
      <c r="D27" s="485">
        <v>12000.0</v>
      </c>
      <c r="E27" s="485">
        <f t="shared" si="1"/>
        <v>24000</v>
      </c>
      <c r="F27" s="501" t="s">
        <v>369</v>
      </c>
      <c r="G27" s="516" t="s">
        <v>542</v>
      </c>
      <c r="H27" s="200"/>
      <c r="I27" s="258"/>
    </row>
    <row r="28" ht="15.75" hidden="1" customHeight="1">
      <c r="A28" s="258"/>
      <c r="B28" s="483" t="s">
        <v>547</v>
      </c>
      <c r="C28" s="498">
        <v>0.0</v>
      </c>
      <c r="D28" s="485">
        <v>48800.0</v>
      </c>
      <c r="E28" s="485">
        <f t="shared" si="1"/>
        <v>0</v>
      </c>
      <c r="F28" s="501" t="s">
        <v>428</v>
      </c>
      <c r="G28" s="497" t="s">
        <v>549</v>
      </c>
      <c r="H28" s="200"/>
      <c r="I28" s="258"/>
    </row>
    <row r="29" ht="15.75" hidden="1" customHeight="1">
      <c r="A29" s="258"/>
      <c r="B29" s="483" t="s">
        <v>557</v>
      </c>
      <c r="C29" s="498">
        <v>0.0</v>
      </c>
      <c r="D29" s="485">
        <v>5500.0</v>
      </c>
      <c r="E29" s="485">
        <f t="shared" si="1"/>
        <v>0</v>
      </c>
      <c r="F29" s="501" t="s">
        <v>428</v>
      </c>
      <c r="G29" s="605" t="s">
        <v>559</v>
      </c>
      <c r="H29" s="200"/>
      <c r="I29" s="258"/>
    </row>
    <row r="30" ht="15.75" hidden="1" customHeight="1">
      <c r="A30" s="258"/>
      <c r="B30" s="483" t="s">
        <v>564</v>
      </c>
      <c r="C30" s="498">
        <v>0.0</v>
      </c>
      <c r="D30" s="485">
        <v>5200.0</v>
      </c>
      <c r="E30" s="485">
        <f t="shared" si="1"/>
        <v>0</v>
      </c>
      <c r="F30" s="501" t="s">
        <v>428</v>
      </c>
      <c r="G30" s="605" t="s">
        <v>567</v>
      </c>
      <c r="H30" s="200"/>
      <c r="I30" s="258"/>
    </row>
    <row r="31" ht="15.75" hidden="1" customHeight="1">
      <c r="A31" s="258"/>
      <c r="B31" s="483" t="s">
        <v>576</v>
      </c>
      <c r="C31" s="498">
        <v>0.0</v>
      </c>
      <c r="D31" s="485">
        <v>9210.0</v>
      </c>
      <c r="E31" s="485">
        <f t="shared" si="1"/>
        <v>0</v>
      </c>
      <c r="F31" s="501" t="s">
        <v>428</v>
      </c>
      <c r="G31" s="497" t="s">
        <v>577</v>
      </c>
      <c r="H31" s="200"/>
      <c r="I31" s="258"/>
    </row>
    <row r="32" ht="15.75" hidden="1" customHeight="1">
      <c r="B32" s="483" t="s">
        <v>583</v>
      </c>
      <c r="C32" s="498">
        <v>0.0</v>
      </c>
      <c r="D32" s="485">
        <v>9210.0</v>
      </c>
      <c r="E32" s="485">
        <f t="shared" si="1"/>
        <v>0</v>
      </c>
      <c r="F32" s="501" t="s">
        <v>428</v>
      </c>
      <c r="G32" s="516" t="s">
        <v>587</v>
      </c>
      <c r="H32" s="200"/>
      <c r="I32" s="258"/>
    </row>
    <row r="33" ht="15.75" customHeight="1">
      <c r="B33" s="508" t="s">
        <v>596</v>
      </c>
      <c r="C33" s="624">
        <v>0.0</v>
      </c>
      <c r="D33" s="509">
        <v>29540.0</v>
      </c>
      <c r="E33" s="485">
        <f t="shared" si="1"/>
        <v>0</v>
      </c>
      <c r="F33" s="488" t="s">
        <v>428</v>
      </c>
      <c r="G33" s="497" t="s">
        <v>601</v>
      </c>
      <c r="H33" s="200"/>
      <c r="I33" s="258"/>
    </row>
    <row r="34" ht="15.75" hidden="1" customHeight="1">
      <c r="B34" s="483" t="s">
        <v>613</v>
      </c>
      <c r="C34" s="498">
        <v>0.0</v>
      </c>
      <c r="D34" s="485">
        <v>9890.0</v>
      </c>
      <c r="E34" s="485">
        <f t="shared" si="1"/>
        <v>0</v>
      </c>
      <c r="F34" s="501" t="s">
        <v>428</v>
      </c>
      <c r="G34" s="516" t="s">
        <v>615</v>
      </c>
      <c r="H34" s="200"/>
      <c r="I34" s="258"/>
    </row>
    <row r="35" ht="15.75" hidden="1" customHeight="1">
      <c r="B35" s="483" t="s">
        <v>622</v>
      </c>
      <c r="C35" s="498">
        <v>0.0</v>
      </c>
      <c r="D35" s="485">
        <v>690.0</v>
      </c>
      <c r="E35" s="485">
        <f t="shared" si="1"/>
        <v>0</v>
      </c>
      <c r="F35" s="488" t="s">
        <v>428</v>
      </c>
      <c r="G35" s="516" t="s">
        <v>624</v>
      </c>
      <c r="H35" s="200"/>
      <c r="I35" s="258"/>
    </row>
    <row r="36" ht="15.75" hidden="1" customHeight="1">
      <c r="B36" s="483" t="s">
        <v>630</v>
      </c>
      <c r="C36" s="498">
        <v>0.0</v>
      </c>
      <c r="D36" s="485">
        <v>690.0</v>
      </c>
      <c r="E36" s="485">
        <f t="shared" si="1"/>
        <v>0</v>
      </c>
      <c r="F36" s="488" t="s">
        <v>428</v>
      </c>
      <c r="G36" s="516" t="s">
        <v>631</v>
      </c>
      <c r="H36" s="200"/>
      <c r="I36" s="258"/>
    </row>
    <row r="37" ht="15.75" hidden="1" customHeight="1">
      <c r="B37" s="483" t="s">
        <v>637</v>
      </c>
      <c r="C37" s="498">
        <v>0.0</v>
      </c>
      <c r="D37" s="485">
        <v>690.0</v>
      </c>
      <c r="E37" s="485">
        <f t="shared" si="1"/>
        <v>0</v>
      </c>
      <c r="F37" s="488" t="s">
        <v>428</v>
      </c>
      <c r="G37" s="516" t="s">
        <v>642</v>
      </c>
      <c r="H37" s="200"/>
      <c r="I37" s="258"/>
    </row>
    <row r="38" ht="15.75" hidden="1" customHeight="1">
      <c r="B38" s="483" t="s">
        <v>646</v>
      </c>
      <c r="C38" s="498">
        <v>0.0</v>
      </c>
      <c r="D38" s="485">
        <v>690.0</v>
      </c>
      <c r="E38" s="485">
        <f t="shared" si="1"/>
        <v>0</v>
      </c>
      <c r="F38" s="488" t="s">
        <v>428</v>
      </c>
      <c r="G38" s="516" t="s">
        <v>649</v>
      </c>
      <c r="H38" s="200"/>
      <c r="I38" s="258"/>
    </row>
    <row r="39" ht="15.75" hidden="1" customHeight="1">
      <c r="B39" s="483" t="s">
        <v>652</v>
      </c>
      <c r="C39" s="498">
        <v>0.0</v>
      </c>
      <c r="D39" s="485">
        <v>690.0</v>
      </c>
      <c r="E39" s="485">
        <f t="shared" si="1"/>
        <v>0</v>
      </c>
      <c r="F39" s="488" t="s">
        <v>428</v>
      </c>
      <c r="G39" s="516" t="s">
        <v>655</v>
      </c>
      <c r="H39" s="200"/>
      <c r="I39" s="258"/>
    </row>
    <row r="40" ht="15.75" customHeight="1">
      <c r="B40" s="508" t="s">
        <v>570</v>
      </c>
      <c r="C40" s="498">
        <v>1.0</v>
      </c>
      <c r="D40" s="485">
        <v>12400.0</v>
      </c>
      <c r="E40" s="509">
        <v>964000.0</v>
      </c>
      <c r="F40" s="501" t="s">
        <v>664</v>
      </c>
      <c r="G40" s="516" t="s">
        <v>665</v>
      </c>
      <c r="H40" s="200"/>
      <c r="I40" s="258"/>
    </row>
    <row r="41" ht="15.75" customHeight="1">
      <c r="B41" s="483" t="s">
        <v>668</v>
      </c>
      <c r="C41" s="484">
        <v>1.0</v>
      </c>
      <c r="D41" s="485">
        <v>11600.0</v>
      </c>
      <c r="E41" s="485">
        <f t="shared" ref="E41:E54" si="2">C41*D41</f>
        <v>11600</v>
      </c>
      <c r="F41" s="501" t="s">
        <v>428</v>
      </c>
      <c r="G41" s="497" t="s">
        <v>673</v>
      </c>
      <c r="H41" s="200"/>
      <c r="I41" s="258"/>
    </row>
    <row r="42" ht="15.75" customHeight="1">
      <c r="B42" s="508" t="s">
        <v>676</v>
      </c>
      <c r="C42" s="498">
        <v>2.0</v>
      </c>
      <c r="D42" s="509">
        <v>35760.0</v>
      </c>
      <c r="E42" s="485">
        <f t="shared" si="2"/>
        <v>71520</v>
      </c>
      <c r="F42" s="501" t="s">
        <v>428</v>
      </c>
      <c r="G42" s="497" t="s">
        <v>679</v>
      </c>
      <c r="H42" s="200"/>
    </row>
    <row r="43" ht="15.75" customHeight="1">
      <c r="B43" s="483" t="s">
        <v>685</v>
      </c>
      <c r="C43" s="498">
        <v>1.0</v>
      </c>
      <c r="D43" s="485">
        <v>29280.0</v>
      </c>
      <c r="E43" s="485">
        <f t="shared" si="2"/>
        <v>29280</v>
      </c>
      <c r="F43" s="488" t="s">
        <v>428</v>
      </c>
      <c r="G43" s="497" t="s">
        <v>687</v>
      </c>
      <c r="H43" s="200"/>
    </row>
    <row r="44" ht="15.75" customHeight="1">
      <c r="B44" s="508" t="s">
        <v>692</v>
      </c>
      <c r="C44" s="498">
        <v>1.0</v>
      </c>
      <c r="D44" s="509">
        <v>9900.0</v>
      </c>
      <c r="E44" s="485">
        <f t="shared" si="2"/>
        <v>9900</v>
      </c>
      <c r="F44" s="488"/>
      <c r="G44" s="497"/>
      <c r="H44" s="200"/>
    </row>
    <row r="45" ht="15.75" hidden="1" customHeight="1">
      <c r="B45" s="483" t="s">
        <v>694</v>
      </c>
      <c r="C45" s="624">
        <v>0.0</v>
      </c>
      <c r="D45" s="485">
        <v>24150.0</v>
      </c>
      <c r="E45" s="485">
        <f t="shared" si="2"/>
        <v>0</v>
      </c>
      <c r="F45" s="488" t="s">
        <v>428</v>
      </c>
      <c r="G45" s="497" t="s">
        <v>697</v>
      </c>
      <c r="H45" s="200"/>
    </row>
    <row r="46" ht="15.75" hidden="1" customHeight="1">
      <c r="B46" s="483" t="s">
        <v>702</v>
      </c>
      <c r="C46" s="624">
        <v>0.0</v>
      </c>
      <c r="D46" s="485">
        <v>25250.0</v>
      </c>
      <c r="E46" s="485">
        <f t="shared" si="2"/>
        <v>0</v>
      </c>
      <c r="F46" s="488" t="s">
        <v>428</v>
      </c>
      <c r="G46" s="497" t="s">
        <v>705</v>
      </c>
      <c r="H46" s="200"/>
    </row>
    <row r="47" ht="15.75" hidden="1" customHeight="1">
      <c r="B47" s="483" t="s">
        <v>711</v>
      </c>
      <c r="C47" s="624">
        <v>0.0</v>
      </c>
      <c r="D47" s="485">
        <v>4750.0</v>
      </c>
      <c r="E47" s="485">
        <f t="shared" si="2"/>
        <v>0</v>
      </c>
      <c r="F47" s="488" t="s">
        <v>428</v>
      </c>
      <c r="G47" s="497" t="s">
        <v>713</v>
      </c>
      <c r="H47" s="200"/>
    </row>
    <row r="48" ht="15.75" hidden="1" customHeight="1">
      <c r="B48" s="483" t="s">
        <v>548</v>
      </c>
      <c r="C48" s="624">
        <v>0.0</v>
      </c>
      <c r="D48" s="485">
        <v>62800.0</v>
      </c>
      <c r="E48" s="485">
        <f t="shared" si="2"/>
        <v>0</v>
      </c>
      <c r="F48" s="488" t="s">
        <v>428</v>
      </c>
      <c r="G48" s="497" t="s">
        <v>717</v>
      </c>
      <c r="H48" s="200"/>
    </row>
    <row r="49" ht="15.75" hidden="1" customHeight="1">
      <c r="B49" s="483" t="s">
        <v>551</v>
      </c>
      <c r="C49" s="624">
        <v>0.0</v>
      </c>
      <c r="D49" s="485">
        <v>32800.0</v>
      </c>
      <c r="E49" s="485">
        <f t="shared" si="2"/>
        <v>0</v>
      </c>
      <c r="F49" s="488" t="s">
        <v>428</v>
      </c>
      <c r="G49" s="497" t="s">
        <v>719</v>
      </c>
      <c r="H49" s="200"/>
    </row>
    <row r="50" ht="15.75" hidden="1" customHeight="1">
      <c r="B50" s="483" t="s">
        <v>552</v>
      </c>
      <c r="C50" s="624">
        <v>0.0</v>
      </c>
      <c r="D50" s="485">
        <v>15000.0</v>
      </c>
      <c r="E50" s="485">
        <f t="shared" si="2"/>
        <v>0</v>
      </c>
      <c r="F50" s="488" t="s">
        <v>428</v>
      </c>
      <c r="G50" s="497" t="s">
        <v>721</v>
      </c>
      <c r="H50" s="200"/>
    </row>
    <row r="51" ht="15.75" hidden="1" customHeight="1">
      <c r="B51" s="483" t="s">
        <v>554</v>
      </c>
      <c r="C51" s="624">
        <v>0.0</v>
      </c>
      <c r="D51" s="485">
        <v>9200.0</v>
      </c>
      <c r="E51" s="485">
        <f t="shared" si="2"/>
        <v>0</v>
      </c>
      <c r="F51" s="488" t="s">
        <v>428</v>
      </c>
      <c r="G51" s="497" t="s">
        <v>723</v>
      </c>
      <c r="H51" s="200"/>
    </row>
    <row r="52" ht="15.75" hidden="1" customHeight="1">
      <c r="B52" s="483" t="s">
        <v>555</v>
      </c>
      <c r="C52" s="624">
        <v>0.0</v>
      </c>
      <c r="D52" s="485">
        <v>9200.0</v>
      </c>
      <c r="E52" s="485">
        <f t="shared" si="2"/>
        <v>0</v>
      </c>
      <c r="F52" s="488" t="s">
        <v>428</v>
      </c>
      <c r="G52" s="497" t="s">
        <v>724</v>
      </c>
      <c r="H52" s="200"/>
    </row>
    <row r="53" ht="15.75" hidden="1" customHeight="1">
      <c r="B53" s="483" t="s">
        <v>725</v>
      </c>
      <c r="C53" s="624">
        <v>0.0</v>
      </c>
      <c r="D53" s="485">
        <v>9800.0</v>
      </c>
      <c r="E53" s="485">
        <f t="shared" si="2"/>
        <v>0</v>
      </c>
      <c r="F53" s="488" t="s">
        <v>428</v>
      </c>
      <c r="G53" s="497" t="s">
        <v>726</v>
      </c>
      <c r="H53" s="200"/>
    </row>
    <row r="54" ht="15.75" hidden="1" customHeight="1">
      <c r="B54" s="483" t="s">
        <v>729</v>
      </c>
      <c r="C54" s="624">
        <v>0.0</v>
      </c>
      <c r="D54" s="485">
        <v>12000.0</v>
      </c>
      <c r="E54" s="485">
        <f t="shared" si="2"/>
        <v>0</v>
      </c>
      <c r="F54" s="488" t="s">
        <v>718</v>
      </c>
      <c r="G54" s="497" t="s">
        <v>731</v>
      </c>
      <c r="H54" s="200"/>
    </row>
    <row r="55" ht="15.75" customHeight="1">
      <c r="B55" s="192"/>
      <c r="C55" s="113"/>
      <c r="D55" s="113"/>
      <c r="E55" s="736"/>
      <c r="F55" s="77"/>
      <c r="G55" s="34"/>
      <c r="H55" s="200"/>
    </row>
    <row r="56" ht="15.75" customHeight="1">
      <c r="B56" s="737" t="s">
        <v>734</v>
      </c>
      <c r="C56" s="113"/>
      <c r="D56" s="113"/>
      <c r="E56" s="739">
        <f>SUM(E8:E54)</f>
        <v>3369910</v>
      </c>
      <c r="F56" s="113"/>
      <c r="G56" s="741"/>
      <c r="H56" s="200"/>
    </row>
    <row r="57" ht="15.75" customHeight="1">
      <c r="B57" s="483"/>
      <c r="C57" s="248"/>
      <c r="D57" s="248"/>
      <c r="E57" s="485"/>
      <c r="F57" s="113"/>
      <c r="G57" s="34"/>
      <c r="H57" s="200"/>
    </row>
    <row r="58" ht="15.75" customHeight="1">
      <c r="B58" s="737"/>
      <c r="C58" s="113"/>
      <c r="D58" s="113"/>
      <c r="E58" s="739"/>
      <c r="F58" s="742"/>
      <c r="G58" s="34"/>
      <c r="H58" s="200"/>
    </row>
    <row r="59" ht="15.75" customHeight="1">
      <c r="B59" s="744"/>
      <c r="C59" s="113"/>
      <c r="D59" s="113"/>
      <c r="E59" s="739"/>
      <c r="F59" s="113"/>
      <c r="G59" s="745"/>
      <c r="H59" s="200"/>
    </row>
    <row r="60" ht="15.75" customHeight="1">
      <c r="B60" s="192"/>
      <c r="C60" s="113"/>
      <c r="D60" s="113"/>
      <c r="E60" s="113"/>
      <c r="F60" s="113"/>
      <c r="G60" s="34"/>
      <c r="H60" s="200"/>
    </row>
    <row r="61" ht="15.75" customHeight="1">
      <c r="B61" s="748" t="s">
        <v>738</v>
      </c>
      <c r="E61" s="104"/>
      <c r="F61" s="113"/>
      <c r="G61" s="745"/>
      <c r="H61" s="200"/>
    </row>
    <row r="62" ht="15.75" customHeight="1">
      <c r="B62" s="737" t="s">
        <v>740</v>
      </c>
      <c r="C62" s="693"/>
      <c r="D62" s="693"/>
      <c r="E62" s="749">
        <v>500000.0</v>
      </c>
      <c r="F62" s="77">
        <v>250000.0</v>
      </c>
      <c r="G62" s="750"/>
      <c r="H62" s="200"/>
    </row>
    <row r="63" ht="15.75" customHeight="1">
      <c r="B63" s="752" t="s">
        <v>741</v>
      </c>
      <c r="C63" s="693"/>
      <c r="D63" s="693"/>
      <c r="E63" s="749">
        <v>350000.0</v>
      </c>
      <c r="F63" s="693"/>
      <c r="G63" s="741" t="s">
        <v>743</v>
      </c>
      <c r="H63" s="200"/>
    </row>
    <row r="64" ht="15.75" customHeight="1">
      <c r="B64" s="752" t="s">
        <v>744</v>
      </c>
      <c r="C64" s="693"/>
      <c r="D64" s="693"/>
      <c r="E64" s="693"/>
      <c r="F64" s="693"/>
      <c r="G64" s="750"/>
      <c r="H64" s="200"/>
    </row>
    <row r="65" ht="15.75" customHeight="1">
      <c r="B65" s="754" t="s">
        <v>746</v>
      </c>
      <c r="C65" s="755"/>
      <c r="D65" s="755"/>
      <c r="E65" s="755"/>
      <c r="F65" s="755"/>
      <c r="G65" s="756"/>
      <c r="H65" s="23"/>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68">
    <mergeCell ref="G48:H48"/>
    <mergeCell ref="G49:H49"/>
    <mergeCell ref="G50:H50"/>
    <mergeCell ref="G51:H51"/>
    <mergeCell ref="G52:H52"/>
    <mergeCell ref="G53:H53"/>
    <mergeCell ref="G54:H54"/>
    <mergeCell ref="G61:H61"/>
    <mergeCell ref="G62:H62"/>
    <mergeCell ref="G63:H63"/>
    <mergeCell ref="G64:H64"/>
    <mergeCell ref="G65:H65"/>
    <mergeCell ref="G55:H55"/>
    <mergeCell ref="G56:H56"/>
    <mergeCell ref="G57:H57"/>
    <mergeCell ref="G58:H58"/>
    <mergeCell ref="G59:H59"/>
    <mergeCell ref="G60:H60"/>
    <mergeCell ref="B61:E61"/>
    <mergeCell ref="B2:E3"/>
    <mergeCell ref="C4:E4"/>
    <mergeCell ref="G4:H4"/>
    <mergeCell ref="B5:B6"/>
    <mergeCell ref="C5:C6"/>
    <mergeCell ref="D5:D6"/>
    <mergeCell ref="E5:E6"/>
    <mergeCell ref="F5:F6"/>
    <mergeCell ref="G5: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s>
  <conditionalFormatting sqref="G18:H18 G22:H22">
    <cfRule type="colorScale" priority="1">
      <colorScale>
        <cfvo type="min"/>
        <cfvo type="max"/>
        <color rgb="FF57BB8A"/>
        <color rgb="FFFFFFFF"/>
      </colorScale>
    </cfRule>
  </conditionalFormatting>
  <hyperlinks>
    <hyperlink r:id="rId1" ref="G13"/>
    <hyperlink r:id="rId2" ref="G14"/>
    <hyperlink r:id="rId3" ref="G15"/>
    <hyperlink r:id="rId4" ref="G17"/>
    <hyperlink r:id="rId5" ref="G18"/>
    <hyperlink r:id="rId6" ref="G19"/>
    <hyperlink r:id="rId7" ref="G20"/>
    <hyperlink r:id="rId8" ref="G21"/>
    <hyperlink r:id="rId9" ref="G22"/>
    <hyperlink r:id="rId10" ref="G23"/>
    <hyperlink r:id="rId11" ref="G24"/>
    <hyperlink r:id="rId12" ref="G27"/>
    <hyperlink r:id="rId13" ref="G28"/>
    <hyperlink r:id="rId14" ref="G29"/>
    <hyperlink r:id="rId15" ref="G30"/>
    <hyperlink r:id="rId16" ref="G31"/>
    <hyperlink r:id="rId17" ref="G32"/>
    <hyperlink r:id="rId18" ref="G33"/>
    <hyperlink r:id="rId19" ref="G34"/>
    <hyperlink r:id="rId20" ref="G35"/>
    <hyperlink r:id="rId21" ref="G36"/>
    <hyperlink r:id="rId22" ref="G37"/>
    <hyperlink r:id="rId23" ref="G38"/>
    <hyperlink r:id="rId24" ref="G39"/>
    <hyperlink r:id="rId25" ref="G40"/>
    <hyperlink r:id="rId26" ref="G41"/>
    <hyperlink r:id="rId27" ref="G42"/>
    <hyperlink r:id="rId28" ref="G43"/>
    <hyperlink r:id="rId29" ref="G45"/>
    <hyperlink r:id="rId30" ref="G46"/>
    <hyperlink r:id="rId31" ref="G47"/>
    <hyperlink r:id="rId32" ref="G48"/>
    <hyperlink r:id="rId33" ref="G49"/>
    <hyperlink r:id="rId34" ref="G50"/>
    <hyperlink r:id="rId35" ref="G51"/>
    <hyperlink r:id="rId36" ref="G52"/>
    <hyperlink r:id="rId37" ref="G53"/>
    <hyperlink r:id="rId38" ref="G54"/>
  </hyperlinks>
  <drawing r:id="rId3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44.88"/>
    <col customWidth="1" min="3" max="3" width="13.0"/>
    <col customWidth="1" min="4" max="4" width="15.63"/>
    <col customWidth="1" min="5" max="5" width="15.13"/>
    <col customWidth="1" min="6" max="6" width="19.5"/>
    <col customWidth="1" min="7" max="7" width="28.75"/>
    <col customWidth="1" min="8" max="8" width="35.63"/>
    <col customWidth="1" min="9" max="9" width="36.63"/>
  </cols>
  <sheetData>
    <row r="2" ht="21.75" customHeight="1">
      <c r="B2" s="388" t="s">
        <v>327</v>
      </c>
      <c r="C2" s="2"/>
      <c r="D2" s="2"/>
      <c r="E2" s="390"/>
      <c r="F2" s="392" t="s">
        <v>7</v>
      </c>
      <c r="G2" s="395" t="s">
        <v>330</v>
      </c>
      <c r="H2" s="397" t="s">
        <v>11</v>
      </c>
    </row>
    <row r="3" ht="40.5" customHeight="1">
      <c r="B3" s="18"/>
      <c r="C3" s="20"/>
      <c r="D3" s="20"/>
      <c r="E3" s="123"/>
      <c r="F3" s="401"/>
      <c r="G3" s="289"/>
      <c r="H3" s="402"/>
    </row>
    <row r="4" ht="33.0" customHeight="1">
      <c r="B4" s="403" t="s">
        <v>20</v>
      </c>
      <c r="C4" s="405" t="s">
        <v>21</v>
      </c>
      <c r="D4" s="41"/>
      <c r="E4" s="42"/>
      <c r="F4" s="409" t="s">
        <v>23</v>
      </c>
      <c r="G4" s="411" t="s">
        <v>759</v>
      </c>
      <c r="H4" s="3"/>
    </row>
    <row r="5" ht="24.0" customHeight="1">
      <c r="B5" s="403" t="s">
        <v>41</v>
      </c>
      <c r="C5" s="780">
        <v>45920.0</v>
      </c>
      <c r="D5" s="417" t="s">
        <v>35</v>
      </c>
      <c r="E5" s="420" t="s">
        <v>348</v>
      </c>
      <c r="F5" s="417" t="s">
        <v>70</v>
      </c>
      <c r="G5" s="424" t="s">
        <v>352</v>
      </c>
      <c r="H5" s="3"/>
    </row>
    <row r="6">
      <c r="B6" s="112"/>
      <c r="C6" s="426"/>
      <c r="D6" s="426"/>
      <c r="E6" s="426"/>
      <c r="F6" s="426"/>
      <c r="G6" s="122"/>
      <c r="H6" s="23"/>
    </row>
    <row r="7">
      <c r="B7" s="431" t="s">
        <v>345</v>
      </c>
      <c r="C7" s="433" t="s">
        <v>346</v>
      </c>
      <c r="D7" s="433" t="s">
        <v>359</v>
      </c>
      <c r="E7" s="435" t="s">
        <v>361</v>
      </c>
      <c r="F7" s="437" t="s">
        <v>363</v>
      </c>
      <c r="G7" s="440" t="s">
        <v>353</v>
      </c>
      <c r="H7" s="65"/>
    </row>
    <row r="8">
      <c r="B8" s="462" t="s">
        <v>367</v>
      </c>
      <c r="C8" s="464">
        <v>35.0</v>
      </c>
      <c r="D8" s="468">
        <v>5200.0</v>
      </c>
      <c r="E8" s="468">
        <f t="shared" ref="E8:E56" si="1">C8*D8</f>
        <v>182000</v>
      </c>
      <c r="F8" s="470" t="s">
        <v>381</v>
      </c>
      <c r="G8" s="471"/>
      <c r="H8" s="200"/>
    </row>
    <row r="9">
      <c r="B9" s="462" t="s">
        <v>383</v>
      </c>
      <c r="C9" s="464">
        <v>50.0</v>
      </c>
      <c r="D9" s="468">
        <v>5200.0</v>
      </c>
      <c r="E9" s="468">
        <f t="shared" si="1"/>
        <v>260000</v>
      </c>
      <c r="F9" s="470" t="s">
        <v>381</v>
      </c>
      <c r="G9" s="471"/>
      <c r="H9" s="200"/>
    </row>
    <row r="10">
      <c r="B10" s="462" t="s">
        <v>386</v>
      </c>
      <c r="C10" s="464">
        <v>10.0</v>
      </c>
      <c r="D10" s="468">
        <v>5200.0</v>
      </c>
      <c r="E10" s="468">
        <f t="shared" si="1"/>
        <v>52000</v>
      </c>
      <c r="F10" s="470" t="s">
        <v>381</v>
      </c>
      <c r="G10" s="471"/>
      <c r="H10" s="200"/>
    </row>
    <row r="11">
      <c r="B11" s="782" t="s">
        <v>391</v>
      </c>
      <c r="C11" s="464">
        <v>5.0</v>
      </c>
      <c r="D11" s="468">
        <v>10900.0</v>
      </c>
      <c r="E11" s="468">
        <f t="shared" si="1"/>
        <v>54500</v>
      </c>
      <c r="F11" s="470" t="s">
        <v>395</v>
      </c>
      <c r="G11" s="471"/>
      <c r="H11" s="200"/>
      <c r="I11" s="476" t="s">
        <v>396</v>
      </c>
    </row>
    <row r="12">
      <c r="A12" s="258"/>
      <c r="B12" s="783" t="s">
        <v>397</v>
      </c>
      <c r="C12" s="784">
        <v>1.0</v>
      </c>
      <c r="D12" s="785">
        <v>1360000.0</v>
      </c>
      <c r="E12" s="786">
        <f t="shared" si="1"/>
        <v>1360000</v>
      </c>
      <c r="F12" s="787" t="s">
        <v>402</v>
      </c>
      <c r="G12" s="788"/>
      <c r="H12" s="200"/>
    </row>
    <row r="13">
      <c r="A13" s="258"/>
      <c r="B13" s="789" t="s">
        <v>407</v>
      </c>
      <c r="C13" s="484">
        <v>4.0</v>
      </c>
      <c r="D13" s="485">
        <v>6800.0</v>
      </c>
      <c r="E13" s="485">
        <f t="shared" si="1"/>
        <v>27200</v>
      </c>
      <c r="F13" s="488" t="s">
        <v>410</v>
      </c>
      <c r="G13" s="497" t="s">
        <v>412</v>
      </c>
      <c r="H13" s="200"/>
    </row>
    <row r="14">
      <c r="A14" s="258"/>
      <c r="B14" s="789" t="s">
        <v>425</v>
      </c>
      <c r="C14" s="498">
        <v>0.0</v>
      </c>
      <c r="D14" s="485">
        <v>3690.0</v>
      </c>
      <c r="E14" s="485">
        <f t="shared" si="1"/>
        <v>0</v>
      </c>
      <c r="F14" s="501" t="s">
        <v>428</v>
      </c>
      <c r="G14" s="506" t="s">
        <v>429</v>
      </c>
      <c r="H14" s="200"/>
    </row>
    <row r="15">
      <c r="A15" s="258"/>
      <c r="B15" s="508" t="s">
        <v>439</v>
      </c>
      <c r="C15" s="498">
        <v>1.0</v>
      </c>
      <c r="D15" s="509">
        <v>15990.0</v>
      </c>
      <c r="E15" s="485">
        <f t="shared" si="1"/>
        <v>15990</v>
      </c>
      <c r="F15" s="501" t="s">
        <v>428</v>
      </c>
      <c r="G15" s="516" t="s">
        <v>443</v>
      </c>
      <c r="H15" s="200"/>
      <c r="I15" s="24"/>
    </row>
    <row r="16">
      <c r="A16" s="258"/>
      <c r="B16" s="508" t="s">
        <v>453</v>
      </c>
      <c r="C16" s="498">
        <v>1.0</v>
      </c>
      <c r="D16" s="509">
        <v>8590.0</v>
      </c>
      <c r="E16" s="485">
        <f t="shared" si="1"/>
        <v>8590</v>
      </c>
      <c r="F16" s="501" t="s">
        <v>428</v>
      </c>
      <c r="G16" s="516"/>
      <c r="H16" s="200"/>
      <c r="I16" s="24"/>
    </row>
    <row r="17">
      <c r="A17" s="258"/>
      <c r="B17" s="508" t="s">
        <v>760</v>
      </c>
      <c r="C17" s="498">
        <v>1.0</v>
      </c>
      <c r="D17" s="509">
        <v>40210.0</v>
      </c>
      <c r="E17" s="485">
        <f t="shared" si="1"/>
        <v>40210</v>
      </c>
      <c r="F17" s="501" t="s">
        <v>428</v>
      </c>
      <c r="G17" s="497" t="s">
        <v>761</v>
      </c>
      <c r="H17" s="200"/>
      <c r="I17" s="258"/>
    </row>
    <row r="18">
      <c r="A18" s="258"/>
      <c r="B18" s="508" t="s">
        <v>762</v>
      </c>
      <c r="C18" s="498">
        <v>1.0</v>
      </c>
      <c r="D18" s="509">
        <v>26810.0</v>
      </c>
      <c r="E18" s="485">
        <f t="shared" si="1"/>
        <v>26810</v>
      </c>
      <c r="F18" s="501" t="s">
        <v>428</v>
      </c>
      <c r="G18" s="790"/>
      <c r="H18" s="790"/>
      <c r="I18" s="258"/>
    </row>
    <row r="19">
      <c r="A19" s="258"/>
      <c r="B19" s="508" t="s">
        <v>763</v>
      </c>
      <c r="C19" s="498">
        <v>1.0</v>
      </c>
      <c r="D19" s="509">
        <v>45000.0</v>
      </c>
      <c r="E19" s="485">
        <f t="shared" si="1"/>
        <v>45000</v>
      </c>
      <c r="F19" s="501" t="s">
        <v>428</v>
      </c>
      <c r="G19" s="516" t="s">
        <v>764</v>
      </c>
      <c r="H19" s="200"/>
      <c r="I19" s="24"/>
    </row>
    <row r="20">
      <c r="A20" s="258"/>
      <c r="B20" s="508" t="s">
        <v>765</v>
      </c>
      <c r="C20" s="498">
        <v>1.0</v>
      </c>
      <c r="D20" s="509">
        <v>30000.0</v>
      </c>
      <c r="E20" s="485">
        <f t="shared" si="1"/>
        <v>30000</v>
      </c>
      <c r="F20" s="501" t="s">
        <v>428</v>
      </c>
      <c r="G20" s="587"/>
      <c r="H20" s="587"/>
      <c r="I20" s="24"/>
    </row>
    <row r="21" ht="15.75" customHeight="1">
      <c r="A21" s="258"/>
      <c r="B21" s="791" t="s">
        <v>463</v>
      </c>
      <c r="C21" s="498">
        <v>0.0</v>
      </c>
      <c r="D21" s="485">
        <v>3900.0</v>
      </c>
      <c r="E21" s="485">
        <f t="shared" si="1"/>
        <v>0</v>
      </c>
      <c r="F21" s="501" t="s">
        <v>428</v>
      </c>
      <c r="G21" s="516" t="s">
        <v>466</v>
      </c>
      <c r="H21" s="200"/>
      <c r="I21" s="24"/>
    </row>
    <row r="22" ht="15.75" customHeight="1">
      <c r="A22" s="258"/>
      <c r="B22" s="791" t="s">
        <v>470</v>
      </c>
      <c r="C22" s="498">
        <v>0.0</v>
      </c>
      <c r="D22" s="485">
        <v>3266.0</v>
      </c>
      <c r="E22" s="485">
        <f t="shared" si="1"/>
        <v>0</v>
      </c>
      <c r="F22" s="501" t="s">
        <v>428</v>
      </c>
      <c r="G22" s="537" t="s">
        <v>473</v>
      </c>
      <c r="H22" s="200"/>
      <c r="I22" s="24"/>
    </row>
    <row r="23">
      <c r="A23" s="258"/>
      <c r="B23" s="789" t="s">
        <v>482</v>
      </c>
      <c r="C23" s="484">
        <v>1.0</v>
      </c>
      <c r="D23" s="509">
        <v>7500.0</v>
      </c>
      <c r="E23" s="485">
        <f t="shared" si="1"/>
        <v>7500</v>
      </c>
      <c r="F23" s="501" t="s">
        <v>428</v>
      </c>
      <c r="G23" s="537" t="s">
        <v>484</v>
      </c>
      <c r="H23" s="200"/>
    </row>
    <row r="24">
      <c r="A24" s="258"/>
      <c r="B24" s="789" t="s">
        <v>490</v>
      </c>
      <c r="C24" s="484">
        <v>1.0</v>
      </c>
      <c r="D24" s="485">
        <v>11900.0</v>
      </c>
      <c r="E24" s="485">
        <f t="shared" si="1"/>
        <v>11900</v>
      </c>
      <c r="F24" s="501" t="s">
        <v>428</v>
      </c>
      <c r="G24" s="516" t="s">
        <v>497</v>
      </c>
      <c r="H24" s="200"/>
      <c r="I24" s="258"/>
    </row>
    <row r="25">
      <c r="A25" s="258"/>
      <c r="B25" s="789" t="s">
        <v>504</v>
      </c>
      <c r="C25" s="484">
        <v>1.0</v>
      </c>
      <c r="D25" s="509">
        <v>16840.0</v>
      </c>
      <c r="E25" s="485">
        <f t="shared" si="1"/>
        <v>16840</v>
      </c>
      <c r="F25" s="501" t="s">
        <v>428</v>
      </c>
      <c r="G25" s="516" t="s">
        <v>506</v>
      </c>
      <c r="H25" s="200"/>
      <c r="I25" s="258"/>
    </row>
    <row r="26">
      <c r="A26" s="258"/>
      <c r="B26" s="791" t="s">
        <v>514</v>
      </c>
      <c r="C26" s="498">
        <v>0.0</v>
      </c>
      <c r="D26" s="485">
        <v>9820.0</v>
      </c>
      <c r="E26" s="485">
        <f t="shared" si="1"/>
        <v>0</v>
      </c>
      <c r="F26" s="501" t="s">
        <v>428</v>
      </c>
      <c r="G26" s="516" t="s">
        <v>515</v>
      </c>
      <c r="H26" s="200"/>
      <c r="I26" s="258"/>
    </row>
    <row r="27" ht="15.75" customHeight="1">
      <c r="A27" s="258"/>
      <c r="B27" s="483" t="s">
        <v>522</v>
      </c>
      <c r="C27" s="571">
        <v>1.0</v>
      </c>
      <c r="D27" s="485">
        <v>98000.0</v>
      </c>
      <c r="E27" s="485">
        <f t="shared" si="1"/>
        <v>98000</v>
      </c>
      <c r="F27" s="501" t="s">
        <v>369</v>
      </c>
      <c r="G27" s="516" t="s">
        <v>385</v>
      </c>
      <c r="H27" s="200"/>
      <c r="I27" s="258"/>
    </row>
    <row r="28" ht="15.75" customHeight="1">
      <c r="A28" s="258"/>
      <c r="B28" s="508" t="s">
        <v>529</v>
      </c>
      <c r="C28" s="248"/>
      <c r="D28" s="579"/>
      <c r="E28" s="485">
        <f t="shared" si="1"/>
        <v>0</v>
      </c>
      <c r="F28" s="248"/>
      <c r="G28" s="254"/>
      <c r="H28" s="200"/>
      <c r="I28" s="258"/>
    </row>
    <row r="29" ht="15.75" customHeight="1">
      <c r="A29" s="258"/>
      <c r="B29" s="483" t="s">
        <v>538</v>
      </c>
      <c r="C29" s="498">
        <v>3.0</v>
      </c>
      <c r="D29" s="485">
        <v>12000.0</v>
      </c>
      <c r="E29" s="485">
        <f t="shared" si="1"/>
        <v>36000</v>
      </c>
      <c r="F29" s="501" t="s">
        <v>369</v>
      </c>
      <c r="G29" s="516" t="s">
        <v>542</v>
      </c>
      <c r="H29" s="200"/>
      <c r="I29" s="258"/>
    </row>
    <row r="30" ht="15.75" customHeight="1">
      <c r="A30" s="258"/>
      <c r="B30" s="789" t="s">
        <v>547</v>
      </c>
      <c r="C30" s="498">
        <v>1.0</v>
      </c>
      <c r="D30" s="485">
        <v>48800.0</v>
      </c>
      <c r="E30" s="485">
        <f t="shared" si="1"/>
        <v>48800</v>
      </c>
      <c r="F30" s="501" t="s">
        <v>428</v>
      </c>
      <c r="G30" s="497" t="s">
        <v>549</v>
      </c>
      <c r="H30" s="200"/>
      <c r="I30" s="258"/>
    </row>
    <row r="31" ht="15.75" customHeight="1">
      <c r="A31" s="258"/>
      <c r="B31" s="789" t="s">
        <v>557</v>
      </c>
      <c r="C31" s="484">
        <v>1.0</v>
      </c>
      <c r="D31" s="485">
        <v>5500.0</v>
      </c>
      <c r="E31" s="485">
        <f t="shared" si="1"/>
        <v>5500</v>
      </c>
      <c r="F31" s="501" t="s">
        <v>428</v>
      </c>
      <c r="G31" s="605" t="s">
        <v>559</v>
      </c>
      <c r="H31" s="200"/>
      <c r="I31" s="258"/>
    </row>
    <row r="32" ht="15.75" customHeight="1">
      <c r="A32" s="258"/>
      <c r="B32" s="789" t="s">
        <v>564</v>
      </c>
      <c r="C32" s="498">
        <v>0.0</v>
      </c>
      <c r="D32" s="485">
        <v>5200.0</v>
      </c>
      <c r="E32" s="485">
        <f t="shared" si="1"/>
        <v>0</v>
      </c>
      <c r="F32" s="501" t="s">
        <v>428</v>
      </c>
      <c r="G32" s="605" t="s">
        <v>567</v>
      </c>
      <c r="H32" s="200"/>
      <c r="I32" s="258"/>
    </row>
    <row r="33" ht="15.75" customHeight="1">
      <c r="A33" s="258"/>
      <c r="B33" s="789" t="s">
        <v>576</v>
      </c>
      <c r="C33" s="484">
        <v>1.0</v>
      </c>
      <c r="D33" s="485">
        <v>9210.0</v>
      </c>
      <c r="E33" s="485">
        <f t="shared" si="1"/>
        <v>9210</v>
      </c>
      <c r="F33" s="501" t="s">
        <v>428</v>
      </c>
      <c r="G33" s="497" t="s">
        <v>577</v>
      </c>
      <c r="H33" s="200"/>
      <c r="I33" s="258"/>
    </row>
    <row r="34" ht="15.75" customHeight="1">
      <c r="B34" s="789" t="s">
        <v>583</v>
      </c>
      <c r="C34" s="484">
        <v>1.0</v>
      </c>
      <c r="D34" s="485">
        <v>9210.0</v>
      </c>
      <c r="E34" s="485">
        <f t="shared" si="1"/>
        <v>9210</v>
      </c>
      <c r="F34" s="501" t="s">
        <v>428</v>
      </c>
      <c r="G34" s="516" t="s">
        <v>587</v>
      </c>
      <c r="H34" s="200"/>
      <c r="I34" s="258"/>
    </row>
    <row r="35" ht="15.75" customHeight="1">
      <c r="B35" s="792" t="s">
        <v>766</v>
      </c>
      <c r="C35" s="624">
        <v>0.0</v>
      </c>
      <c r="D35" s="485">
        <v>29900.0</v>
      </c>
      <c r="E35" s="485">
        <f t="shared" si="1"/>
        <v>0</v>
      </c>
      <c r="F35" s="488" t="s">
        <v>428</v>
      </c>
      <c r="G35" s="497" t="s">
        <v>601</v>
      </c>
      <c r="H35" s="200"/>
      <c r="I35" s="258"/>
    </row>
    <row r="36" ht="15.75" customHeight="1">
      <c r="B36" s="791" t="s">
        <v>613</v>
      </c>
      <c r="C36" s="498">
        <v>0.0</v>
      </c>
      <c r="D36" s="485">
        <v>9890.0</v>
      </c>
      <c r="E36" s="485">
        <f t="shared" si="1"/>
        <v>0</v>
      </c>
      <c r="F36" s="501" t="s">
        <v>428</v>
      </c>
      <c r="G36" s="516" t="s">
        <v>615</v>
      </c>
      <c r="H36" s="200"/>
      <c r="I36" s="258"/>
    </row>
    <row r="37" ht="15.75" customHeight="1">
      <c r="B37" s="789" t="s">
        <v>622</v>
      </c>
      <c r="C37" s="484">
        <v>11.0</v>
      </c>
      <c r="D37" s="485">
        <v>690.0</v>
      </c>
      <c r="E37" s="485">
        <f t="shared" si="1"/>
        <v>7590</v>
      </c>
      <c r="F37" s="488" t="s">
        <v>428</v>
      </c>
      <c r="G37" s="516" t="s">
        <v>624</v>
      </c>
      <c r="H37" s="200"/>
      <c r="I37" s="258"/>
    </row>
    <row r="38" ht="15.75" customHeight="1">
      <c r="B38" s="789" t="s">
        <v>630</v>
      </c>
      <c r="C38" s="484">
        <v>11.0</v>
      </c>
      <c r="D38" s="485">
        <v>690.0</v>
      </c>
      <c r="E38" s="485">
        <f t="shared" si="1"/>
        <v>7590</v>
      </c>
      <c r="F38" s="488" t="s">
        <v>428</v>
      </c>
      <c r="G38" s="516" t="s">
        <v>631</v>
      </c>
      <c r="H38" s="200"/>
      <c r="I38" s="258"/>
    </row>
    <row r="39" ht="15.75" customHeight="1">
      <c r="B39" s="789" t="s">
        <v>637</v>
      </c>
      <c r="C39" s="484">
        <v>10.0</v>
      </c>
      <c r="D39" s="485">
        <v>690.0</v>
      </c>
      <c r="E39" s="485">
        <f t="shared" si="1"/>
        <v>6900</v>
      </c>
      <c r="F39" s="488" t="s">
        <v>428</v>
      </c>
      <c r="G39" s="516" t="s">
        <v>642</v>
      </c>
      <c r="H39" s="200"/>
      <c r="I39" s="258"/>
    </row>
    <row r="40" ht="15.75" customHeight="1">
      <c r="B40" s="789" t="s">
        <v>646</v>
      </c>
      <c r="C40" s="484">
        <v>10.0</v>
      </c>
      <c r="D40" s="485">
        <v>690.0</v>
      </c>
      <c r="E40" s="485">
        <f t="shared" si="1"/>
        <v>6900</v>
      </c>
      <c r="F40" s="488" t="s">
        <v>428</v>
      </c>
      <c r="G40" s="516" t="s">
        <v>649</v>
      </c>
      <c r="H40" s="200"/>
      <c r="I40" s="258"/>
    </row>
    <row r="41" ht="15.75" customHeight="1">
      <c r="B41" s="789" t="s">
        <v>652</v>
      </c>
      <c r="C41" s="484">
        <v>10.0</v>
      </c>
      <c r="D41" s="485">
        <v>690.0</v>
      </c>
      <c r="E41" s="485">
        <f t="shared" si="1"/>
        <v>6900</v>
      </c>
      <c r="F41" s="488" t="s">
        <v>428</v>
      </c>
      <c r="G41" s="516" t="s">
        <v>655</v>
      </c>
      <c r="H41" s="200"/>
      <c r="I41" s="258"/>
    </row>
    <row r="42" ht="15.75" customHeight="1">
      <c r="B42" s="789" t="s">
        <v>767</v>
      </c>
      <c r="C42" s="793">
        <v>0.0</v>
      </c>
      <c r="D42" s="485">
        <v>12400.0</v>
      </c>
      <c r="E42" s="485">
        <f t="shared" si="1"/>
        <v>0</v>
      </c>
      <c r="F42" s="488" t="s">
        <v>664</v>
      </c>
      <c r="G42" s="254"/>
      <c r="H42" s="200"/>
      <c r="I42" s="258"/>
    </row>
    <row r="43" ht="15.75" customHeight="1">
      <c r="B43" s="789" t="s">
        <v>768</v>
      </c>
      <c r="C43" s="464">
        <v>0.0</v>
      </c>
      <c r="D43" s="468">
        <v>12400.0</v>
      </c>
      <c r="E43" s="468">
        <f t="shared" si="1"/>
        <v>0</v>
      </c>
      <c r="F43" s="470" t="s">
        <v>664</v>
      </c>
      <c r="G43" s="480" t="s">
        <v>665</v>
      </c>
      <c r="H43" s="200"/>
      <c r="I43" s="258"/>
    </row>
    <row r="44" ht="15.75" customHeight="1">
      <c r="B44" s="483" t="s">
        <v>668</v>
      </c>
      <c r="C44" s="484">
        <v>1.0</v>
      </c>
      <c r="D44" s="485">
        <v>11600.0</v>
      </c>
      <c r="E44" s="485">
        <f t="shared" si="1"/>
        <v>11600</v>
      </c>
      <c r="F44" s="501" t="s">
        <v>428</v>
      </c>
      <c r="G44" s="497" t="s">
        <v>769</v>
      </c>
      <c r="H44" s="200"/>
      <c r="I44" s="258"/>
    </row>
    <row r="45" ht="15.75" customHeight="1">
      <c r="B45" s="483" t="s">
        <v>770</v>
      </c>
      <c r="C45" s="484">
        <v>3.0</v>
      </c>
      <c r="D45" s="485">
        <v>37260.0</v>
      </c>
      <c r="E45" s="485">
        <f t="shared" si="1"/>
        <v>111780</v>
      </c>
      <c r="F45" s="501" t="s">
        <v>428</v>
      </c>
      <c r="G45" s="497" t="s">
        <v>771</v>
      </c>
      <c r="H45" s="200"/>
    </row>
    <row r="46" ht="15.75" customHeight="1">
      <c r="B46" s="483" t="s">
        <v>685</v>
      </c>
      <c r="C46" s="484">
        <v>2.0</v>
      </c>
      <c r="D46" s="485">
        <v>29280.0</v>
      </c>
      <c r="E46" s="485">
        <f t="shared" si="1"/>
        <v>58560</v>
      </c>
      <c r="F46" s="488" t="s">
        <v>428</v>
      </c>
      <c r="G46" s="497" t="s">
        <v>687</v>
      </c>
      <c r="H46" s="200"/>
    </row>
    <row r="47" ht="15.75" customHeight="1">
      <c r="B47" s="789" t="s">
        <v>694</v>
      </c>
      <c r="C47" s="624">
        <v>0.0</v>
      </c>
      <c r="D47" s="485">
        <v>24150.0</v>
      </c>
      <c r="E47" s="485">
        <f t="shared" si="1"/>
        <v>0</v>
      </c>
      <c r="F47" s="488" t="s">
        <v>428</v>
      </c>
      <c r="G47" s="497" t="s">
        <v>697</v>
      </c>
      <c r="H47" s="200"/>
    </row>
    <row r="48" ht="15.75" customHeight="1">
      <c r="B48" s="791" t="s">
        <v>702</v>
      </c>
      <c r="C48" s="624">
        <v>0.0</v>
      </c>
      <c r="D48" s="485">
        <v>25250.0</v>
      </c>
      <c r="E48" s="485">
        <f t="shared" si="1"/>
        <v>0</v>
      </c>
      <c r="F48" s="488" t="s">
        <v>428</v>
      </c>
      <c r="G48" s="497" t="s">
        <v>705</v>
      </c>
      <c r="H48" s="200"/>
    </row>
    <row r="49" ht="15.75" customHeight="1">
      <c r="B49" s="791" t="s">
        <v>711</v>
      </c>
      <c r="C49" s="624">
        <v>0.0</v>
      </c>
      <c r="D49" s="485">
        <v>4750.0</v>
      </c>
      <c r="E49" s="485">
        <f t="shared" si="1"/>
        <v>0</v>
      </c>
      <c r="F49" s="488" t="s">
        <v>428</v>
      </c>
      <c r="G49" s="497" t="s">
        <v>713</v>
      </c>
      <c r="H49" s="200"/>
    </row>
    <row r="50" ht="15.75" customHeight="1">
      <c r="B50" s="789" t="s">
        <v>548</v>
      </c>
      <c r="C50" s="624">
        <v>1.0</v>
      </c>
      <c r="D50" s="485">
        <v>62800.0</v>
      </c>
      <c r="E50" s="485">
        <f t="shared" si="1"/>
        <v>62800</v>
      </c>
      <c r="F50" s="488" t="s">
        <v>428</v>
      </c>
      <c r="G50" s="497" t="s">
        <v>717</v>
      </c>
      <c r="H50" s="200"/>
    </row>
    <row r="51" ht="15.75" customHeight="1">
      <c r="B51" s="789" t="s">
        <v>551</v>
      </c>
      <c r="C51" s="624">
        <v>1.0</v>
      </c>
      <c r="D51" s="485">
        <v>32800.0</v>
      </c>
      <c r="E51" s="485">
        <f t="shared" si="1"/>
        <v>32800</v>
      </c>
      <c r="F51" s="488" t="s">
        <v>428</v>
      </c>
      <c r="G51" s="497" t="s">
        <v>719</v>
      </c>
      <c r="H51" s="200"/>
    </row>
    <row r="52" ht="15.75" customHeight="1">
      <c r="B52" s="789" t="s">
        <v>552</v>
      </c>
      <c r="C52" s="802">
        <v>1.0</v>
      </c>
      <c r="D52" s="485">
        <v>15000.0</v>
      </c>
      <c r="E52" s="485">
        <f t="shared" si="1"/>
        <v>15000</v>
      </c>
      <c r="F52" s="488" t="s">
        <v>428</v>
      </c>
      <c r="G52" s="497" t="s">
        <v>721</v>
      </c>
      <c r="H52" s="200"/>
    </row>
    <row r="53" ht="15.75" customHeight="1">
      <c r="B53" s="789" t="s">
        <v>554</v>
      </c>
      <c r="C53" s="802">
        <v>1.0</v>
      </c>
      <c r="D53" s="485">
        <v>9200.0</v>
      </c>
      <c r="E53" s="485">
        <f t="shared" si="1"/>
        <v>9200</v>
      </c>
      <c r="F53" s="488" t="s">
        <v>428</v>
      </c>
      <c r="G53" s="497" t="s">
        <v>723</v>
      </c>
      <c r="H53" s="200"/>
    </row>
    <row r="54" ht="15.75" customHeight="1">
      <c r="B54" s="789" t="s">
        <v>555</v>
      </c>
      <c r="C54" s="802">
        <v>1.0</v>
      </c>
      <c r="D54" s="485">
        <v>9200.0</v>
      </c>
      <c r="E54" s="485">
        <f t="shared" si="1"/>
        <v>9200</v>
      </c>
      <c r="F54" s="488" t="s">
        <v>428</v>
      </c>
      <c r="G54" s="497" t="s">
        <v>724</v>
      </c>
      <c r="H54" s="200"/>
    </row>
    <row r="55" ht="15.75" customHeight="1">
      <c r="B55" s="789" t="s">
        <v>725</v>
      </c>
      <c r="C55" s="802">
        <v>1.0</v>
      </c>
      <c r="D55" s="485">
        <v>9800.0</v>
      </c>
      <c r="E55" s="485">
        <f t="shared" si="1"/>
        <v>9800</v>
      </c>
      <c r="F55" s="488" t="s">
        <v>428</v>
      </c>
      <c r="G55" s="497" t="s">
        <v>726</v>
      </c>
      <c r="H55" s="200"/>
    </row>
    <row r="56" ht="15.75" customHeight="1">
      <c r="B56" s="789" t="s">
        <v>729</v>
      </c>
      <c r="C56" s="624">
        <v>5.0</v>
      </c>
      <c r="D56" s="485">
        <v>12000.0</v>
      </c>
      <c r="E56" s="485">
        <f t="shared" si="1"/>
        <v>60000</v>
      </c>
      <c r="F56" s="488" t="s">
        <v>718</v>
      </c>
      <c r="G56" s="497" t="s">
        <v>731</v>
      </c>
      <c r="H56" s="200"/>
    </row>
    <row r="57" ht="15.75" customHeight="1">
      <c r="B57" s="192"/>
      <c r="C57" s="113"/>
      <c r="D57" s="113"/>
      <c r="E57" s="736"/>
      <c r="F57" s="113"/>
      <c r="G57" s="34"/>
      <c r="H57" s="200"/>
    </row>
    <row r="58" ht="15.75" customHeight="1">
      <c r="B58" s="737" t="s">
        <v>734</v>
      </c>
      <c r="C58" s="113"/>
      <c r="D58" s="113"/>
      <c r="E58" s="739">
        <f>SUM(E8:E56)</f>
        <v>2761880</v>
      </c>
      <c r="F58" s="113"/>
      <c r="G58" s="34"/>
      <c r="H58" s="200"/>
    </row>
    <row r="59" ht="15.75" customHeight="1">
      <c r="B59" s="483" t="s">
        <v>787</v>
      </c>
      <c r="C59" s="248"/>
      <c r="D59" s="248"/>
      <c r="E59" s="485">
        <f>SUM(E8:E12)</f>
        <v>1908500</v>
      </c>
      <c r="F59" s="113"/>
      <c r="G59" s="34"/>
      <c r="H59" s="200"/>
    </row>
    <row r="60" ht="15.75" customHeight="1">
      <c r="B60" s="737" t="s">
        <v>788</v>
      </c>
      <c r="C60" s="113"/>
      <c r="D60" s="113"/>
      <c r="E60" s="739">
        <f>40*12000</f>
        <v>480000</v>
      </c>
      <c r="F60" s="113"/>
      <c r="G60" s="34"/>
      <c r="H60" s="200"/>
    </row>
    <row r="61" ht="15.75" customHeight="1">
      <c r="B61" s="744" t="s">
        <v>789</v>
      </c>
      <c r="C61" s="113"/>
      <c r="D61" s="113"/>
      <c r="E61" s="739">
        <f>E58-E59-E60</f>
        <v>373380</v>
      </c>
      <c r="F61" s="113"/>
      <c r="G61" s="34"/>
      <c r="H61" s="200"/>
    </row>
    <row r="62" ht="15.75" customHeight="1">
      <c r="B62" s="192"/>
      <c r="C62" s="113"/>
      <c r="D62" s="113"/>
      <c r="E62" s="113"/>
      <c r="F62" s="113"/>
      <c r="G62" s="34"/>
      <c r="H62" s="200"/>
    </row>
    <row r="63" ht="15.75" customHeight="1">
      <c r="B63" s="748" t="s">
        <v>738</v>
      </c>
      <c r="E63" s="104"/>
      <c r="F63" s="113"/>
      <c r="G63" s="34"/>
      <c r="H63" s="200"/>
    </row>
    <row r="64" ht="15.75" customHeight="1">
      <c r="B64" s="737" t="s">
        <v>740</v>
      </c>
      <c r="C64" s="693"/>
      <c r="D64" s="693"/>
      <c r="E64" s="693"/>
      <c r="F64" s="693"/>
      <c r="G64" s="750"/>
      <c r="H64" s="200"/>
    </row>
    <row r="65" ht="15.75" customHeight="1">
      <c r="B65" s="192"/>
      <c r="C65" s="693"/>
      <c r="D65" s="693"/>
      <c r="E65" s="693"/>
      <c r="F65" s="693"/>
      <c r="G65" s="750"/>
      <c r="H65" s="200"/>
    </row>
    <row r="66" ht="15.75" customHeight="1">
      <c r="B66" s="804"/>
      <c r="C66" s="693"/>
      <c r="D66" s="693"/>
      <c r="E66" s="693"/>
      <c r="F66" s="693"/>
      <c r="G66" s="750"/>
      <c r="H66" s="200"/>
    </row>
    <row r="67" ht="15.75" customHeight="1">
      <c r="B67" s="805"/>
      <c r="C67" s="755"/>
      <c r="D67" s="755"/>
      <c r="E67" s="755"/>
      <c r="F67" s="755"/>
      <c r="G67" s="756"/>
      <c r="H67" s="23"/>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69">
    <mergeCell ref="G49:H49"/>
    <mergeCell ref="G50:H50"/>
    <mergeCell ref="G51:H51"/>
    <mergeCell ref="G52:H52"/>
    <mergeCell ref="G53:H53"/>
    <mergeCell ref="G54:H54"/>
    <mergeCell ref="G55:H55"/>
    <mergeCell ref="G62:H62"/>
    <mergeCell ref="G63:H63"/>
    <mergeCell ref="G64:H64"/>
    <mergeCell ref="G65:H65"/>
    <mergeCell ref="G66:H66"/>
    <mergeCell ref="G67:H67"/>
    <mergeCell ref="G56:H56"/>
    <mergeCell ref="G57:H57"/>
    <mergeCell ref="G58:H58"/>
    <mergeCell ref="G59:H59"/>
    <mergeCell ref="G60:H60"/>
    <mergeCell ref="G61:H61"/>
    <mergeCell ref="B63:E63"/>
    <mergeCell ref="B2:E3"/>
    <mergeCell ref="C4:E4"/>
    <mergeCell ref="G4:H4"/>
    <mergeCell ref="B5:B6"/>
    <mergeCell ref="C5:C6"/>
    <mergeCell ref="D5:D6"/>
    <mergeCell ref="E5:E6"/>
    <mergeCell ref="F5:F6"/>
    <mergeCell ref="G5:H6"/>
    <mergeCell ref="G7:H7"/>
    <mergeCell ref="G8:H8"/>
    <mergeCell ref="G9:H9"/>
    <mergeCell ref="G10:H10"/>
    <mergeCell ref="G11:H11"/>
    <mergeCell ref="G12:H12"/>
    <mergeCell ref="G13:H13"/>
    <mergeCell ref="G14:H14"/>
    <mergeCell ref="G15:H15"/>
    <mergeCell ref="G16:H16"/>
    <mergeCell ref="G17:H17"/>
    <mergeCell ref="G19:H19"/>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s>
  <conditionalFormatting sqref="G21:H21 G25:H25">
    <cfRule type="colorScale" priority="1">
      <colorScale>
        <cfvo type="min"/>
        <cfvo type="max"/>
        <color rgb="FF57BB8A"/>
        <color rgb="FFFFFFFF"/>
      </colorScale>
    </cfRule>
  </conditionalFormatting>
  <hyperlinks>
    <hyperlink r:id="rId1" ref="G13"/>
    <hyperlink r:id="rId2" ref="G14"/>
    <hyperlink r:id="rId3" ref="G15"/>
    <hyperlink r:id="rId4" ref="G17"/>
    <hyperlink r:id="rId5" ref="G19"/>
    <hyperlink r:id="rId6" ref="G21"/>
    <hyperlink r:id="rId7" ref="G22"/>
    <hyperlink r:id="rId8" ref="G23"/>
    <hyperlink r:id="rId9" ref="G24"/>
    <hyperlink r:id="rId10" ref="G25"/>
    <hyperlink r:id="rId11" ref="G26"/>
    <hyperlink r:id="rId12" ref="G27"/>
    <hyperlink r:id="rId13" ref="G29"/>
    <hyperlink r:id="rId14" ref="G30"/>
    <hyperlink r:id="rId15" ref="G31"/>
    <hyperlink r:id="rId16" ref="G32"/>
    <hyperlink r:id="rId17" ref="G33"/>
    <hyperlink r:id="rId18" ref="G34"/>
    <hyperlink r:id="rId19" ref="G35"/>
    <hyperlink r:id="rId20" ref="G36"/>
    <hyperlink r:id="rId21" ref="G37"/>
    <hyperlink r:id="rId22" ref="G38"/>
    <hyperlink r:id="rId23" ref="G39"/>
    <hyperlink r:id="rId24" ref="G40"/>
    <hyperlink r:id="rId25" ref="G41"/>
    <hyperlink r:id="rId26" ref="G43"/>
    <hyperlink r:id="rId27" ref="G44"/>
    <hyperlink r:id="rId28" ref="G45"/>
    <hyperlink r:id="rId29" ref="G46"/>
    <hyperlink r:id="rId30" ref="G47"/>
    <hyperlink r:id="rId31" ref="G48"/>
    <hyperlink r:id="rId32" ref="G49"/>
    <hyperlink r:id="rId33" ref="G50"/>
    <hyperlink r:id="rId34" ref="G51"/>
    <hyperlink r:id="rId35" ref="G52"/>
    <hyperlink r:id="rId36" ref="G53"/>
    <hyperlink r:id="rId37" ref="G54"/>
    <hyperlink r:id="rId38" ref="G55"/>
    <hyperlink r:id="rId39" ref="G56"/>
  </hyperlinks>
  <drawing r:id="rId4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3" max="3" width="14.63"/>
    <col customWidth="1" min="4" max="4" width="132.75"/>
    <col customWidth="1" min="5" max="5" width="4.25"/>
    <col customWidth="1" hidden="1" min="6" max="6" width="63.5"/>
    <col hidden="1" min="7" max="7" width="12.63"/>
  </cols>
  <sheetData>
    <row r="1">
      <c r="D1" s="794"/>
    </row>
    <row r="2" ht="37.5" customHeight="1">
      <c r="B2" s="795" t="s">
        <v>772</v>
      </c>
      <c r="C2" s="796"/>
      <c r="D2" s="797"/>
    </row>
    <row r="3" ht="166.5" customHeight="1">
      <c r="B3" s="6" t="s">
        <v>773</v>
      </c>
      <c r="C3" s="798" t="s">
        <v>774</v>
      </c>
      <c r="D3" s="799" t="s">
        <v>775</v>
      </c>
    </row>
    <row r="4" ht="267.0" customHeight="1">
      <c r="A4" s="800"/>
      <c r="B4" s="25"/>
      <c r="C4" s="798" t="s">
        <v>776</v>
      </c>
      <c r="D4" s="799" t="s">
        <v>777</v>
      </c>
      <c r="E4" s="800"/>
      <c r="F4" s="800"/>
      <c r="G4" s="800"/>
      <c r="H4" s="800"/>
      <c r="I4" s="800"/>
      <c r="J4" s="800"/>
      <c r="K4" s="800"/>
      <c r="L4" s="800"/>
      <c r="M4" s="800"/>
      <c r="N4" s="800"/>
      <c r="O4" s="800"/>
      <c r="P4" s="800"/>
      <c r="Q4" s="800"/>
      <c r="R4" s="800"/>
      <c r="S4" s="800"/>
      <c r="T4" s="800"/>
      <c r="U4" s="800"/>
      <c r="V4" s="800"/>
      <c r="W4" s="800"/>
      <c r="X4" s="800"/>
      <c r="Y4" s="800"/>
      <c r="Z4" s="800"/>
      <c r="AA4" s="800"/>
    </row>
    <row r="5" ht="119.25" customHeight="1">
      <c r="B5" s="25"/>
      <c r="C5" s="798" t="s">
        <v>778</v>
      </c>
      <c r="D5" s="799" t="s">
        <v>779</v>
      </c>
    </row>
    <row r="6" ht="354.75" customHeight="1">
      <c r="B6" s="25"/>
      <c r="C6" s="801" t="s">
        <v>780</v>
      </c>
      <c r="D6" s="799" t="s">
        <v>781</v>
      </c>
    </row>
    <row r="7" ht="483.75" customHeight="1">
      <c r="B7" s="25"/>
      <c r="C7" s="798" t="s">
        <v>782</v>
      </c>
      <c r="D7" s="799" t="s">
        <v>783</v>
      </c>
    </row>
    <row r="8" ht="225.0" customHeight="1">
      <c r="B8" s="76"/>
      <c r="C8" s="798" t="s">
        <v>714</v>
      </c>
      <c r="D8" s="799" t="s">
        <v>784</v>
      </c>
    </row>
    <row r="9" ht="225.0" customHeight="1">
      <c r="B9" s="803" t="s">
        <v>785</v>
      </c>
      <c r="C9" s="797"/>
      <c r="D9" s="799" t="s">
        <v>786</v>
      </c>
    </row>
    <row r="10" ht="17.25" customHeight="1">
      <c r="D10" s="794"/>
    </row>
    <row r="11">
      <c r="D11" s="794"/>
    </row>
    <row r="12">
      <c r="D12" s="794"/>
    </row>
    <row r="13">
      <c r="D13" s="794"/>
    </row>
    <row r="14">
      <c r="D14" s="794"/>
    </row>
    <row r="15">
      <c r="D15" s="794"/>
    </row>
    <row r="16">
      <c r="D16" s="794"/>
    </row>
    <row r="17">
      <c r="D17" s="794"/>
    </row>
    <row r="18">
      <c r="D18" s="794"/>
    </row>
    <row r="19">
      <c r="D19" s="794"/>
    </row>
    <row r="20">
      <c r="D20" s="794"/>
    </row>
    <row r="21">
      <c r="D21" s="794"/>
    </row>
    <row r="22">
      <c r="D22" s="794"/>
    </row>
    <row r="23">
      <c r="D23" s="794"/>
    </row>
    <row r="24">
      <c r="D24" s="794"/>
    </row>
    <row r="25">
      <c r="D25" s="794"/>
    </row>
    <row r="26" ht="15.75" customHeight="1">
      <c r="D26" s="794"/>
    </row>
    <row r="27" ht="15.75" customHeight="1">
      <c r="D27" s="794"/>
    </row>
    <row r="28" ht="15.75" customHeight="1">
      <c r="D28" s="794"/>
    </row>
    <row r="29" ht="15.75" customHeight="1">
      <c r="D29" s="794"/>
    </row>
    <row r="30" ht="15.75" customHeight="1">
      <c r="D30" s="794"/>
    </row>
    <row r="31" ht="15.75" customHeight="1">
      <c r="D31" s="794"/>
    </row>
    <row r="32" ht="15.75" customHeight="1">
      <c r="D32" s="794"/>
    </row>
    <row r="33" ht="15.75" customHeight="1">
      <c r="D33" s="794"/>
    </row>
    <row r="34" ht="15.75" customHeight="1">
      <c r="D34" s="794"/>
    </row>
    <row r="35" ht="15.75" customHeight="1">
      <c r="D35" s="794"/>
    </row>
    <row r="36" ht="15.75" customHeight="1">
      <c r="D36" s="794"/>
    </row>
    <row r="37" ht="15.75" customHeight="1">
      <c r="D37" s="794"/>
    </row>
    <row r="38" ht="15.75" customHeight="1">
      <c r="D38" s="794"/>
    </row>
    <row r="39" ht="15.75" customHeight="1">
      <c r="D39" s="794"/>
    </row>
    <row r="40" ht="15.75" customHeight="1">
      <c r="D40" s="794"/>
    </row>
    <row r="41" ht="15.75" customHeight="1">
      <c r="D41" s="794"/>
    </row>
    <row r="42" ht="15.75" customHeight="1">
      <c r="D42" s="794"/>
    </row>
    <row r="43" ht="15.75" customHeight="1">
      <c r="D43" s="794"/>
    </row>
    <row r="44" ht="15.75" customHeight="1">
      <c r="D44" s="794"/>
    </row>
    <row r="45" ht="15.75" customHeight="1">
      <c r="D45" s="794"/>
    </row>
    <row r="46" ht="15.75" customHeight="1">
      <c r="D46" s="794"/>
    </row>
    <row r="47" ht="15.75" customHeight="1">
      <c r="D47" s="794"/>
    </row>
    <row r="48" ht="15.75" customHeight="1">
      <c r="D48" s="794"/>
    </row>
    <row r="49" ht="15.75" customHeight="1">
      <c r="D49" s="794"/>
    </row>
    <row r="50" ht="15.75" customHeight="1">
      <c r="D50" s="794"/>
    </row>
    <row r="51" ht="15.75" customHeight="1">
      <c r="D51" s="794"/>
    </row>
    <row r="52" ht="15.75" customHeight="1">
      <c r="D52" s="794"/>
    </row>
    <row r="53" ht="15.75" customHeight="1">
      <c r="D53" s="794"/>
    </row>
    <row r="54" ht="15.75" customHeight="1">
      <c r="D54" s="794"/>
    </row>
    <row r="55" ht="15.75" customHeight="1">
      <c r="D55" s="794"/>
    </row>
    <row r="56" ht="15.75" customHeight="1">
      <c r="D56" s="794"/>
    </row>
    <row r="57" ht="15.75" customHeight="1">
      <c r="D57" s="794"/>
    </row>
    <row r="58" ht="15.75" customHeight="1">
      <c r="D58" s="794"/>
    </row>
    <row r="59" ht="15.75" customHeight="1">
      <c r="D59" s="794"/>
    </row>
    <row r="60" ht="15.75" customHeight="1">
      <c r="D60" s="794"/>
    </row>
    <row r="61" ht="15.75" customHeight="1">
      <c r="D61" s="794"/>
    </row>
    <row r="62" ht="15.75" customHeight="1">
      <c r="D62" s="794"/>
    </row>
    <row r="63" ht="15.75" customHeight="1">
      <c r="D63" s="794"/>
    </row>
    <row r="64" ht="15.75" customHeight="1">
      <c r="D64" s="794"/>
    </row>
    <row r="65" ht="15.75" customHeight="1">
      <c r="D65" s="794"/>
    </row>
    <row r="66" ht="15.75" customHeight="1">
      <c r="D66" s="794"/>
    </row>
    <row r="67" ht="15.75" customHeight="1">
      <c r="D67" s="794"/>
    </row>
    <row r="68" ht="15.75" customHeight="1">
      <c r="D68" s="794"/>
    </row>
    <row r="69" ht="15.75" customHeight="1">
      <c r="D69" s="794"/>
    </row>
    <row r="70" ht="15.75" customHeight="1">
      <c r="D70" s="794"/>
    </row>
    <row r="71" ht="15.75" customHeight="1">
      <c r="D71" s="794"/>
    </row>
    <row r="72" ht="15.75" customHeight="1">
      <c r="D72" s="794"/>
    </row>
    <row r="73" ht="15.75" customHeight="1">
      <c r="D73" s="794"/>
    </row>
    <row r="74" ht="15.75" customHeight="1">
      <c r="D74" s="794"/>
    </row>
    <row r="75" ht="15.75" customHeight="1">
      <c r="D75" s="794"/>
    </row>
    <row r="76" ht="15.75" customHeight="1">
      <c r="D76" s="794"/>
    </row>
    <row r="77" ht="15.75" customHeight="1">
      <c r="D77" s="794"/>
    </row>
    <row r="78" ht="15.75" customHeight="1">
      <c r="D78" s="794"/>
    </row>
    <row r="79" ht="15.75" customHeight="1">
      <c r="D79" s="794"/>
    </row>
    <row r="80" ht="15.75" customHeight="1">
      <c r="D80" s="794"/>
    </row>
    <row r="81" ht="15.75" customHeight="1">
      <c r="D81" s="794"/>
    </row>
    <row r="82" ht="15.75" customHeight="1">
      <c r="D82" s="794"/>
    </row>
    <row r="83" ht="15.75" customHeight="1">
      <c r="D83" s="794"/>
    </row>
    <row r="84" ht="15.75" customHeight="1">
      <c r="D84" s="794"/>
    </row>
    <row r="85" ht="15.75" customHeight="1">
      <c r="D85" s="794"/>
    </row>
    <row r="86" ht="15.75" customHeight="1">
      <c r="D86" s="794"/>
    </row>
    <row r="87" ht="15.75" customHeight="1">
      <c r="D87" s="794"/>
    </row>
    <row r="88" ht="15.75" customHeight="1">
      <c r="D88" s="794"/>
    </row>
    <row r="89" ht="15.75" customHeight="1">
      <c r="D89" s="794"/>
    </row>
    <row r="90" ht="15.75" customHeight="1">
      <c r="D90" s="794"/>
    </row>
    <row r="91" ht="15.75" customHeight="1">
      <c r="D91" s="794"/>
    </row>
    <row r="92" ht="15.75" customHeight="1">
      <c r="D92" s="794"/>
    </row>
    <row r="93" ht="15.75" customHeight="1">
      <c r="D93" s="794"/>
    </row>
    <row r="94" ht="15.75" customHeight="1">
      <c r="D94" s="794"/>
    </row>
    <row r="95" ht="15.75" customHeight="1">
      <c r="D95" s="794"/>
    </row>
    <row r="96" ht="15.75" customHeight="1">
      <c r="D96" s="794"/>
    </row>
    <row r="97" ht="15.75" customHeight="1">
      <c r="D97" s="794"/>
    </row>
    <row r="98" ht="15.75" customHeight="1">
      <c r="D98" s="794"/>
    </row>
    <row r="99" ht="15.75" customHeight="1">
      <c r="D99" s="794"/>
    </row>
    <row r="100" ht="15.75" customHeight="1">
      <c r="D100" s="794"/>
    </row>
    <row r="101" ht="15.75" customHeight="1">
      <c r="D101" s="794"/>
    </row>
    <row r="102" ht="15.75" customHeight="1">
      <c r="D102" s="794"/>
    </row>
    <row r="103" ht="15.75" customHeight="1">
      <c r="D103" s="794"/>
    </row>
    <row r="104" ht="15.75" customHeight="1">
      <c r="D104" s="794"/>
    </row>
    <row r="105" ht="15.75" customHeight="1">
      <c r="D105" s="794"/>
    </row>
    <row r="106" ht="15.75" customHeight="1">
      <c r="D106" s="794"/>
    </row>
    <row r="107" ht="15.75" customHeight="1">
      <c r="D107" s="794"/>
    </row>
    <row r="108" ht="15.75" customHeight="1">
      <c r="D108" s="794"/>
    </row>
    <row r="109" ht="15.75" customHeight="1">
      <c r="D109" s="794"/>
    </row>
    <row r="110" ht="15.75" customHeight="1">
      <c r="D110" s="794"/>
    </row>
    <row r="111" ht="15.75" customHeight="1">
      <c r="D111" s="794"/>
    </row>
    <row r="112" ht="15.75" customHeight="1">
      <c r="D112" s="794"/>
    </row>
    <row r="113" ht="15.75" customHeight="1">
      <c r="D113" s="794"/>
    </row>
    <row r="114" ht="15.75" customHeight="1">
      <c r="D114" s="794"/>
    </row>
    <row r="115" ht="15.75" customHeight="1">
      <c r="D115" s="794"/>
    </row>
    <row r="116" ht="15.75" customHeight="1">
      <c r="D116" s="794"/>
    </row>
    <row r="117" ht="15.75" customHeight="1">
      <c r="D117" s="794"/>
    </row>
    <row r="118" ht="15.75" customHeight="1">
      <c r="D118" s="794"/>
    </row>
    <row r="119" ht="15.75" customHeight="1">
      <c r="D119" s="794"/>
    </row>
    <row r="120" ht="15.75" customHeight="1">
      <c r="D120" s="794"/>
    </row>
    <row r="121" ht="15.75" customHeight="1">
      <c r="D121" s="794"/>
    </row>
    <row r="122" ht="15.75" customHeight="1">
      <c r="D122" s="794"/>
    </row>
    <row r="123" ht="15.75" customHeight="1">
      <c r="D123" s="794"/>
    </row>
    <row r="124" ht="15.75" customHeight="1">
      <c r="D124" s="794"/>
    </row>
    <row r="125" ht="15.75" customHeight="1">
      <c r="D125" s="794"/>
    </row>
    <row r="126" ht="15.75" customHeight="1">
      <c r="D126" s="794"/>
    </row>
    <row r="127" ht="15.75" customHeight="1">
      <c r="D127" s="794"/>
    </row>
    <row r="128" ht="15.75" customHeight="1">
      <c r="D128" s="794"/>
    </row>
    <row r="129" ht="15.75" customHeight="1">
      <c r="D129" s="794"/>
    </row>
    <row r="130" ht="15.75" customHeight="1">
      <c r="D130" s="794"/>
    </row>
    <row r="131" ht="15.75" customHeight="1">
      <c r="D131" s="794"/>
    </row>
    <row r="132" ht="15.75" customHeight="1">
      <c r="D132" s="794"/>
    </row>
    <row r="133" ht="15.75" customHeight="1">
      <c r="D133" s="794"/>
    </row>
    <row r="134" ht="15.75" customHeight="1">
      <c r="D134" s="794"/>
    </row>
    <row r="135" ht="15.75" customHeight="1">
      <c r="D135" s="794"/>
    </row>
    <row r="136" ht="15.75" customHeight="1">
      <c r="D136" s="794"/>
    </row>
    <row r="137" ht="15.75" customHeight="1">
      <c r="D137" s="794"/>
    </row>
    <row r="138" ht="15.75" customHeight="1">
      <c r="D138" s="794"/>
    </row>
    <row r="139" ht="15.75" customHeight="1">
      <c r="D139" s="794"/>
    </row>
    <row r="140" ht="15.75" customHeight="1">
      <c r="D140" s="794"/>
    </row>
    <row r="141" ht="15.75" customHeight="1">
      <c r="D141" s="794"/>
    </row>
    <row r="142" ht="15.75" customHeight="1">
      <c r="D142" s="794"/>
    </row>
    <row r="143" ht="15.75" customHeight="1">
      <c r="D143" s="794"/>
    </row>
    <row r="144" ht="15.75" customHeight="1">
      <c r="D144" s="794"/>
    </row>
    <row r="145" ht="15.75" customHeight="1">
      <c r="D145" s="794"/>
    </row>
    <row r="146" ht="15.75" customHeight="1">
      <c r="D146" s="794"/>
    </row>
    <row r="147" ht="15.75" customHeight="1">
      <c r="D147" s="794"/>
    </row>
    <row r="148" ht="15.75" customHeight="1">
      <c r="D148" s="794"/>
    </row>
    <row r="149" ht="15.75" customHeight="1">
      <c r="D149" s="794"/>
    </row>
    <row r="150" ht="15.75" customHeight="1">
      <c r="D150" s="794"/>
    </row>
    <row r="151" ht="15.75" customHeight="1">
      <c r="D151" s="794"/>
    </row>
    <row r="152" ht="15.75" customHeight="1">
      <c r="D152" s="794"/>
    </row>
    <row r="153" ht="15.75" customHeight="1">
      <c r="D153" s="794"/>
    </row>
    <row r="154" ht="15.75" customHeight="1">
      <c r="D154" s="794"/>
    </row>
    <row r="155" ht="15.75" customHeight="1">
      <c r="D155" s="794"/>
    </row>
    <row r="156" ht="15.75" customHeight="1">
      <c r="D156" s="794"/>
    </row>
    <row r="157" ht="15.75" customHeight="1">
      <c r="D157" s="794"/>
    </row>
    <row r="158" ht="15.75" customHeight="1">
      <c r="D158" s="794"/>
    </row>
    <row r="159" ht="15.75" customHeight="1">
      <c r="D159" s="794"/>
    </row>
    <row r="160" ht="15.75" customHeight="1">
      <c r="D160" s="794"/>
    </row>
    <row r="161" ht="15.75" customHeight="1">
      <c r="D161" s="794"/>
    </row>
    <row r="162" ht="15.75" customHeight="1">
      <c r="D162" s="794"/>
    </row>
    <row r="163" ht="15.75" customHeight="1">
      <c r="D163" s="794"/>
    </row>
    <row r="164" ht="15.75" customHeight="1">
      <c r="D164" s="794"/>
    </row>
    <row r="165" ht="15.75" customHeight="1">
      <c r="D165" s="794"/>
    </row>
    <row r="166" ht="15.75" customHeight="1">
      <c r="D166" s="794"/>
    </row>
    <row r="167" ht="15.75" customHeight="1">
      <c r="D167" s="794"/>
    </row>
    <row r="168" ht="15.75" customHeight="1">
      <c r="D168" s="794"/>
    </row>
    <row r="169" ht="15.75" customHeight="1">
      <c r="D169" s="794"/>
    </row>
    <row r="170" ht="15.75" customHeight="1">
      <c r="D170" s="794"/>
    </row>
    <row r="171" ht="15.75" customHeight="1">
      <c r="D171" s="794"/>
    </row>
    <row r="172" ht="15.75" customHeight="1">
      <c r="D172" s="794"/>
    </row>
    <row r="173" ht="15.75" customHeight="1">
      <c r="D173" s="794"/>
    </row>
    <row r="174" ht="15.75" customHeight="1">
      <c r="D174" s="794"/>
    </row>
    <row r="175" ht="15.75" customHeight="1">
      <c r="D175" s="794"/>
    </row>
    <row r="176" ht="15.75" customHeight="1">
      <c r="D176" s="794"/>
    </row>
    <row r="177" ht="15.75" customHeight="1">
      <c r="D177" s="794"/>
    </row>
    <row r="178" ht="15.75" customHeight="1">
      <c r="D178" s="794"/>
    </row>
    <row r="179" ht="15.75" customHeight="1">
      <c r="D179" s="794"/>
    </row>
    <row r="180" ht="15.75" customHeight="1">
      <c r="D180" s="794"/>
    </row>
    <row r="181" ht="15.75" customHeight="1">
      <c r="D181" s="794"/>
    </row>
    <row r="182" ht="15.75" customHeight="1">
      <c r="D182" s="794"/>
    </row>
    <row r="183" ht="15.75" customHeight="1">
      <c r="D183" s="794"/>
    </row>
    <row r="184" ht="15.75" customHeight="1">
      <c r="D184" s="794"/>
    </row>
    <row r="185" ht="15.75" customHeight="1">
      <c r="D185" s="794"/>
    </row>
    <row r="186" ht="15.75" customHeight="1">
      <c r="D186" s="794"/>
    </row>
    <row r="187" ht="15.75" customHeight="1">
      <c r="D187" s="794"/>
    </row>
    <row r="188" ht="15.75" customHeight="1">
      <c r="D188" s="794"/>
    </row>
    <row r="189" ht="15.75" customHeight="1">
      <c r="D189" s="794"/>
    </row>
    <row r="190" ht="15.75" customHeight="1">
      <c r="D190" s="794"/>
    </row>
    <row r="191" ht="15.75" customHeight="1">
      <c r="D191" s="794"/>
    </row>
    <row r="192" ht="15.75" customHeight="1">
      <c r="D192" s="794"/>
    </row>
    <row r="193" ht="15.75" customHeight="1">
      <c r="D193" s="794"/>
    </row>
    <row r="194" ht="15.75" customHeight="1">
      <c r="D194" s="794"/>
    </row>
    <row r="195" ht="15.75" customHeight="1">
      <c r="D195" s="794"/>
    </row>
    <row r="196" ht="15.75" customHeight="1">
      <c r="D196" s="794"/>
    </row>
    <row r="197" ht="15.75" customHeight="1">
      <c r="D197" s="794"/>
    </row>
    <row r="198" ht="15.75" customHeight="1">
      <c r="D198" s="794"/>
    </row>
    <row r="199" ht="15.75" customHeight="1">
      <c r="D199" s="794"/>
    </row>
    <row r="200" ht="15.75" customHeight="1">
      <c r="D200" s="794"/>
    </row>
    <row r="201" ht="15.75" customHeight="1">
      <c r="D201" s="794"/>
    </row>
    <row r="202" ht="15.75" customHeight="1">
      <c r="D202" s="794"/>
    </row>
    <row r="203" ht="15.75" customHeight="1">
      <c r="D203" s="794"/>
    </row>
    <row r="204" ht="15.75" customHeight="1">
      <c r="D204" s="794"/>
    </row>
    <row r="205" ht="15.75" customHeight="1">
      <c r="D205" s="794"/>
    </row>
    <row r="206" ht="15.75" customHeight="1">
      <c r="D206" s="794"/>
    </row>
    <row r="207" ht="15.75" customHeight="1">
      <c r="D207" s="794"/>
    </row>
    <row r="208" ht="15.75" customHeight="1">
      <c r="D208" s="794"/>
    </row>
    <row r="209" ht="15.75" customHeight="1">
      <c r="D209" s="794"/>
    </row>
    <row r="210" ht="15.75" customHeight="1">
      <c r="D210" s="794"/>
    </row>
    <row r="211" ht="15.75" customHeight="1">
      <c r="D211" s="794"/>
    </row>
    <row r="212" ht="15.75" customHeight="1">
      <c r="D212" s="794"/>
    </row>
    <row r="213" ht="15.75" customHeight="1">
      <c r="D213" s="794"/>
    </row>
    <row r="214" ht="15.75" customHeight="1">
      <c r="D214" s="794"/>
    </row>
    <row r="215" ht="15.75" customHeight="1">
      <c r="D215" s="794"/>
    </row>
    <row r="216" ht="15.75" customHeight="1">
      <c r="D216" s="794"/>
    </row>
    <row r="217" ht="15.75" customHeight="1">
      <c r="D217" s="794"/>
    </row>
    <row r="218" ht="15.75" customHeight="1">
      <c r="D218" s="794"/>
    </row>
    <row r="219" ht="15.75" customHeight="1">
      <c r="D219" s="794"/>
    </row>
    <row r="220" ht="15.75" customHeight="1">
      <c r="D220" s="794"/>
    </row>
    <row r="221" ht="15.75" customHeight="1">
      <c r="D221" s="794"/>
    </row>
    <row r="222" ht="15.75" customHeight="1">
      <c r="D222" s="794"/>
    </row>
    <row r="223" ht="15.75" customHeight="1">
      <c r="D223" s="794"/>
    </row>
    <row r="224" ht="15.75" customHeight="1">
      <c r="D224" s="794"/>
    </row>
    <row r="225" ht="15.75" customHeight="1">
      <c r="D225" s="794"/>
    </row>
    <row r="226" ht="15.75" customHeight="1">
      <c r="D226" s="794"/>
    </row>
    <row r="227" ht="15.75" customHeight="1">
      <c r="D227" s="794"/>
    </row>
    <row r="228" ht="15.75" customHeight="1">
      <c r="D228" s="794"/>
    </row>
    <row r="229" ht="15.75" customHeight="1">
      <c r="D229" s="794"/>
    </row>
    <row r="230" ht="15.75" customHeight="1">
      <c r="D230" s="794"/>
    </row>
    <row r="231" ht="15.75" customHeight="1">
      <c r="D231" s="794"/>
    </row>
    <row r="232" ht="15.75" customHeight="1">
      <c r="D232" s="794"/>
    </row>
    <row r="233" ht="15.75" customHeight="1">
      <c r="D233" s="794"/>
    </row>
    <row r="234" ht="15.75" customHeight="1">
      <c r="D234" s="794"/>
    </row>
    <row r="235" ht="15.75" customHeight="1">
      <c r="D235" s="794"/>
    </row>
    <row r="236" ht="15.75" customHeight="1">
      <c r="D236" s="794"/>
    </row>
    <row r="237" ht="15.75" customHeight="1">
      <c r="D237" s="794"/>
    </row>
    <row r="238" ht="15.75" customHeight="1">
      <c r="D238" s="794"/>
    </row>
    <row r="239" ht="15.75" customHeight="1">
      <c r="D239" s="794"/>
    </row>
    <row r="240" ht="15.75" customHeight="1">
      <c r="D240" s="794"/>
    </row>
    <row r="241" ht="15.75" customHeight="1">
      <c r="D241" s="794"/>
    </row>
    <row r="242" ht="15.75" customHeight="1">
      <c r="D242" s="794"/>
    </row>
    <row r="243" ht="15.75" customHeight="1">
      <c r="D243" s="794"/>
    </row>
    <row r="244" ht="15.75" customHeight="1">
      <c r="D244" s="794"/>
    </row>
    <row r="245" ht="15.75" customHeight="1">
      <c r="D245" s="794"/>
    </row>
    <row r="246" ht="15.75" customHeight="1">
      <c r="D246" s="794"/>
    </row>
    <row r="247" ht="15.75" customHeight="1">
      <c r="D247" s="794"/>
    </row>
    <row r="248" ht="15.75" customHeight="1">
      <c r="D248" s="794"/>
    </row>
    <row r="249" ht="15.75" customHeight="1">
      <c r="D249" s="794"/>
    </row>
    <row r="250" ht="15.75" customHeight="1">
      <c r="D250" s="794"/>
    </row>
    <row r="251" ht="15.75" customHeight="1">
      <c r="D251" s="794"/>
    </row>
    <row r="252" ht="15.75" customHeight="1">
      <c r="D252" s="794"/>
    </row>
    <row r="253" ht="15.75" customHeight="1">
      <c r="D253" s="794"/>
    </row>
    <row r="254" ht="15.75" customHeight="1">
      <c r="D254" s="794"/>
    </row>
    <row r="255" ht="15.75" customHeight="1">
      <c r="D255" s="794"/>
    </row>
    <row r="256" ht="15.75" customHeight="1">
      <c r="D256" s="794"/>
    </row>
    <row r="257" ht="15.75" customHeight="1">
      <c r="D257" s="794"/>
    </row>
    <row r="258" ht="15.75" customHeight="1">
      <c r="D258" s="794"/>
    </row>
    <row r="259" ht="15.75" customHeight="1">
      <c r="D259" s="794"/>
    </row>
    <row r="260" ht="15.75" customHeight="1">
      <c r="D260" s="794"/>
    </row>
    <row r="261" ht="15.75" customHeight="1">
      <c r="D261" s="794"/>
    </row>
    <row r="262" ht="15.75" customHeight="1">
      <c r="D262" s="794"/>
    </row>
    <row r="263" ht="15.75" customHeight="1">
      <c r="D263" s="794"/>
    </row>
    <row r="264" ht="15.75" customHeight="1">
      <c r="D264" s="794"/>
    </row>
    <row r="265" ht="15.75" customHeight="1">
      <c r="D265" s="794"/>
    </row>
    <row r="266" ht="15.75" customHeight="1">
      <c r="D266" s="794"/>
    </row>
    <row r="267" ht="15.75" customHeight="1">
      <c r="D267" s="794"/>
    </row>
    <row r="268" ht="15.75" customHeight="1">
      <c r="D268" s="794"/>
    </row>
    <row r="269" ht="15.75" customHeight="1">
      <c r="D269" s="794"/>
    </row>
    <row r="270" ht="15.75" customHeight="1">
      <c r="D270" s="794"/>
    </row>
    <row r="271" ht="15.75" customHeight="1">
      <c r="D271" s="794"/>
    </row>
    <row r="272" ht="15.75" customHeight="1">
      <c r="D272" s="794"/>
    </row>
    <row r="273" ht="15.75" customHeight="1">
      <c r="D273" s="794"/>
    </row>
    <row r="274" ht="15.75" customHeight="1">
      <c r="D274" s="794"/>
    </row>
    <row r="275" ht="15.75" customHeight="1">
      <c r="D275" s="794"/>
    </row>
    <row r="276" ht="15.75" customHeight="1">
      <c r="D276" s="794"/>
    </row>
    <row r="277" ht="15.75" customHeight="1">
      <c r="D277" s="794"/>
    </row>
    <row r="278" ht="15.75" customHeight="1">
      <c r="D278" s="794"/>
    </row>
    <row r="279" ht="15.75" customHeight="1">
      <c r="D279" s="794"/>
    </row>
    <row r="280" ht="15.75" customHeight="1">
      <c r="D280" s="794"/>
    </row>
    <row r="281" ht="15.75" customHeight="1">
      <c r="D281" s="794"/>
    </row>
    <row r="282" ht="15.75" customHeight="1">
      <c r="D282" s="794"/>
    </row>
    <row r="283" ht="15.75" customHeight="1">
      <c r="D283" s="794"/>
    </row>
    <row r="284" ht="15.75" customHeight="1">
      <c r="D284" s="794"/>
    </row>
    <row r="285" ht="15.75" customHeight="1">
      <c r="D285" s="794"/>
    </row>
    <row r="286" ht="15.75" customHeight="1">
      <c r="D286" s="794"/>
    </row>
    <row r="287" ht="15.75" customHeight="1">
      <c r="D287" s="794"/>
    </row>
    <row r="288" ht="15.75" customHeight="1">
      <c r="D288" s="794"/>
    </row>
    <row r="289" ht="15.75" customHeight="1">
      <c r="D289" s="794"/>
    </row>
    <row r="290" ht="15.75" customHeight="1">
      <c r="D290" s="794"/>
    </row>
    <row r="291" ht="15.75" customHeight="1">
      <c r="D291" s="794"/>
    </row>
    <row r="292" ht="15.75" customHeight="1">
      <c r="D292" s="794"/>
    </row>
    <row r="293" ht="15.75" customHeight="1">
      <c r="D293" s="794"/>
    </row>
    <row r="294" ht="15.75" customHeight="1">
      <c r="D294" s="794"/>
    </row>
    <row r="295" ht="15.75" customHeight="1">
      <c r="D295" s="794"/>
    </row>
    <row r="296" ht="15.75" customHeight="1">
      <c r="D296" s="794"/>
    </row>
    <row r="297" ht="15.75" customHeight="1">
      <c r="D297" s="794"/>
    </row>
    <row r="298" ht="15.75" customHeight="1">
      <c r="D298" s="794"/>
    </row>
    <row r="299" ht="15.75" customHeight="1">
      <c r="D299" s="794"/>
    </row>
    <row r="300" ht="15.75" customHeight="1">
      <c r="D300" s="794"/>
    </row>
    <row r="301" ht="15.75" customHeight="1">
      <c r="D301" s="794"/>
    </row>
    <row r="302" ht="15.75" customHeight="1">
      <c r="D302" s="794"/>
    </row>
    <row r="303" ht="15.75" customHeight="1">
      <c r="D303" s="794"/>
    </row>
    <row r="304" ht="15.75" customHeight="1">
      <c r="D304" s="794"/>
    </row>
    <row r="305" ht="15.75" customHeight="1">
      <c r="D305" s="794"/>
    </row>
    <row r="306" ht="15.75" customHeight="1">
      <c r="D306" s="794"/>
    </row>
    <row r="307" ht="15.75" customHeight="1">
      <c r="D307" s="794"/>
    </row>
    <row r="308" ht="15.75" customHeight="1">
      <c r="D308" s="794"/>
    </row>
    <row r="309" ht="15.75" customHeight="1">
      <c r="D309" s="794"/>
    </row>
    <row r="310" ht="15.75" customHeight="1">
      <c r="D310" s="794"/>
    </row>
    <row r="311" ht="15.75" customHeight="1">
      <c r="D311" s="794"/>
    </row>
    <row r="312" ht="15.75" customHeight="1">
      <c r="D312" s="794"/>
    </row>
    <row r="313" ht="15.75" customHeight="1">
      <c r="D313" s="794"/>
    </row>
    <row r="314" ht="15.75" customHeight="1">
      <c r="D314" s="794"/>
    </row>
    <row r="315" ht="15.75" customHeight="1">
      <c r="D315" s="794"/>
    </row>
    <row r="316" ht="15.75" customHeight="1">
      <c r="D316" s="794"/>
    </row>
    <row r="317" ht="15.75" customHeight="1">
      <c r="D317" s="794"/>
    </row>
    <row r="318" ht="15.75" customHeight="1">
      <c r="D318" s="794"/>
    </row>
    <row r="319" ht="15.75" customHeight="1">
      <c r="D319" s="794"/>
    </row>
    <row r="320" ht="15.75" customHeight="1">
      <c r="D320" s="794"/>
    </row>
    <row r="321" ht="15.75" customHeight="1">
      <c r="D321" s="794"/>
    </row>
    <row r="322" ht="15.75" customHeight="1">
      <c r="D322" s="794"/>
    </row>
    <row r="323" ht="15.75" customHeight="1">
      <c r="D323" s="794"/>
    </row>
    <row r="324" ht="15.75" customHeight="1">
      <c r="D324" s="794"/>
    </row>
    <row r="325" ht="15.75" customHeight="1">
      <c r="D325" s="794"/>
    </row>
    <row r="326" ht="15.75" customHeight="1">
      <c r="D326" s="794"/>
    </row>
    <row r="327" ht="15.75" customHeight="1">
      <c r="D327" s="794"/>
    </row>
    <row r="328" ht="15.75" customHeight="1">
      <c r="D328" s="794"/>
    </row>
    <row r="329" ht="15.75" customHeight="1">
      <c r="D329" s="794"/>
    </row>
    <row r="330" ht="15.75" customHeight="1">
      <c r="D330" s="794"/>
    </row>
    <row r="331" ht="15.75" customHeight="1">
      <c r="D331" s="794"/>
    </row>
    <row r="332" ht="15.75" customHeight="1">
      <c r="D332" s="794"/>
    </row>
    <row r="333" ht="15.75" customHeight="1">
      <c r="D333" s="794"/>
    </row>
    <row r="334" ht="15.75" customHeight="1">
      <c r="D334" s="794"/>
    </row>
    <row r="335" ht="15.75" customHeight="1">
      <c r="D335" s="794"/>
    </row>
    <row r="336" ht="15.75" customHeight="1">
      <c r="D336" s="794"/>
    </row>
    <row r="337" ht="15.75" customHeight="1">
      <c r="D337" s="794"/>
    </row>
    <row r="338" ht="15.75" customHeight="1">
      <c r="D338" s="794"/>
    </row>
    <row r="339" ht="15.75" customHeight="1">
      <c r="D339" s="794"/>
    </row>
    <row r="340" ht="15.75" customHeight="1">
      <c r="D340" s="794"/>
    </row>
    <row r="341" ht="15.75" customHeight="1">
      <c r="D341" s="794"/>
    </row>
    <row r="342" ht="15.75" customHeight="1">
      <c r="D342" s="794"/>
    </row>
    <row r="343" ht="15.75" customHeight="1">
      <c r="D343" s="794"/>
    </row>
    <row r="344" ht="15.75" customHeight="1">
      <c r="D344" s="794"/>
    </row>
    <row r="345" ht="15.75" customHeight="1">
      <c r="D345" s="794"/>
    </row>
    <row r="346" ht="15.75" customHeight="1">
      <c r="D346" s="794"/>
    </row>
    <row r="347" ht="15.75" customHeight="1">
      <c r="D347" s="794"/>
    </row>
    <row r="348" ht="15.75" customHeight="1">
      <c r="D348" s="794"/>
    </row>
    <row r="349" ht="15.75" customHeight="1">
      <c r="D349" s="794"/>
    </row>
    <row r="350" ht="15.75" customHeight="1">
      <c r="D350" s="794"/>
    </row>
    <row r="351" ht="15.75" customHeight="1">
      <c r="D351" s="794"/>
    </row>
    <row r="352" ht="15.75" customHeight="1">
      <c r="D352" s="794"/>
    </row>
    <row r="353" ht="15.75" customHeight="1">
      <c r="D353" s="794"/>
    </row>
    <row r="354" ht="15.75" customHeight="1">
      <c r="D354" s="794"/>
    </row>
    <row r="355" ht="15.75" customHeight="1">
      <c r="D355" s="794"/>
    </row>
    <row r="356" ht="15.75" customHeight="1">
      <c r="D356" s="794"/>
    </row>
    <row r="357" ht="15.75" customHeight="1">
      <c r="D357" s="794"/>
    </row>
    <row r="358" ht="15.75" customHeight="1">
      <c r="D358" s="794"/>
    </row>
    <row r="359" ht="15.75" customHeight="1">
      <c r="D359" s="794"/>
    </row>
    <row r="360" ht="15.75" customHeight="1">
      <c r="D360" s="794"/>
    </row>
    <row r="361" ht="15.75" customHeight="1">
      <c r="D361" s="794"/>
    </row>
    <row r="362" ht="15.75" customHeight="1">
      <c r="D362" s="794"/>
    </row>
    <row r="363" ht="15.75" customHeight="1">
      <c r="D363" s="794"/>
    </row>
    <row r="364" ht="15.75" customHeight="1">
      <c r="D364" s="794"/>
    </row>
    <row r="365" ht="15.75" customHeight="1">
      <c r="D365" s="794"/>
    </row>
    <row r="366" ht="15.75" customHeight="1">
      <c r="D366" s="794"/>
    </row>
    <row r="367" ht="15.75" customHeight="1">
      <c r="D367" s="794"/>
    </row>
    <row r="368" ht="15.75" customHeight="1">
      <c r="D368" s="794"/>
    </row>
    <row r="369" ht="15.75" customHeight="1">
      <c r="D369" s="794"/>
    </row>
    <row r="370" ht="15.75" customHeight="1">
      <c r="D370" s="794"/>
    </row>
    <row r="371" ht="15.75" customHeight="1">
      <c r="D371" s="794"/>
    </row>
    <row r="372" ht="15.75" customHeight="1">
      <c r="D372" s="794"/>
    </row>
    <row r="373" ht="15.75" customHeight="1">
      <c r="D373" s="794"/>
    </row>
    <row r="374" ht="15.75" customHeight="1">
      <c r="D374" s="794"/>
    </row>
    <row r="375" ht="15.75" customHeight="1">
      <c r="D375" s="794"/>
    </row>
    <row r="376" ht="15.75" customHeight="1">
      <c r="D376" s="794"/>
    </row>
    <row r="377" ht="15.75" customHeight="1">
      <c r="D377" s="794"/>
    </row>
    <row r="378" ht="15.75" customHeight="1">
      <c r="D378" s="794"/>
    </row>
    <row r="379" ht="15.75" customHeight="1">
      <c r="D379" s="794"/>
    </row>
    <row r="380" ht="15.75" customHeight="1">
      <c r="D380" s="794"/>
    </row>
    <row r="381" ht="15.75" customHeight="1">
      <c r="D381" s="794"/>
    </row>
    <row r="382" ht="15.75" customHeight="1">
      <c r="D382" s="794"/>
    </row>
    <row r="383" ht="15.75" customHeight="1">
      <c r="D383" s="794"/>
    </row>
    <row r="384" ht="15.75" customHeight="1">
      <c r="D384" s="794"/>
    </row>
    <row r="385" ht="15.75" customHeight="1">
      <c r="D385" s="794"/>
    </row>
    <row r="386" ht="15.75" customHeight="1">
      <c r="D386" s="794"/>
    </row>
    <row r="387" ht="15.75" customHeight="1">
      <c r="D387" s="794"/>
    </row>
    <row r="388" ht="15.75" customHeight="1">
      <c r="D388" s="794"/>
    </row>
    <row r="389" ht="15.75" customHeight="1">
      <c r="D389" s="794"/>
    </row>
    <row r="390" ht="15.75" customHeight="1">
      <c r="D390" s="794"/>
    </row>
    <row r="391" ht="15.75" customHeight="1">
      <c r="D391" s="794"/>
    </row>
    <row r="392" ht="15.75" customHeight="1">
      <c r="D392" s="794"/>
    </row>
    <row r="393" ht="15.75" customHeight="1">
      <c r="D393" s="794"/>
    </row>
    <row r="394" ht="15.75" customHeight="1">
      <c r="D394" s="794"/>
    </row>
    <row r="395" ht="15.75" customHeight="1">
      <c r="D395" s="794"/>
    </row>
    <row r="396" ht="15.75" customHeight="1">
      <c r="D396" s="794"/>
    </row>
    <row r="397" ht="15.75" customHeight="1">
      <c r="D397" s="794"/>
    </row>
    <row r="398" ht="15.75" customHeight="1">
      <c r="D398" s="794"/>
    </row>
    <row r="399" ht="15.75" customHeight="1">
      <c r="D399" s="794"/>
    </row>
    <row r="400" ht="15.75" customHeight="1">
      <c r="D400" s="794"/>
    </row>
    <row r="401" ht="15.75" customHeight="1">
      <c r="D401" s="794"/>
    </row>
    <row r="402" ht="15.75" customHeight="1">
      <c r="D402" s="794"/>
    </row>
    <row r="403" ht="15.75" customHeight="1">
      <c r="D403" s="794"/>
    </row>
    <row r="404" ht="15.75" customHeight="1">
      <c r="D404" s="794"/>
    </row>
    <row r="405" ht="15.75" customHeight="1">
      <c r="D405" s="794"/>
    </row>
    <row r="406" ht="15.75" customHeight="1">
      <c r="D406" s="794"/>
    </row>
    <row r="407" ht="15.75" customHeight="1">
      <c r="D407" s="794"/>
    </row>
    <row r="408" ht="15.75" customHeight="1">
      <c r="D408" s="794"/>
    </row>
    <row r="409" ht="15.75" customHeight="1">
      <c r="D409" s="794"/>
    </row>
    <row r="410" ht="15.75" customHeight="1">
      <c r="D410" s="794"/>
    </row>
    <row r="411" ht="15.75" customHeight="1">
      <c r="D411" s="794"/>
    </row>
    <row r="412" ht="15.75" customHeight="1">
      <c r="D412" s="794"/>
    </row>
    <row r="413" ht="15.75" customHeight="1">
      <c r="D413" s="794"/>
    </row>
    <row r="414" ht="15.75" customHeight="1">
      <c r="D414" s="794"/>
    </row>
    <row r="415" ht="15.75" customHeight="1">
      <c r="D415" s="794"/>
    </row>
    <row r="416" ht="15.75" customHeight="1">
      <c r="D416" s="794"/>
    </row>
    <row r="417" ht="15.75" customHeight="1">
      <c r="D417" s="794"/>
    </row>
    <row r="418" ht="15.75" customHeight="1">
      <c r="D418" s="794"/>
    </row>
    <row r="419" ht="15.75" customHeight="1">
      <c r="D419" s="794"/>
    </row>
    <row r="420" ht="15.75" customHeight="1">
      <c r="D420" s="794"/>
    </row>
    <row r="421" ht="15.75" customHeight="1">
      <c r="D421" s="794"/>
    </row>
    <row r="422" ht="15.75" customHeight="1">
      <c r="D422" s="794"/>
    </row>
    <row r="423" ht="15.75" customHeight="1">
      <c r="D423" s="794"/>
    </row>
    <row r="424" ht="15.75" customHeight="1">
      <c r="D424" s="794"/>
    </row>
    <row r="425" ht="15.75" customHeight="1">
      <c r="D425" s="794"/>
    </row>
    <row r="426" ht="15.75" customHeight="1">
      <c r="D426" s="794"/>
    </row>
    <row r="427" ht="15.75" customHeight="1">
      <c r="D427" s="794"/>
    </row>
    <row r="428" ht="15.75" customHeight="1">
      <c r="D428" s="794"/>
    </row>
    <row r="429" ht="15.75" customHeight="1">
      <c r="D429" s="794"/>
    </row>
    <row r="430" ht="15.75" customHeight="1">
      <c r="D430" s="794"/>
    </row>
    <row r="431" ht="15.75" customHeight="1">
      <c r="D431" s="794"/>
    </row>
    <row r="432" ht="15.75" customHeight="1">
      <c r="D432" s="794"/>
    </row>
    <row r="433" ht="15.75" customHeight="1">
      <c r="D433" s="794"/>
    </row>
    <row r="434" ht="15.75" customHeight="1">
      <c r="D434" s="794"/>
    </row>
    <row r="435" ht="15.75" customHeight="1">
      <c r="D435" s="794"/>
    </row>
    <row r="436" ht="15.75" customHeight="1">
      <c r="D436" s="794"/>
    </row>
    <row r="437" ht="15.75" customHeight="1">
      <c r="D437" s="794"/>
    </row>
    <row r="438" ht="15.75" customHeight="1">
      <c r="D438" s="794"/>
    </row>
    <row r="439" ht="15.75" customHeight="1">
      <c r="D439" s="794"/>
    </row>
    <row r="440" ht="15.75" customHeight="1">
      <c r="D440" s="794"/>
    </row>
    <row r="441" ht="15.75" customHeight="1">
      <c r="D441" s="794"/>
    </row>
    <row r="442" ht="15.75" customHeight="1">
      <c r="D442" s="794"/>
    </row>
    <row r="443" ht="15.75" customHeight="1">
      <c r="D443" s="794"/>
    </row>
    <row r="444" ht="15.75" customHeight="1">
      <c r="D444" s="794"/>
    </row>
    <row r="445" ht="15.75" customHeight="1">
      <c r="D445" s="794"/>
    </row>
    <row r="446" ht="15.75" customHeight="1">
      <c r="D446" s="794"/>
    </row>
    <row r="447" ht="15.75" customHeight="1">
      <c r="D447" s="794"/>
    </row>
    <row r="448" ht="15.75" customHeight="1">
      <c r="D448" s="794"/>
    </row>
    <row r="449" ht="15.75" customHeight="1">
      <c r="D449" s="794"/>
    </row>
    <row r="450" ht="15.75" customHeight="1">
      <c r="D450" s="794"/>
    </row>
    <row r="451" ht="15.75" customHeight="1">
      <c r="D451" s="794"/>
    </row>
    <row r="452" ht="15.75" customHeight="1">
      <c r="D452" s="794"/>
    </row>
    <row r="453" ht="15.75" customHeight="1">
      <c r="D453" s="794"/>
    </row>
    <row r="454" ht="15.75" customHeight="1">
      <c r="D454" s="794"/>
    </row>
    <row r="455" ht="15.75" customHeight="1">
      <c r="D455" s="794"/>
    </row>
    <row r="456" ht="15.75" customHeight="1">
      <c r="D456" s="794"/>
    </row>
    <row r="457" ht="15.75" customHeight="1">
      <c r="D457" s="794"/>
    </row>
    <row r="458" ht="15.75" customHeight="1">
      <c r="D458" s="794"/>
    </row>
    <row r="459" ht="15.75" customHeight="1">
      <c r="D459" s="794"/>
    </row>
    <row r="460" ht="15.75" customHeight="1">
      <c r="D460" s="794"/>
    </row>
    <row r="461" ht="15.75" customHeight="1">
      <c r="D461" s="794"/>
    </row>
    <row r="462" ht="15.75" customHeight="1">
      <c r="D462" s="794"/>
    </row>
    <row r="463" ht="15.75" customHeight="1">
      <c r="D463" s="794"/>
    </row>
    <row r="464" ht="15.75" customHeight="1">
      <c r="D464" s="794"/>
    </row>
    <row r="465" ht="15.75" customHeight="1">
      <c r="D465" s="794"/>
    </row>
    <row r="466" ht="15.75" customHeight="1">
      <c r="D466" s="794"/>
    </row>
    <row r="467" ht="15.75" customHeight="1">
      <c r="D467" s="794"/>
    </row>
    <row r="468" ht="15.75" customHeight="1">
      <c r="D468" s="794"/>
    </row>
    <row r="469" ht="15.75" customHeight="1">
      <c r="D469" s="794"/>
    </row>
    <row r="470" ht="15.75" customHeight="1">
      <c r="D470" s="794"/>
    </row>
    <row r="471" ht="15.75" customHeight="1">
      <c r="D471" s="794"/>
    </row>
    <row r="472" ht="15.75" customHeight="1">
      <c r="D472" s="794"/>
    </row>
    <row r="473" ht="15.75" customHeight="1">
      <c r="D473" s="794"/>
    </row>
    <row r="474" ht="15.75" customHeight="1">
      <c r="D474" s="794"/>
    </row>
    <row r="475" ht="15.75" customHeight="1">
      <c r="D475" s="794"/>
    </row>
    <row r="476" ht="15.75" customHeight="1">
      <c r="D476" s="794"/>
    </row>
    <row r="477" ht="15.75" customHeight="1">
      <c r="D477" s="794"/>
    </row>
    <row r="478" ht="15.75" customHeight="1">
      <c r="D478" s="794"/>
    </row>
    <row r="479" ht="15.75" customHeight="1">
      <c r="D479" s="794"/>
    </row>
    <row r="480" ht="15.75" customHeight="1">
      <c r="D480" s="794"/>
    </row>
    <row r="481" ht="15.75" customHeight="1">
      <c r="D481" s="794"/>
    </row>
    <row r="482" ht="15.75" customHeight="1">
      <c r="D482" s="794"/>
    </row>
    <row r="483" ht="15.75" customHeight="1">
      <c r="D483" s="794"/>
    </row>
    <row r="484" ht="15.75" customHeight="1">
      <c r="D484" s="794"/>
    </row>
    <row r="485" ht="15.75" customHeight="1">
      <c r="D485" s="794"/>
    </row>
    <row r="486" ht="15.75" customHeight="1">
      <c r="D486" s="794"/>
    </row>
    <row r="487" ht="15.75" customHeight="1">
      <c r="D487" s="794"/>
    </row>
    <row r="488" ht="15.75" customHeight="1">
      <c r="D488" s="794"/>
    </row>
    <row r="489" ht="15.75" customHeight="1">
      <c r="D489" s="794"/>
    </row>
    <row r="490" ht="15.75" customHeight="1">
      <c r="D490" s="794"/>
    </row>
    <row r="491" ht="15.75" customHeight="1">
      <c r="D491" s="794"/>
    </row>
    <row r="492" ht="15.75" customHeight="1">
      <c r="D492" s="794"/>
    </row>
    <row r="493" ht="15.75" customHeight="1">
      <c r="D493" s="794"/>
    </row>
    <row r="494" ht="15.75" customHeight="1">
      <c r="D494" s="794"/>
    </row>
    <row r="495" ht="15.75" customHeight="1">
      <c r="D495" s="794"/>
    </row>
    <row r="496" ht="15.75" customHeight="1">
      <c r="D496" s="794"/>
    </row>
    <row r="497" ht="15.75" customHeight="1">
      <c r="D497" s="794"/>
    </row>
    <row r="498" ht="15.75" customHeight="1">
      <c r="D498" s="794"/>
    </row>
    <row r="499" ht="15.75" customHeight="1">
      <c r="D499" s="794"/>
    </row>
    <row r="500" ht="15.75" customHeight="1">
      <c r="D500" s="794"/>
    </row>
    <row r="501" ht="15.75" customHeight="1">
      <c r="D501" s="794"/>
    </row>
    <row r="502" ht="15.75" customHeight="1">
      <c r="D502" s="794"/>
    </row>
    <row r="503" ht="15.75" customHeight="1">
      <c r="D503" s="794"/>
    </row>
    <row r="504" ht="15.75" customHeight="1">
      <c r="D504" s="794"/>
    </row>
    <row r="505" ht="15.75" customHeight="1">
      <c r="D505" s="794"/>
    </row>
    <row r="506" ht="15.75" customHeight="1">
      <c r="D506" s="794"/>
    </row>
    <row r="507" ht="15.75" customHeight="1">
      <c r="D507" s="794"/>
    </row>
    <row r="508" ht="15.75" customHeight="1">
      <c r="D508" s="794"/>
    </row>
    <row r="509" ht="15.75" customHeight="1">
      <c r="D509" s="794"/>
    </row>
    <row r="510" ht="15.75" customHeight="1">
      <c r="D510" s="794"/>
    </row>
    <row r="511" ht="15.75" customHeight="1">
      <c r="D511" s="794"/>
    </row>
    <row r="512" ht="15.75" customHeight="1">
      <c r="D512" s="794"/>
    </row>
    <row r="513" ht="15.75" customHeight="1">
      <c r="D513" s="794"/>
    </row>
    <row r="514" ht="15.75" customHeight="1">
      <c r="D514" s="794"/>
    </row>
    <row r="515" ht="15.75" customHeight="1">
      <c r="D515" s="794"/>
    </row>
    <row r="516" ht="15.75" customHeight="1">
      <c r="D516" s="794"/>
    </row>
    <row r="517" ht="15.75" customHeight="1">
      <c r="D517" s="794"/>
    </row>
    <row r="518" ht="15.75" customHeight="1">
      <c r="D518" s="794"/>
    </row>
    <row r="519" ht="15.75" customHeight="1">
      <c r="D519" s="794"/>
    </row>
    <row r="520" ht="15.75" customHeight="1">
      <c r="D520" s="794"/>
    </row>
    <row r="521" ht="15.75" customHeight="1">
      <c r="D521" s="794"/>
    </row>
    <row r="522" ht="15.75" customHeight="1">
      <c r="D522" s="794"/>
    </row>
    <row r="523" ht="15.75" customHeight="1">
      <c r="D523" s="794"/>
    </row>
    <row r="524" ht="15.75" customHeight="1">
      <c r="D524" s="794"/>
    </row>
    <row r="525" ht="15.75" customHeight="1">
      <c r="D525" s="794"/>
    </row>
    <row r="526" ht="15.75" customHeight="1">
      <c r="D526" s="794"/>
    </row>
    <row r="527" ht="15.75" customHeight="1">
      <c r="D527" s="794"/>
    </row>
    <row r="528" ht="15.75" customHeight="1">
      <c r="D528" s="794"/>
    </row>
    <row r="529" ht="15.75" customHeight="1">
      <c r="D529" s="794"/>
    </row>
    <row r="530" ht="15.75" customHeight="1">
      <c r="D530" s="794"/>
    </row>
    <row r="531" ht="15.75" customHeight="1">
      <c r="D531" s="794"/>
    </row>
    <row r="532" ht="15.75" customHeight="1">
      <c r="D532" s="794"/>
    </row>
    <row r="533" ht="15.75" customHeight="1">
      <c r="D533" s="794"/>
    </row>
    <row r="534" ht="15.75" customHeight="1">
      <c r="D534" s="794"/>
    </row>
    <row r="535" ht="15.75" customHeight="1">
      <c r="D535" s="794"/>
    </row>
    <row r="536" ht="15.75" customHeight="1">
      <c r="D536" s="794"/>
    </row>
    <row r="537" ht="15.75" customHeight="1">
      <c r="D537" s="794"/>
    </row>
    <row r="538" ht="15.75" customHeight="1">
      <c r="D538" s="794"/>
    </row>
    <row r="539" ht="15.75" customHeight="1">
      <c r="D539" s="794"/>
    </row>
    <row r="540" ht="15.75" customHeight="1">
      <c r="D540" s="794"/>
    </row>
    <row r="541" ht="15.75" customHeight="1">
      <c r="D541" s="794"/>
    </row>
    <row r="542" ht="15.75" customHeight="1">
      <c r="D542" s="794"/>
    </row>
    <row r="543" ht="15.75" customHeight="1">
      <c r="D543" s="794"/>
    </row>
    <row r="544" ht="15.75" customHeight="1">
      <c r="D544" s="794"/>
    </row>
    <row r="545" ht="15.75" customHeight="1">
      <c r="D545" s="794"/>
    </row>
    <row r="546" ht="15.75" customHeight="1">
      <c r="D546" s="794"/>
    </row>
    <row r="547" ht="15.75" customHeight="1">
      <c r="D547" s="794"/>
    </row>
    <row r="548" ht="15.75" customHeight="1">
      <c r="D548" s="794"/>
    </row>
    <row r="549" ht="15.75" customHeight="1">
      <c r="D549" s="794"/>
    </row>
    <row r="550" ht="15.75" customHeight="1">
      <c r="D550" s="794"/>
    </row>
    <row r="551" ht="15.75" customHeight="1">
      <c r="D551" s="794"/>
    </row>
    <row r="552" ht="15.75" customHeight="1">
      <c r="D552" s="794"/>
    </row>
    <row r="553" ht="15.75" customHeight="1">
      <c r="D553" s="794"/>
    </row>
    <row r="554" ht="15.75" customHeight="1">
      <c r="D554" s="794"/>
    </row>
    <row r="555" ht="15.75" customHeight="1">
      <c r="D555" s="794"/>
    </row>
    <row r="556" ht="15.75" customHeight="1">
      <c r="D556" s="794"/>
    </row>
    <row r="557" ht="15.75" customHeight="1">
      <c r="D557" s="794"/>
    </row>
    <row r="558" ht="15.75" customHeight="1">
      <c r="D558" s="794"/>
    </row>
    <row r="559" ht="15.75" customHeight="1">
      <c r="D559" s="794"/>
    </row>
    <row r="560" ht="15.75" customHeight="1">
      <c r="D560" s="794"/>
    </row>
    <row r="561" ht="15.75" customHeight="1">
      <c r="D561" s="794"/>
    </row>
    <row r="562" ht="15.75" customHeight="1">
      <c r="D562" s="794"/>
    </row>
    <row r="563" ht="15.75" customHeight="1">
      <c r="D563" s="794"/>
    </row>
    <row r="564" ht="15.75" customHeight="1">
      <c r="D564" s="794"/>
    </row>
    <row r="565" ht="15.75" customHeight="1">
      <c r="D565" s="794"/>
    </row>
    <row r="566" ht="15.75" customHeight="1">
      <c r="D566" s="794"/>
    </row>
    <row r="567" ht="15.75" customHeight="1">
      <c r="D567" s="794"/>
    </row>
    <row r="568" ht="15.75" customHeight="1">
      <c r="D568" s="794"/>
    </row>
    <row r="569" ht="15.75" customHeight="1">
      <c r="D569" s="794"/>
    </row>
    <row r="570" ht="15.75" customHeight="1">
      <c r="D570" s="794"/>
    </row>
    <row r="571" ht="15.75" customHeight="1">
      <c r="D571" s="794"/>
    </row>
    <row r="572" ht="15.75" customHeight="1">
      <c r="D572" s="794"/>
    </row>
    <row r="573" ht="15.75" customHeight="1">
      <c r="D573" s="794"/>
    </row>
    <row r="574" ht="15.75" customHeight="1">
      <c r="D574" s="794"/>
    </row>
    <row r="575" ht="15.75" customHeight="1">
      <c r="D575" s="794"/>
    </row>
    <row r="576" ht="15.75" customHeight="1">
      <c r="D576" s="794"/>
    </row>
    <row r="577" ht="15.75" customHeight="1">
      <c r="D577" s="794"/>
    </row>
    <row r="578" ht="15.75" customHeight="1">
      <c r="D578" s="794"/>
    </row>
    <row r="579" ht="15.75" customHeight="1">
      <c r="D579" s="794"/>
    </row>
    <row r="580" ht="15.75" customHeight="1">
      <c r="D580" s="794"/>
    </row>
    <row r="581" ht="15.75" customHeight="1">
      <c r="D581" s="794"/>
    </row>
    <row r="582" ht="15.75" customHeight="1">
      <c r="D582" s="794"/>
    </row>
    <row r="583" ht="15.75" customHeight="1">
      <c r="D583" s="794"/>
    </row>
    <row r="584" ht="15.75" customHeight="1">
      <c r="D584" s="794"/>
    </row>
    <row r="585" ht="15.75" customHeight="1">
      <c r="D585" s="794"/>
    </row>
    <row r="586" ht="15.75" customHeight="1">
      <c r="D586" s="794"/>
    </row>
    <row r="587" ht="15.75" customHeight="1">
      <c r="D587" s="794"/>
    </row>
    <row r="588" ht="15.75" customHeight="1">
      <c r="D588" s="794"/>
    </row>
    <row r="589" ht="15.75" customHeight="1">
      <c r="D589" s="794"/>
    </row>
    <row r="590" ht="15.75" customHeight="1">
      <c r="D590" s="794"/>
    </row>
    <row r="591" ht="15.75" customHeight="1">
      <c r="D591" s="794"/>
    </row>
    <row r="592" ht="15.75" customHeight="1">
      <c r="D592" s="794"/>
    </row>
    <row r="593" ht="15.75" customHeight="1">
      <c r="D593" s="794"/>
    </row>
    <row r="594" ht="15.75" customHeight="1">
      <c r="D594" s="794"/>
    </row>
    <row r="595" ht="15.75" customHeight="1">
      <c r="D595" s="794"/>
    </row>
    <row r="596" ht="15.75" customHeight="1">
      <c r="D596" s="794"/>
    </row>
    <row r="597" ht="15.75" customHeight="1">
      <c r="D597" s="794"/>
    </row>
    <row r="598" ht="15.75" customHeight="1">
      <c r="D598" s="794"/>
    </row>
    <row r="599" ht="15.75" customHeight="1">
      <c r="D599" s="794"/>
    </row>
    <row r="600" ht="15.75" customHeight="1">
      <c r="D600" s="794"/>
    </row>
    <row r="601" ht="15.75" customHeight="1">
      <c r="D601" s="794"/>
    </row>
    <row r="602" ht="15.75" customHeight="1">
      <c r="D602" s="794"/>
    </row>
    <row r="603" ht="15.75" customHeight="1">
      <c r="D603" s="794"/>
    </row>
    <row r="604" ht="15.75" customHeight="1">
      <c r="D604" s="794"/>
    </row>
    <row r="605" ht="15.75" customHeight="1">
      <c r="D605" s="794"/>
    </row>
    <row r="606" ht="15.75" customHeight="1">
      <c r="D606" s="794"/>
    </row>
    <row r="607" ht="15.75" customHeight="1">
      <c r="D607" s="794"/>
    </row>
    <row r="608" ht="15.75" customHeight="1">
      <c r="D608" s="794"/>
    </row>
    <row r="609" ht="15.75" customHeight="1">
      <c r="D609" s="794"/>
    </row>
    <row r="610" ht="15.75" customHeight="1">
      <c r="D610" s="794"/>
    </row>
    <row r="611" ht="15.75" customHeight="1">
      <c r="D611" s="794"/>
    </row>
    <row r="612" ht="15.75" customHeight="1">
      <c r="D612" s="794"/>
    </row>
    <row r="613" ht="15.75" customHeight="1">
      <c r="D613" s="794"/>
    </row>
    <row r="614" ht="15.75" customHeight="1">
      <c r="D614" s="794"/>
    </row>
    <row r="615" ht="15.75" customHeight="1">
      <c r="D615" s="794"/>
    </row>
    <row r="616" ht="15.75" customHeight="1">
      <c r="D616" s="794"/>
    </row>
    <row r="617" ht="15.75" customHeight="1">
      <c r="D617" s="794"/>
    </row>
    <row r="618" ht="15.75" customHeight="1">
      <c r="D618" s="794"/>
    </row>
    <row r="619" ht="15.75" customHeight="1">
      <c r="D619" s="794"/>
    </row>
    <row r="620" ht="15.75" customHeight="1">
      <c r="D620" s="794"/>
    </row>
    <row r="621" ht="15.75" customHeight="1">
      <c r="D621" s="794"/>
    </row>
    <row r="622" ht="15.75" customHeight="1">
      <c r="D622" s="794"/>
    </row>
    <row r="623" ht="15.75" customHeight="1">
      <c r="D623" s="794"/>
    </row>
    <row r="624" ht="15.75" customHeight="1">
      <c r="D624" s="794"/>
    </row>
    <row r="625" ht="15.75" customHeight="1">
      <c r="D625" s="794"/>
    </row>
    <row r="626" ht="15.75" customHeight="1">
      <c r="D626" s="794"/>
    </row>
    <row r="627" ht="15.75" customHeight="1">
      <c r="D627" s="794"/>
    </row>
    <row r="628" ht="15.75" customHeight="1">
      <c r="D628" s="794"/>
    </row>
    <row r="629" ht="15.75" customHeight="1">
      <c r="D629" s="794"/>
    </row>
    <row r="630" ht="15.75" customHeight="1">
      <c r="D630" s="794"/>
    </row>
    <row r="631" ht="15.75" customHeight="1">
      <c r="D631" s="794"/>
    </row>
    <row r="632" ht="15.75" customHeight="1">
      <c r="D632" s="794"/>
    </row>
    <row r="633" ht="15.75" customHeight="1">
      <c r="D633" s="794"/>
    </row>
    <row r="634" ht="15.75" customHeight="1">
      <c r="D634" s="794"/>
    </row>
    <row r="635" ht="15.75" customHeight="1">
      <c r="D635" s="794"/>
    </row>
    <row r="636" ht="15.75" customHeight="1">
      <c r="D636" s="794"/>
    </row>
    <row r="637" ht="15.75" customHeight="1">
      <c r="D637" s="794"/>
    </row>
    <row r="638" ht="15.75" customHeight="1">
      <c r="D638" s="794"/>
    </row>
    <row r="639" ht="15.75" customHeight="1">
      <c r="D639" s="794"/>
    </row>
    <row r="640" ht="15.75" customHeight="1">
      <c r="D640" s="794"/>
    </row>
    <row r="641" ht="15.75" customHeight="1">
      <c r="D641" s="794"/>
    </row>
    <row r="642" ht="15.75" customHeight="1">
      <c r="D642" s="794"/>
    </row>
    <row r="643" ht="15.75" customHeight="1">
      <c r="D643" s="794"/>
    </row>
    <row r="644" ht="15.75" customHeight="1">
      <c r="D644" s="794"/>
    </row>
    <row r="645" ht="15.75" customHeight="1">
      <c r="D645" s="794"/>
    </row>
    <row r="646" ht="15.75" customHeight="1">
      <c r="D646" s="794"/>
    </row>
    <row r="647" ht="15.75" customHeight="1">
      <c r="D647" s="794"/>
    </row>
    <row r="648" ht="15.75" customHeight="1">
      <c r="D648" s="794"/>
    </row>
    <row r="649" ht="15.75" customHeight="1">
      <c r="D649" s="794"/>
    </row>
    <row r="650" ht="15.75" customHeight="1">
      <c r="D650" s="794"/>
    </row>
    <row r="651" ht="15.75" customHeight="1">
      <c r="D651" s="794"/>
    </row>
    <row r="652" ht="15.75" customHeight="1">
      <c r="D652" s="794"/>
    </row>
    <row r="653" ht="15.75" customHeight="1">
      <c r="D653" s="794"/>
    </row>
    <row r="654" ht="15.75" customHeight="1">
      <c r="D654" s="794"/>
    </row>
    <row r="655" ht="15.75" customHeight="1">
      <c r="D655" s="794"/>
    </row>
    <row r="656" ht="15.75" customHeight="1">
      <c r="D656" s="794"/>
    </row>
    <row r="657" ht="15.75" customHeight="1">
      <c r="D657" s="794"/>
    </row>
    <row r="658" ht="15.75" customHeight="1">
      <c r="D658" s="794"/>
    </row>
    <row r="659" ht="15.75" customHeight="1">
      <c r="D659" s="794"/>
    </row>
    <row r="660" ht="15.75" customHeight="1">
      <c r="D660" s="794"/>
    </row>
    <row r="661" ht="15.75" customHeight="1">
      <c r="D661" s="794"/>
    </row>
    <row r="662" ht="15.75" customHeight="1">
      <c r="D662" s="794"/>
    </row>
    <row r="663" ht="15.75" customHeight="1">
      <c r="D663" s="794"/>
    </row>
    <row r="664" ht="15.75" customHeight="1">
      <c r="D664" s="794"/>
    </row>
    <row r="665" ht="15.75" customHeight="1">
      <c r="D665" s="794"/>
    </row>
    <row r="666" ht="15.75" customHeight="1">
      <c r="D666" s="794"/>
    </row>
    <row r="667" ht="15.75" customHeight="1">
      <c r="D667" s="794"/>
    </row>
    <row r="668" ht="15.75" customHeight="1">
      <c r="D668" s="794"/>
    </row>
    <row r="669" ht="15.75" customHeight="1">
      <c r="D669" s="794"/>
    </row>
    <row r="670" ht="15.75" customHeight="1">
      <c r="D670" s="794"/>
    </row>
    <row r="671" ht="15.75" customHeight="1">
      <c r="D671" s="794"/>
    </row>
    <row r="672" ht="15.75" customHeight="1">
      <c r="D672" s="794"/>
    </row>
    <row r="673" ht="15.75" customHeight="1">
      <c r="D673" s="794"/>
    </row>
    <row r="674" ht="15.75" customHeight="1">
      <c r="D674" s="794"/>
    </row>
    <row r="675" ht="15.75" customHeight="1">
      <c r="D675" s="794"/>
    </row>
    <row r="676" ht="15.75" customHeight="1">
      <c r="D676" s="794"/>
    </row>
    <row r="677" ht="15.75" customHeight="1">
      <c r="D677" s="794"/>
    </row>
    <row r="678" ht="15.75" customHeight="1">
      <c r="D678" s="794"/>
    </row>
    <row r="679" ht="15.75" customHeight="1">
      <c r="D679" s="794"/>
    </row>
    <row r="680" ht="15.75" customHeight="1">
      <c r="D680" s="794"/>
    </row>
    <row r="681" ht="15.75" customHeight="1">
      <c r="D681" s="794"/>
    </row>
    <row r="682" ht="15.75" customHeight="1">
      <c r="D682" s="794"/>
    </row>
    <row r="683" ht="15.75" customHeight="1">
      <c r="D683" s="794"/>
    </row>
    <row r="684" ht="15.75" customHeight="1">
      <c r="D684" s="794"/>
    </row>
    <row r="685" ht="15.75" customHeight="1">
      <c r="D685" s="794"/>
    </row>
    <row r="686" ht="15.75" customHeight="1">
      <c r="D686" s="794"/>
    </row>
    <row r="687" ht="15.75" customHeight="1">
      <c r="D687" s="794"/>
    </row>
    <row r="688" ht="15.75" customHeight="1">
      <c r="D688" s="794"/>
    </row>
    <row r="689" ht="15.75" customHeight="1">
      <c r="D689" s="794"/>
    </row>
    <row r="690" ht="15.75" customHeight="1">
      <c r="D690" s="794"/>
    </row>
    <row r="691" ht="15.75" customHeight="1">
      <c r="D691" s="794"/>
    </row>
    <row r="692" ht="15.75" customHeight="1">
      <c r="D692" s="794"/>
    </row>
    <row r="693" ht="15.75" customHeight="1">
      <c r="D693" s="794"/>
    </row>
    <row r="694" ht="15.75" customHeight="1">
      <c r="D694" s="794"/>
    </row>
    <row r="695" ht="15.75" customHeight="1">
      <c r="D695" s="794"/>
    </row>
    <row r="696" ht="15.75" customHeight="1">
      <c r="D696" s="794"/>
    </row>
    <row r="697" ht="15.75" customHeight="1">
      <c r="D697" s="794"/>
    </row>
    <row r="698" ht="15.75" customHeight="1">
      <c r="D698" s="794"/>
    </row>
    <row r="699" ht="15.75" customHeight="1">
      <c r="D699" s="794"/>
    </row>
    <row r="700" ht="15.75" customHeight="1">
      <c r="D700" s="794"/>
    </row>
    <row r="701" ht="15.75" customHeight="1">
      <c r="D701" s="794"/>
    </row>
    <row r="702" ht="15.75" customHeight="1">
      <c r="D702" s="794"/>
    </row>
    <row r="703" ht="15.75" customHeight="1">
      <c r="D703" s="794"/>
    </row>
    <row r="704" ht="15.75" customHeight="1">
      <c r="D704" s="794"/>
    </row>
    <row r="705" ht="15.75" customHeight="1">
      <c r="D705" s="794"/>
    </row>
    <row r="706" ht="15.75" customHeight="1">
      <c r="D706" s="794"/>
    </row>
    <row r="707" ht="15.75" customHeight="1">
      <c r="D707" s="794"/>
    </row>
    <row r="708" ht="15.75" customHeight="1">
      <c r="D708" s="794"/>
    </row>
    <row r="709" ht="15.75" customHeight="1">
      <c r="D709" s="794"/>
    </row>
    <row r="710" ht="15.75" customHeight="1">
      <c r="D710" s="794"/>
    </row>
    <row r="711" ht="15.75" customHeight="1">
      <c r="D711" s="794"/>
    </row>
    <row r="712" ht="15.75" customHeight="1">
      <c r="D712" s="794"/>
    </row>
    <row r="713" ht="15.75" customHeight="1">
      <c r="D713" s="794"/>
    </row>
    <row r="714" ht="15.75" customHeight="1">
      <c r="D714" s="794"/>
    </row>
    <row r="715" ht="15.75" customHeight="1">
      <c r="D715" s="794"/>
    </row>
    <row r="716" ht="15.75" customHeight="1">
      <c r="D716" s="794"/>
    </row>
    <row r="717" ht="15.75" customHeight="1">
      <c r="D717" s="794"/>
    </row>
    <row r="718" ht="15.75" customHeight="1">
      <c r="D718" s="794"/>
    </row>
    <row r="719" ht="15.75" customHeight="1">
      <c r="D719" s="794"/>
    </row>
    <row r="720" ht="15.75" customHeight="1">
      <c r="D720" s="794"/>
    </row>
    <row r="721" ht="15.75" customHeight="1">
      <c r="D721" s="794"/>
    </row>
    <row r="722" ht="15.75" customHeight="1">
      <c r="D722" s="794"/>
    </row>
    <row r="723" ht="15.75" customHeight="1">
      <c r="D723" s="794"/>
    </row>
    <row r="724" ht="15.75" customHeight="1">
      <c r="D724" s="794"/>
    </row>
    <row r="725" ht="15.75" customHeight="1">
      <c r="D725" s="794"/>
    </row>
    <row r="726" ht="15.75" customHeight="1">
      <c r="D726" s="794"/>
    </row>
    <row r="727" ht="15.75" customHeight="1">
      <c r="D727" s="794"/>
    </row>
    <row r="728" ht="15.75" customHeight="1">
      <c r="D728" s="794"/>
    </row>
    <row r="729" ht="15.75" customHeight="1">
      <c r="D729" s="794"/>
    </row>
    <row r="730" ht="15.75" customHeight="1">
      <c r="D730" s="794"/>
    </row>
    <row r="731" ht="15.75" customHeight="1">
      <c r="D731" s="794"/>
    </row>
    <row r="732" ht="15.75" customHeight="1">
      <c r="D732" s="794"/>
    </row>
    <row r="733" ht="15.75" customHeight="1">
      <c r="D733" s="794"/>
    </row>
    <row r="734" ht="15.75" customHeight="1">
      <c r="D734" s="794"/>
    </row>
    <row r="735" ht="15.75" customHeight="1">
      <c r="D735" s="794"/>
    </row>
    <row r="736" ht="15.75" customHeight="1">
      <c r="D736" s="794"/>
    </row>
    <row r="737" ht="15.75" customHeight="1">
      <c r="D737" s="794"/>
    </row>
    <row r="738" ht="15.75" customHeight="1">
      <c r="D738" s="794"/>
    </row>
    <row r="739" ht="15.75" customHeight="1">
      <c r="D739" s="794"/>
    </row>
    <row r="740" ht="15.75" customHeight="1">
      <c r="D740" s="794"/>
    </row>
    <row r="741" ht="15.75" customHeight="1">
      <c r="D741" s="794"/>
    </row>
    <row r="742" ht="15.75" customHeight="1">
      <c r="D742" s="794"/>
    </row>
    <row r="743" ht="15.75" customHeight="1">
      <c r="D743" s="794"/>
    </row>
    <row r="744" ht="15.75" customHeight="1">
      <c r="D744" s="794"/>
    </row>
    <row r="745" ht="15.75" customHeight="1">
      <c r="D745" s="794"/>
    </row>
    <row r="746" ht="15.75" customHeight="1">
      <c r="D746" s="794"/>
    </row>
    <row r="747" ht="15.75" customHeight="1">
      <c r="D747" s="794"/>
    </row>
    <row r="748" ht="15.75" customHeight="1">
      <c r="D748" s="794"/>
    </row>
    <row r="749" ht="15.75" customHeight="1">
      <c r="D749" s="794"/>
    </row>
    <row r="750" ht="15.75" customHeight="1">
      <c r="D750" s="794"/>
    </row>
    <row r="751" ht="15.75" customHeight="1">
      <c r="D751" s="794"/>
    </row>
    <row r="752" ht="15.75" customHeight="1">
      <c r="D752" s="794"/>
    </row>
    <row r="753" ht="15.75" customHeight="1">
      <c r="D753" s="794"/>
    </row>
    <row r="754" ht="15.75" customHeight="1">
      <c r="D754" s="794"/>
    </row>
    <row r="755" ht="15.75" customHeight="1">
      <c r="D755" s="794"/>
    </row>
    <row r="756" ht="15.75" customHeight="1">
      <c r="D756" s="794"/>
    </row>
    <row r="757" ht="15.75" customHeight="1">
      <c r="D757" s="794"/>
    </row>
    <row r="758" ht="15.75" customHeight="1">
      <c r="D758" s="794"/>
    </row>
    <row r="759" ht="15.75" customHeight="1">
      <c r="D759" s="794"/>
    </row>
    <row r="760" ht="15.75" customHeight="1">
      <c r="D760" s="794"/>
    </row>
    <row r="761" ht="15.75" customHeight="1">
      <c r="D761" s="794"/>
    </row>
    <row r="762" ht="15.75" customHeight="1">
      <c r="D762" s="794"/>
    </row>
    <row r="763" ht="15.75" customHeight="1">
      <c r="D763" s="794"/>
    </row>
    <row r="764" ht="15.75" customHeight="1">
      <c r="D764" s="794"/>
    </row>
    <row r="765" ht="15.75" customHeight="1">
      <c r="D765" s="794"/>
    </row>
    <row r="766" ht="15.75" customHeight="1">
      <c r="D766" s="794"/>
    </row>
    <row r="767" ht="15.75" customHeight="1">
      <c r="D767" s="794"/>
    </row>
    <row r="768" ht="15.75" customHeight="1">
      <c r="D768" s="794"/>
    </row>
    <row r="769" ht="15.75" customHeight="1">
      <c r="D769" s="794"/>
    </row>
    <row r="770" ht="15.75" customHeight="1">
      <c r="D770" s="794"/>
    </row>
    <row r="771" ht="15.75" customHeight="1">
      <c r="D771" s="794"/>
    </row>
    <row r="772" ht="15.75" customHeight="1">
      <c r="D772" s="794"/>
    </row>
    <row r="773" ht="15.75" customHeight="1">
      <c r="D773" s="794"/>
    </row>
    <row r="774" ht="15.75" customHeight="1">
      <c r="D774" s="794"/>
    </row>
    <row r="775" ht="15.75" customHeight="1">
      <c r="D775" s="794"/>
    </row>
    <row r="776" ht="15.75" customHeight="1">
      <c r="D776" s="794"/>
    </row>
    <row r="777" ht="15.75" customHeight="1">
      <c r="D777" s="794"/>
    </row>
    <row r="778" ht="15.75" customHeight="1">
      <c r="D778" s="794"/>
    </row>
    <row r="779" ht="15.75" customHeight="1">
      <c r="D779" s="794"/>
    </row>
    <row r="780" ht="15.75" customHeight="1">
      <c r="D780" s="794"/>
    </row>
    <row r="781" ht="15.75" customHeight="1">
      <c r="D781" s="794"/>
    </row>
    <row r="782" ht="15.75" customHeight="1">
      <c r="D782" s="794"/>
    </row>
    <row r="783" ht="15.75" customHeight="1">
      <c r="D783" s="794"/>
    </row>
    <row r="784" ht="15.75" customHeight="1">
      <c r="D784" s="794"/>
    </row>
    <row r="785" ht="15.75" customHeight="1">
      <c r="D785" s="794"/>
    </row>
    <row r="786" ht="15.75" customHeight="1">
      <c r="D786" s="794"/>
    </row>
    <row r="787" ht="15.75" customHeight="1">
      <c r="D787" s="794"/>
    </row>
    <row r="788" ht="15.75" customHeight="1">
      <c r="D788" s="794"/>
    </row>
    <row r="789" ht="15.75" customHeight="1">
      <c r="D789" s="794"/>
    </row>
    <row r="790" ht="15.75" customHeight="1">
      <c r="D790" s="794"/>
    </row>
    <row r="791" ht="15.75" customHeight="1">
      <c r="D791" s="794"/>
    </row>
    <row r="792" ht="15.75" customHeight="1">
      <c r="D792" s="794"/>
    </row>
    <row r="793" ht="15.75" customHeight="1">
      <c r="D793" s="794"/>
    </row>
    <row r="794" ht="15.75" customHeight="1">
      <c r="D794" s="794"/>
    </row>
    <row r="795" ht="15.75" customHeight="1">
      <c r="D795" s="794"/>
    </row>
    <row r="796" ht="15.75" customHeight="1">
      <c r="D796" s="794"/>
    </row>
    <row r="797" ht="15.75" customHeight="1">
      <c r="D797" s="794"/>
    </row>
    <row r="798" ht="15.75" customHeight="1">
      <c r="D798" s="794"/>
    </row>
    <row r="799" ht="15.75" customHeight="1">
      <c r="D799" s="794"/>
    </row>
    <row r="800" ht="15.75" customHeight="1">
      <c r="D800" s="794"/>
    </row>
    <row r="801" ht="15.75" customHeight="1">
      <c r="D801" s="794"/>
    </row>
    <row r="802" ht="15.75" customHeight="1">
      <c r="D802" s="794"/>
    </row>
    <row r="803" ht="15.75" customHeight="1">
      <c r="D803" s="794"/>
    </row>
    <row r="804" ht="15.75" customHeight="1">
      <c r="D804" s="794"/>
    </row>
    <row r="805" ht="15.75" customHeight="1">
      <c r="D805" s="794"/>
    </row>
    <row r="806" ht="15.75" customHeight="1">
      <c r="D806" s="794"/>
    </row>
    <row r="807" ht="15.75" customHeight="1">
      <c r="D807" s="794"/>
    </row>
    <row r="808" ht="15.75" customHeight="1">
      <c r="D808" s="794"/>
    </row>
    <row r="809" ht="15.75" customHeight="1">
      <c r="D809" s="794"/>
    </row>
    <row r="810" ht="15.75" customHeight="1">
      <c r="D810" s="794"/>
    </row>
    <row r="811" ht="15.75" customHeight="1">
      <c r="D811" s="794"/>
    </row>
    <row r="812" ht="15.75" customHeight="1">
      <c r="D812" s="794"/>
    </row>
    <row r="813" ht="15.75" customHeight="1">
      <c r="D813" s="794"/>
    </row>
    <row r="814" ht="15.75" customHeight="1">
      <c r="D814" s="794"/>
    </row>
    <row r="815" ht="15.75" customHeight="1">
      <c r="D815" s="794"/>
    </row>
    <row r="816" ht="15.75" customHeight="1">
      <c r="D816" s="794"/>
    </row>
    <row r="817" ht="15.75" customHeight="1">
      <c r="D817" s="794"/>
    </row>
    <row r="818" ht="15.75" customHeight="1">
      <c r="D818" s="794"/>
    </row>
    <row r="819" ht="15.75" customHeight="1">
      <c r="D819" s="794"/>
    </row>
    <row r="820" ht="15.75" customHeight="1">
      <c r="D820" s="794"/>
    </row>
    <row r="821" ht="15.75" customHeight="1">
      <c r="D821" s="794"/>
    </row>
    <row r="822" ht="15.75" customHeight="1">
      <c r="D822" s="794"/>
    </row>
    <row r="823" ht="15.75" customHeight="1">
      <c r="D823" s="794"/>
    </row>
    <row r="824" ht="15.75" customHeight="1">
      <c r="D824" s="794"/>
    </row>
    <row r="825" ht="15.75" customHeight="1">
      <c r="D825" s="794"/>
    </row>
    <row r="826" ht="15.75" customHeight="1">
      <c r="D826" s="794"/>
    </row>
    <row r="827" ht="15.75" customHeight="1">
      <c r="D827" s="794"/>
    </row>
    <row r="828" ht="15.75" customHeight="1">
      <c r="D828" s="794"/>
    </row>
    <row r="829" ht="15.75" customHeight="1">
      <c r="D829" s="794"/>
    </row>
    <row r="830" ht="15.75" customHeight="1">
      <c r="D830" s="794"/>
    </row>
    <row r="831" ht="15.75" customHeight="1">
      <c r="D831" s="794"/>
    </row>
    <row r="832" ht="15.75" customHeight="1">
      <c r="D832" s="794"/>
    </row>
    <row r="833" ht="15.75" customHeight="1">
      <c r="D833" s="794"/>
    </row>
    <row r="834" ht="15.75" customHeight="1">
      <c r="D834" s="794"/>
    </row>
    <row r="835" ht="15.75" customHeight="1">
      <c r="D835" s="794"/>
    </row>
    <row r="836" ht="15.75" customHeight="1">
      <c r="D836" s="794"/>
    </row>
    <row r="837" ht="15.75" customHeight="1">
      <c r="D837" s="794"/>
    </row>
    <row r="838" ht="15.75" customHeight="1">
      <c r="D838" s="794"/>
    </row>
    <row r="839" ht="15.75" customHeight="1">
      <c r="D839" s="794"/>
    </row>
    <row r="840" ht="15.75" customHeight="1">
      <c r="D840" s="794"/>
    </row>
    <row r="841" ht="15.75" customHeight="1">
      <c r="D841" s="794"/>
    </row>
    <row r="842" ht="15.75" customHeight="1">
      <c r="D842" s="794"/>
    </row>
    <row r="843" ht="15.75" customHeight="1">
      <c r="D843" s="794"/>
    </row>
    <row r="844" ht="15.75" customHeight="1">
      <c r="D844" s="794"/>
    </row>
    <row r="845" ht="15.75" customHeight="1">
      <c r="D845" s="794"/>
    </row>
    <row r="846" ht="15.75" customHeight="1">
      <c r="D846" s="794"/>
    </row>
    <row r="847" ht="15.75" customHeight="1">
      <c r="D847" s="794"/>
    </row>
    <row r="848" ht="15.75" customHeight="1">
      <c r="D848" s="794"/>
    </row>
    <row r="849" ht="15.75" customHeight="1">
      <c r="D849" s="794"/>
    </row>
    <row r="850" ht="15.75" customHeight="1">
      <c r="D850" s="794"/>
    </row>
    <row r="851" ht="15.75" customHeight="1">
      <c r="D851" s="794"/>
    </row>
    <row r="852" ht="15.75" customHeight="1">
      <c r="D852" s="794"/>
    </row>
    <row r="853" ht="15.75" customHeight="1">
      <c r="D853" s="794"/>
    </row>
    <row r="854" ht="15.75" customHeight="1">
      <c r="D854" s="794"/>
    </row>
    <row r="855" ht="15.75" customHeight="1">
      <c r="D855" s="794"/>
    </row>
    <row r="856" ht="15.75" customHeight="1">
      <c r="D856" s="794"/>
    </row>
    <row r="857" ht="15.75" customHeight="1">
      <c r="D857" s="794"/>
    </row>
    <row r="858" ht="15.75" customHeight="1">
      <c r="D858" s="794"/>
    </row>
    <row r="859" ht="15.75" customHeight="1">
      <c r="D859" s="794"/>
    </row>
    <row r="860" ht="15.75" customHeight="1">
      <c r="D860" s="794"/>
    </row>
    <row r="861" ht="15.75" customHeight="1">
      <c r="D861" s="794"/>
    </row>
    <row r="862" ht="15.75" customHeight="1">
      <c r="D862" s="794"/>
    </row>
    <row r="863" ht="15.75" customHeight="1">
      <c r="D863" s="794"/>
    </row>
    <row r="864" ht="15.75" customHeight="1">
      <c r="D864" s="794"/>
    </row>
    <row r="865" ht="15.75" customHeight="1">
      <c r="D865" s="794"/>
    </row>
    <row r="866" ht="15.75" customHeight="1">
      <c r="D866" s="794"/>
    </row>
    <row r="867" ht="15.75" customHeight="1">
      <c r="D867" s="794"/>
    </row>
    <row r="868" ht="15.75" customHeight="1">
      <c r="D868" s="794"/>
    </row>
    <row r="869" ht="15.75" customHeight="1">
      <c r="D869" s="794"/>
    </row>
    <row r="870" ht="15.75" customHeight="1">
      <c r="D870" s="794"/>
    </row>
    <row r="871" ht="15.75" customHeight="1">
      <c r="D871" s="794"/>
    </row>
    <row r="872" ht="15.75" customHeight="1">
      <c r="D872" s="794"/>
    </row>
    <row r="873" ht="15.75" customHeight="1">
      <c r="D873" s="794"/>
    </row>
    <row r="874" ht="15.75" customHeight="1">
      <c r="D874" s="794"/>
    </row>
    <row r="875" ht="15.75" customHeight="1">
      <c r="D875" s="794"/>
    </row>
    <row r="876" ht="15.75" customHeight="1">
      <c r="D876" s="794"/>
    </row>
    <row r="877" ht="15.75" customHeight="1">
      <c r="D877" s="794"/>
    </row>
    <row r="878" ht="15.75" customHeight="1">
      <c r="D878" s="794"/>
    </row>
    <row r="879" ht="15.75" customHeight="1">
      <c r="D879" s="794"/>
    </row>
    <row r="880" ht="15.75" customHeight="1">
      <c r="D880" s="794"/>
    </row>
    <row r="881" ht="15.75" customHeight="1">
      <c r="D881" s="794"/>
    </row>
    <row r="882" ht="15.75" customHeight="1">
      <c r="D882" s="794"/>
    </row>
    <row r="883" ht="15.75" customHeight="1">
      <c r="D883" s="794"/>
    </row>
    <row r="884" ht="15.75" customHeight="1">
      <c r="D884" s="794"/>
    </row>
    <row r="885" ht="15.75" customHeight="1">
      <c r="D885" s="794"/>
    </row>
    <row r="886" ht="15.75" customHeight="1">
      <c r="D886" s="794"/>
    </row>
    <row r="887" ht="15.75" customHeight="1">
      <c r="D887" s="794"/>
    </row>
    <row r="888" ht="15.75" customHeight="1">
      <c r="D888" s="794"/>
    </row>
    <row r="889" ht="15.75" customHeight="1">
      <c r="D889" s="794"/>
    </row>
    <row r="890" ht="15.75" customHeight="1">
      <c r="D890" s="794"/>
    </row>
    <row r="891" ht="15.75" customHeight="1">
      <c r="D891" s="794"/>
    </row>
    <row r="892" ht="15.75" customHeight="1">
      <c r="D892" s="794"/>
    </row>
    <row r="893" ht="15.75" customHeight="1">
      <c r="D893" s="794"/>
    </row>
    <row r="894" ht="15.75" customHeight="1">
      <c r="D894" s="794"/>
    </row>
    <row r="895" ht="15.75" customHeight="1">
      <c r="D895" s="794"/>
    </row>
    <row r="896" ht="15.75" customHeight="1">
      <c r="D896" s="794"/>
    </row>
    <row r="897" ht="15.75" customHeight="1">
      <c r="D897" s="794"/>
    </row>
    <row r="898" ht="15.75" customHeight="1">
      <c r="D898" s="794"/>
    </row>
    <row r="899" ht="15.75" customHeight="1">
      <c r="D899" s="794"/>
    </row>
    <row r="900" ht="15.75" customHeight="1">
      <c r="D900" s="794"/>
    </row>
    <row r="901" ht="15.75" customHeight="1">
      <c r="D901" s="794"/>
    </row>
    <row r="902" ht="15.75" customHeight="1">
      <c r="D902" s="794"/>
    </row>
    <row r="903" ht="15.75" customHeight="1">
      <c r="D903" s="794"/>
    </row>
    <row r="904" ht="15.75" customHeight="1">
      <c r="D904" s="794"/>
    </row>
    <row r="905" ht="15.75" customHeight="1">
      <c r="D905" s="794"/>
    </row>
    <row r="906" ht="15.75" customHeight="1">
      <c r="D906" s="794"/>
    </row>
    <row r="907" ht="15.75" customHeight="1">
      <c r="D907" s="794"/>
    </row>
    <row r="908" ht="15.75" customHeight="1">
      <c r="D908" s="794"/>
    </row>
    <row r="909" ht="15.75" customHeight="1">
      <c r="D909" s="794"/>
    </row>
    <row r="910" ht="15.75" customHeight="1">
      <c r="D910" s="794"/>
    </row>
    <row r="911" ht="15.75" customHeight="1">
      <c r="D911" s="794"/>
    </row>
    <row r="912" ht="15.75" customHeight="1">
      <c r="D912" s="794"/>
    </row>
    <row r="913" ht="15.75" customHeight="1">
      <c r="D913" s="794"/>
    </row>
    <row r="914" ht="15.75" customHeight="1">
      <c r="D914" s="794"/>
    </row>
    <row r="915" ht="15.75" customHeight="1">
      <c r="D915" s="794"/>
    </row>
    <row r="916" ht="15.75" customHeight="1">
      <c r="D916" s="794"/>
    </row>
    <row r="917" ht="15.75" customHeight="1">
      <c r="D917" s="794"/>
    </row>
    <row r="918" ht="15.75" customHeight="1">
      <c r="D918" s="794"/>
    </row>
    <row r="919" ht="15.75" customHeight="1">
      <c r="D919" s="794"/>
    </row>
    <row r="920" ht="15.75" customHeight="1">
      <c r="D920" s="794"/>
    </row>
    <row r="921" ht="15.75" customHeight="1">
      <c r="D921" s="794"/>
    </row>
    <row r="922" ht="15.75" customHeight="1">
      <c r="D922" s="794"/>
    </row>
    <row r="923" ht="15.75" customHeight="1">
      <c r="D923" s="794"/>
    </row>
    <row r="924" ht="15.75" customHeight="1">
      <c r="D924" s="794"/>
    </row>
    <row r="925" ht="15.75" customHeight="1">
      <c r="D925" s="794"/>
    </row>
    <row r="926" ht="15.75" customHeight="1">
      <c r="D926" s="794"/>
    </row>
    <row r="927" ht="15.75" customHeight="1">
      <c r="D927" s="794"/>
    </row>
    <row r="928" ht="15.75" customHeight="1">
      <c r="D928" s="794"/>
    </row>
    <row r="929" ht="15.75" customHeight="1">
      <c r="D929" s="794"/>
    </row>
    <row r="930" ht="15.75" customHeight="1">
      <c r="D930" s="794"/>
    </row>
    <row r="931" ht="15.75" customHeight="1">
      <c r="D931" s="794"/>
    </row>
    <row r="932" ht="15.75" customHeight="1">
      <c r="D932" s="794"/>
    </row>
    <row r="933" ht="15.75" customHeight="1">
      <c r="D933" s="794"/>
    </row>
    <row r="934" ht="15.75" customHeight="1">
      <c r="D934" s="794"/>
    </row>
    <row r="935" ht="15.75" customHeight="1">
      <c r="D935" s="794"/>
    </row>
    <row r="936" ht="15.75" customHeight="1">
      <c r="D936" s="794"/>
    </row>
    <row r="937" ht="15.75" customHeight="1">
      <c r="D937" s="794"/>
    </row>
    <row r="938" ht="15.75" customHeight="1">
      <c r="D938" s="794"/>
    </row>
    <row r="939" ht="15.75" customHeight="1">
      <c r="D939" s="794"/>
    </row>
    <row r="940" ht="15.75" customHeight="1">
      <c r="D940" s="794"/>
    </row>
    <row r="941" ht="15.75" customHeight="1">
      <c r="D941" s="794"/>
    </row>
    <row r="942" ht="15.75" customHeight="1">
      <c r="D942" s="794"/>
    </row>
    <row r="943" ht="15.75" customHeight="1">
      <c r="D943" s="794"/>
    </row>
    <row r="944" ht="15.75" customHeight="1">
      <c r="D944" s="794"/>
    </row>
    <row r="945" ht="15.75" customHeight="1">
      <c r="D945" s="794"/>
    </row>
    <row r="946" ht="15.75" customHeight="1">
      <c r="D946" s="794"/>
    </row>
    <row r="947" ht="15.75" customHeight="1">
      <c r="D947" s="794"/>
    </row>
    <row r="948" ht="15.75" customHeight="1">
      <c r="D948" s="794"/>
    </row>
    <row r="949" ht="15.75" customHeight="1">
      <c r="D949" s="794"/>
    </row>
    <row r="950" ht="15.75" customHeight="1">
      <c r="D950" s="794"/>
    </row>
    <row r="951" ht="15.75" customHeight="1">
      <c r="D951" s="794"/>
    </row>
    <row r="952" ht="15.75" customHeight="1">
      <c r="D952" s="794"/>
    </row>
    <row r="953" ht="15.75" customHeight="1">
      <c r="D953" s="794"/>
    </row>
    <row r="954" ht="15.75" customHeight="1">
      <c r="D954" s="794"/>
    </row>
    <row r="955" ht="15.75" customHeight="1">
      <c r="D955" s="794"/>
    </row>
    <row r="956" ht="15.75" customHeight="1">
      <c r="D956" s="794"/>
    </row>
    <row r="957" ht="15.75" customHeight="1">
      <c r="D957" s="794"/>
    </row>
    <row r="958" ht="15.75" customHeight="1">
      <c r="D958" s="794"/>
    </row>
    <row r="959" ht="15.75" customHeight="1">
      <c r="D959" s="794"/>
    </row>
    <row r="960" ht="15.75" customHeight="1">
      <c r="D960" s="794"/>
    </row>
    <row r="961" ht="15.75" customHeight="1">
      <c r="D961" s="794"/>
    </row>
    <row r="962" ht="15.75" customHeight="1">
      <c r="D962" s="794"/>
    </row>
    <row r="963" ht="15.75" customHeight="1">
      <c r="D963" s="794"/>
    </row>
    <row r="964" ht="15.75" customHeight="1">
      <c r="D964" s="794"/>
    </row>
    <row r="965" ht="15.75" customHeight="1">
      <c r="D965" s="794"/>
    </row>
    <row r="966" ht="15.75" customHeight="1">
      <c r="D966" s="794"/>
    </row>
    <row r="967" ht="15.75" customHeight="1">
      <c r="D967" s="794"/>
    </row>
    <row r="968" ht="15.75" customHeight="1">
      <c r="D968" s="794"/>
    </row>
    <row r="969" ht="15.75" customHeight="1">
      <c r="D969" s="794"/>
    </row>
    <row r="970" ht="15.75" customHeight="1">
      <c r="D970" s="794"/>
    </row>
    <row r="971" ht="15.75" customHeight="1">
      <c r="D971" s="794"/>
    </row>
    <row r="972" ht="15.75" customHeight="1">
      <c r="D972" s="794"/>
    </row>
    <row r="973" ht="15.75" customHeight="1">
      <c r="D973" s="794"/>
    </row>
    <row r="974" ht="15.75" customHeight="1">
      <c r="D974" s="794"/>
    </row>
    <row r="975" ht="15.75" customHeight="1">
      <c r="D975" s="794"/>
    </row>
    <row r="976" ht="15.75" customHeight="1">
      <c r="D976" s="794"/>
    </row>
    <row r="977" ht="15.75" customHeight="1">
      <c r="D977" s="794"/>
    </row>
    <row r="978" ht="15.75" customHeight="1">
      <c r="D978" s="794"/>
    </row>
    <row r="979" ht="15.75" customHeight="1">
      <c r="D979" s="794"/>
    </row>
    <row r="980" ht="15.75" customHeight="1">
      <c r="D980" s="794"/>
    </row>
    <row r="981" ht="15.75" customHeight="1">
      <c r="D981" s="794"/>
    </row>
    <row r="982" ht="15.75" customHeight="1">
      <c r="D982" s="794"/>
    </row>
    <row r="983" ht="15.75" customHeight="1">
      <c r="D983" s="794"/>
    </row>
    <row r="984" ht="15.75" customHeight="1">
      <c r="D984" s="794"/>
    </row>
    <row r="985" ht="15.75" customHeight="1">
      <c r="D985" s="794"/>
    </row>
    <row r="986" ht="15.75" customHeight="1">
      <c r="D986" s="794"/>
    </row>
    <row r="987" ht="15.75" customHeight="1">
      <c r="D987" s="794"/>
    </row>
    <row r="988" ht="15.75" customHeight="1">
      <c r="D988" s="794"/>
    </row>
    <row r="989" ht="15.75" customHeight="1">
      <c r="D989" s="794"/>
    </row>
    <row r="990" ht="15.75" customHeight="1">
      <c r="D990" s="794"/>
    </row>
    <row r="991" ht="15.75" customHeight="1">
      <c r="D991" s="794"/>
    </row>
    <row r="992" ht="15.75" customHeight="1">
      <c r="D992" s="794"/>
    </row>
    <row r="993" ht="15.75" customHeight="1">
      <c r="D993" s="794"/>
    </row>
    <row r="994" ht="15.75" customHeight="1">
      <c r="D994" s="794"/>
    </row>
    <row r="995" ht="15.75" customHeight="1">
      <c r="D995" s="794"/>
    </row>
    <row r="996" ht="15.75" customHeight="1">
      <c r="D996" s="794"/>
    </row>
    <row r="997" ht="15.75" customHeight="1">
      <c r="D997" s="794"/>
    </row>
    <row r="998" ht="15.75" customHeight="1">
      <c r="D998" s="794"/>
    </row>
    <row r="999" ht="15.75" customHeight="1">
      <c r="D999" s="794"/>
    </row>
    <row r="1000" ht="15.75" customHeight="1">
      <c r="D1000" s="794"/>
    </row>
    <row r="1001" ht="15.75" customHeight="1">
      <c r="D1001" s="794"/>
    </row>
    <row r="1002" ht="15.75" customHeight="1">
      <c r="D1002" s="794"/>
    </row>
    <row r="1003" ht="15.75" customHeight="1">
      <c r="D1003" s="794"/>
    </row>
    <row r="1004" ht="15.75" customHeight="1">
      <c r="D1004" s="794"/>
    </row>
    <row r="1005" ht="15.75" customHeight="1">
      <c r="D1005" s="794"/>
    </row>
  </sheetData>
  <mergeCells count="3">
    <mergeCell ref="B2:D2"/>
    <mergeCell ref="B3:B8"/>
    <mergeCell ref="B9:C9"/>
  </mergeCells>
  <drawing r:id="rId1"/>
</worksheet>
</file>