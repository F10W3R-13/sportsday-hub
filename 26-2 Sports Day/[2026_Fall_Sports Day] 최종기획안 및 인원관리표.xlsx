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개요" sheetId="1" r:id="rId5"/>
    <sheet state="visible" name="1. 행사 기획안" sheetId="2" r:id="rId6"/>
    <sheet state="visible" name="2. 타임라인 &amp; 인원관리표" sheetId="3" r:id="rId7"/>
    <sheet state="visible" name="3. 팀별 편성" sheetId="4" r:id="rId8"/>
    <sheet state="visible" name="4. 준비물" sheetId="5" r:id="rId9"/>
    <sheet state="visible" name="5. 예산안" sheetId="6" r:id="rId10"/>
    <sheet state="visible" name="6. 행사 피드백" sheetId="7" r:id="rId11"/>
  </sheets>
  <definedNames/>
  <calcPr/>
</workbook>
</file>

<file path=xl/sharedStrings.xml><?xml version="1.0" encoding="utf-8"?>
<sst xmlns="http://schemas.openxmlformats.org/spreadsheetml/2006/main" count="944" uniqueCount="564">
  <si>
    <t>※ 교환 팀 배정(9/3 완료) 후 확정 — 팀당 교환학생 약 25명 + 하클 팀장·부팀장. 계주는 팀당 여3·남3.</t>
  </si>
  <si>
    <t>개요</t>
  </si>
  <si>
    <t>기획 배경</t>
  </si>
  <si>
    <t>TEAM JOY</t>
  </si>
  <si>
    <t>하클 가용인원</t>
  </si>
  <si>
    <t>- 건강도 챙기고 재미도 챙길 수 있는 한국형 체육대회! 이번에는 '인사이드 아웃(Inside Out)' 컨셉 — HI-Side Out!
- 교환학생 150명과 하이클럽이 감정 6색 팀(Joy·Sadness·Anger·Disgust·Fear·Anxiety, 팀당 약 25명)으로 나뉘어 진행합니다. 각 팀에는 교환학생을 인솔하는 하클 팀장·부팀장이 배치되며, 계주는 하클 팀을 포함한 7팀이 동시에 출전합니다.
- 당일 흐름: 명륜 하클은 9:30 국제관 L 집합 → 10:30 버스 출발(3대, 명륜 신청 134명) → 11:45 율전 도착. 율전 조는 9:00부터 천막·경기장을 세팅하며, 11:50부터 버스 도착과 동시에 입장 수속·단체티·점심을 배부한 뒤 13:00에 개회합니다. 우천 시에는 율전 수성관에서 진행합니다.
- 토너먼트형 게임 4종(팀전·점수제)과 메인게임 2종(전원 참여)을 1부·2부로 나누어 진행하고, 미니게임 6종(개인전)은 상시 부스로 운영해 도장을 모으면 뽑기 상품을 가져갈 수 있도록 합니다.
- 작년 피드백 반영: 우천 시에도 취소 없이 수성관 전환 / 구글폼 성별 항목 추가로 종목별 성비 준수 / 심판 배정을 행사 3일 전까지 완료하고 리허설 진행 / 천막·의자·테이블 등 국제처 대여 전환으로 예산 부담 축소
- 점심(확정): 맘스터치 불고기버거(일반) + 서브웨이 베지(비건) · 버스·하이클럽 점심·단체티(인당 1만원 한도) 국제처 지원</t>
  </si>
  <si>
    <t>TEAM SADNESS</t>
  </si>
  <si>
    <t>1부</t>
  </si>
  <si>
    <t>2부</t>
  </si>
  <si>
    <t>행사 기획안</t>
  </si>
  <si>
    <t>TEAM ANGER</t>
  </si>
  <si>
    <t>기획 일정</t>
  </si>
  <si>
    <t>시간</t>
  </si>
  <si>
    <t>TEAM DISGUST</t>
  </si>
  <si>
    <t>날짜/시간</t>
  </si>
  <si>
    <t>TEAM FEAR</t>
  </si>
  <si>
    <t>내용</t>
  </si>
  <si>
    <t>기획부</t>
  </si>
  <si>
    <t>TEAM ANXIETY</t>
  </si>
  <si>
    <t>구체적</t>
  </si>
  <si>
    <t>회장단</t>
  </si>
  <si>
    <t>장소 및 일정</t>
  </si>
  <si>
    <t>하이클럽</t>
  </si>
  <si>
    <t>MALE</t>
  </si>
  <si>
    <t>역할</t>
  </si>
  <si>
    <t>기획팀 1차 회의</t>
  </si>
  <si>
    <t>FEMALE</t>
  </si>
  <si>
    <t>인원</t>
  </si>
  <si>
    <t>- 실무팀 인원 배정
- 고정회의 날짜 의논
- 컨셉 후보 논의 → '인사이드 아웃(HI-Side Out)' 확정</t>
  </si>
  <si>
    <t>담당자</t>
  </si>
  <si>
    <t>방중회의</t>
  </si>
  <si>
    <t>행사명</t>
  </si>
  <si>
    <t>- 방학 중 팀별 준비 현황 점검 (8/7)
- 구글폼 배포(8/21~28) 직전 최종 점검 (8/21)</t>
  </si>
  <si>
    <t>HI-Side Out</t>
  </si>
  <si>
    <t>기획팀 2차 회의</t>
  </si>
  <si>
    <t>- 작년(25-2·26-1) 피드백 검토
- 행사 컨셉 확정, 종목 후보·점수 철학 논의
- 팀별 기획 가이드라인 배포
- 예산 방향 옵션 정리 (단체티 신규 제작 전제)</t>
  </si>
  <si>
    <t>타임라인 완성</t>
  </si>
  <si>
    <t>- 25-2 소요시간 임시값 기준 전체 타임라인 뼈대 완성 (8/13)
- 확정 소요시간은 8/16 컨텐츠 확정 후 반영</t>
  </si>
  <si>
    <t>구분</t>
  </si>
  <si>
    <t>컨텐츠 완성</t>
  </si>
  <si>
    <t>- 기획팀 3차 회의(8/16): 게임 12종 상세 규칙·점수 배분 확정
- 토너먼트 100/80/60/40/20/10점 · 메인게임 ×1.5 (150/120/90/60/30/15점)
- 게임별 물품 리스트·소요시간 예산팀·타임라인팀 인계
- 구글폼 초안 피드백, 국제처 지원 방향 결정</t>
  </si>
  <si>
    <t>필참</t>
  </si>
  <si>
    <t>하클 가용인원 조사</t>
  </si>
  <si>
    <t>- 8/17~19 구글폼 조사 (배치표 작성의 기초)
- 오전/오후 버스 지원 가능 여부 포함</t>
  </si>
  <si>
    <t>카드뉴스 홍보부 인계</t>
  </si>
  <si>
    <t>9:30~10:00</t>
  </si>
  <si>
    <t>- 홍보부 인계물(카드뉴스) 1차 인계 — 컨텐츠 확정 결과 반영</t>
  </si>
  <si>
    <t>기획팀원</t>
  </si>
  <si>
    <t>명륜 국제관 L 집합</t>
  </si>
  <si>
    <t>구글폼 완성</t>
  </si>
  <si>
    <t>기획관리팀장 - 유민우
기획관리팀 - 윤서연, 유민우, 배현빈, 류채원, 송민석, 오지우
타임라인, 인원관리팀 - 배현빈(30기획), 김나은(30인사), 강하은
콘텐츠팀 - 정홍재(30기획), 이강서, 이은재
예산안팀 - 예건희(30기획), 고연준, 김민정(30총무)
교환담당팀 - 성현중, 전정민(30기획), 이희수(30기획)</t>
  </si>
  <si>
    <t>- 25-2 양식 15문항 + 성별 항목(16번) 포함 총 16문항</t>
  </si>
  <si>
    <t>교환 버스 탑승 수속 준비</t>
  </si>
  <si>
    <t>최종기획안 완성 및 임원진 인계</t>
  </si>
  <si>
    <t>- 예산안 대폭 개정 확정: 총지출 3,723,660원 / 국제처 지원 2,195,980원(하이클럽 점심+단체티 전액) / 입장료 15,000원(수입 2,250,000원) → 잔여 +722,320원
- 단체티 하이티→단티(9,460원) 변경, 미니게임 뽑기 상품 1~5등 신설</t>
  </si>
  <si>
    <t>행사 일자</t>
  </si>
  <si>
    <t>카드뉴스업로드</t>
  </si>
  <si>
    <t>본 행사</t>
  </si>
  <si>
    <t>- 1차 카드뉴스 홍보 업로드</t>
  </si>
  <si>
    <t>교환학생 구글폼 접수</t>
  </si>
  <si>
    <t>- 접수 마감 (기간 8/21~28)
- 신청 약 200건(중복 포함) → 최종 150명 산정</t>
  </si>
  <si>
    <t>교환학생 계주</t>
  </si>
  <si>
    <t>컨텐츠 안내 홍보부 인계</t>
  </si>
  <si>
    <t>- 게임·진행 안내 컨텐츠 홍보부 인계</t>
  </si>
  <si>
    <t>물품 상차</t>
  </si>
  <si>
    <t>수금 부스</t>
  </si>
  <si>
    <t>10:00 ~ 19:00</t>
  </si>
  <si>
    <t>- 교환학생 입장료 수금 부스 운영 (현금 15,000원)</t>
  </si>
  <si>
    <t>최종기획안 국제처 인계</t>
  </si>
  <si>
    <t>- 최종기획안 국제처 전달
- 대여 물품(천막·의자·테이블·스피커·마이크)·First Aid 협조 포함</t>
  </si>
  <si>
    <t>준비물 주문</t>
  </si>
  <si>
    <t>- 쿠팡·게임연구소 대여 물품 일괄 주문</t>
  </si>
  <si>
    <t>장소</t>
  </si>
  <si>
    <t>교환 팀 배정완료</t>
  </si>
  <si>
    <t>- 8/28~29 배정 작업 → 6팀 편성 확정
- 팀장 6명 선정</t>
  </si>
  <si>
    <t>자연과학캠퍼스 대운동장</t>
  </si>
  <si>
    <t>10:00~10:30</t>
  </si>
  <si>
    <t>단체티 주문</t>
  </si>
  <si>
    <t>- 단티(dantee.co.kr) 203장 (하클 53 + 교환 150), 장당 9,460원</t>
  </si>
  <si>
    <t>버스 탑승 안내</t>
  </si>
  <si>
    <t>우천시</t>
  </si>
  <si>
    <t>교환학생 정보방 개설</t>
  </si>
  <si>
    <t>- 팀별 카카오톡 정보방 개설</t>
  </si>
  <si>
    <t>율전 수성관</t>
  </si>
  <si>
    <t>컨텐츠 안내 카드뉴스 업로드</t>
  </si>
  <si>
    <t>- 2차 카드뉴스(게임 룰 종합) 업로드</t>
  </si>
  <si>
    <t>최종기획안 공유 및 업무보고카톡</t>
  </si>
  <si>
    <t>- 팀별 업무보고 카톡 시작</t>
  </si>
  <si>
    <t>교환학생 인원</t>
  </si>
  <si>
    <t>중간브리핑</t>
  </si>
  <si>
    <t>- 행사 준비 중간 브리핑 — 팀별 진행 상황 점검</t>
  </si>
  <si>
    <t>업무보고 카톡 마감</t>
  </si>
  <si>
    <t>- 팀별 업무보고 마감</t>
  </si>
  <si>
    <t>최종브리핑</t>
  </si>
  <si>
    <t>- 행사 전 최종 브리핑
- 심판 배정·심판용 규칙 숙지(9/16)·리허설 완료 확인</t>
  </si>
  <si>
    <t>Sports Day</t>
  </si>
  <si>
    <t>&lt;행사 전&gt;</t>
  </si>
  <si>
    <t>- HI-Side Out — 율전 대운동장 10:00~19:00 (우천 시 수성관)
- 교환학생 150명 + 하이클럽, 6팀 · 명륜 버스 3대(9:30 집합)</t>
  </si>
  <si>
    <t>10:00 - 10:30</t>
  </si>
  <si>
    <t>물품 준비</t>
  </si>
  <si>
    <t>총학 물품 및 천막 이동</t>
  </si>
  <si>
    <t>물품 구매 (얼음)</t>
  </si>
  <si>
    <t>브룸 물품 이동</t>
  </si>
  <si>
    <t>행사 전 준비</t>
  </si>
  <si>
    <t>부스 노래 준비</t>
  </si>
  <si>
    <t>-</t>
  </si>
  <si>
    <t>내부체크 및 총괄</t>
  </si>
  <si>
    <t>USB에 노래 담아서 준비 (오징어게임 OST도 같이)</t>
  </si>
  <si>
    <t>입장관리, 점수집계용 노트북 준비</t>
  </si>
  <si>
    <t>준비물 확인 인원 *대운동장 대기</t>
  </si>
  <si>
    <t>노트북 풀충해서 준비</t>
  </si>
  <si>
    <t>First Aid 섭외</t>
  </si>
  <si>
    <t>10:30 - 11:50</t>
  </si>
  <si>
    <t>국제처에 First Aid 인원 문의</t>
  </si>
  <si>
    <t>경기장 준비 및 식사</t>
  </si>
  <si>
    <t>입장 관리존 설치</t>
  </si>
  <si>
    <t>&lt; 2026.09.20(일) / 행사 당일 &gt;</t>
  </si>
  <si>
    <t>입장 관리존 준비물 확인 인원</t>
  </si>
  <si>
    <t>담당자(역할)</t>
  </si>
  <si>
    <t>자세한 역할</t>
  </si>
  <si>
    <t>명륜</t>
  </si>
  <si>
    <t>경기장 및 미니게임 부스 설치</t>
  </si>
  <si>
    <t>9:30 - 10:00</t>
  </si>
  <si>
    <t>명륜 국제관 L</t>
  </si>
  <si>
    <t>경기장 준비물 확인 인원</t>
  </si>
  <si>
    <t>명륜에서 출발하는 하클</t>
  </si>
  <si>
    <t>명륜 오전 9시 반 해당 장소에 집합한다.
(지각 시 벌점)
노트북으로 교환명단 준비한다.
(교환명단 링크 첨부)</t>
  </si>
  <si>
    <t>팀별 응원 및 대기 존 설치</t>
  </si>
  <si>
    <t>율전으로 옮겨야 하는 물건을 버스에 상차한다.
(최대한 미리 율전에 옮겨두어 상차 물품을 최소화)</t>
  </si>
  <si>
    <t>600주년 기념관 앞</t>
  </si>
  <si>
    <t>교환존 준비물 확인 인원</t>
  </si>
  <si>
    <t>버스 탑승 안내
및 출발</t>
  </si>
  <si>
    <t xml:space="preserve">- 교환명단에 출석 교환 체크하여 버스 탑승 안내한다.
- 버스 인원은 팀별로 끊어서 분배한다
- 10시 30분이 되면 각 버스에 하클인원 적절히 나눠타고 이동한다.
</t>
  </si>
  <si>
    <t>본부 설치</t>
  </si>
  <si>
    <t>10:30 - 11:45</t>
  </si>
  <si>
    <t>(명륜) 600주년 기념관 앞
-&gt;
(율전) 수성관&amp;주차장 사이 이동</t>
  </si>
  <si>
    <t>천막 13동 = 팀 6 + 미니게임 부스 3 + 입장 관리존 2 + 본부 2 (국제처 대여 ₩0) · 게임연구소: 아이스박스 4·접시콘 40 (배송비 착불)</t>
  </si>
  <si>
    <t>버스 이동</t>
  </si>
  <si>
    <t>버스 인솔자</t>
  </si>
  <si>
    <t>빨간 글씨 = 예산안(8/25) 미반영 품목 — 브룸 비치 여부 확인 또는 별도 확보 필요</t>
  </si>
  <si>
    <t>본부 준비물 확인 인원</t>
  </si>
  <si>
    <t>- 출발 전에 카톡 정보방에 출발한다고 문자 남기기</t>
  </si>
  <si>
    <t>율전</t>
  </si>
  <si>
    <t>품목</t>
  </si>
  <si>
    <t>준비 총괄</t>
  </si>
  <si>
    <t>개수</t>
  </si>
  <si>
    <t>설치 구역</t>
  </si>
  <si>
    <t>출처</t>
  </si>
  <si>
    <t>브룸 구비여부</t>
  </si>
  <si>
    <t>당일 옮김</t>
  </si>
  <si>
    <t>반납</t>
  </si>
  <si>
    <t>율전 대운동장</t>
  </si>
  <si>
    <t>점심 식사 수령</t>
  </si>
  <si>
    <t>준비 ✓</t>
  </si>
  <si>
    <t>비고</t>
  </si>
  <si>
    <t>천막 수령</t>
  </si>
  <si>
    <t>1부 게임 — 색깔 판 뒤집기 · 무궁화 꽃이 피었습니다 · 짝짓기 게임</t>
  </si>
  <si>
    <t>업체 물품 수령</t>
  </si>
  <si>
    <t>국제처 대여 물품(천막·의자·테이블·스피커·마이크) 및 게임연구소 대여 물품(아이스박스·접시콘) 인계
'4. 준비물' 품목 수량 리스트 만들어 확인하기</t>
  </si>
  <si>
    <t>양면 색깔 판 (홀수 세팅)</t>
  </si>
  <si>
    <t>해당 장소 집합</t>
  </si>
  <si>
    <t>경기장</t>
  </si>
  <si>
    <t>브룸 확인</t>
  </si>
  <si>
    <t>출석체크</t>
  </si>
  <si>
    <t>명브 40개 있음</t>
  </si>
  <si>
    <t>o</t>
  </si>
  <si>
    <t>각 장소별 출석체크</t>
  </si>
  <si>
    <t>예산안 미반영</t>
  </si>
  <si>
    <t>인사이드아웃 복장 세트 (술래)</t>
  </si>
  <si>
    <t>브룸</t>
  </si>
  <si>
    <t>x</t>
  </si>
  <si>
    <t>11:50~12:50</t>
  </si>
  <si>
    <t>간소화 가능</t>
  </si>
  <si>
    <t>뿅망치</t>
  </si>
  <si>
    <t>입장체크 및 점심식사 배부</t>
  </si>
  <si>
    <t>명륜 교환 인솔</t>
  </si>
  <si>
    <t>하클 감시 4명 운영</t>
  </si>
  <si>
    <t>마이크 · 호루라기</t>
  </si>
  <si>
    <t>본부</t>
  </si>
  <si>
    <t>국제처 대여(마이크)</t>
  </si>
  <si>
    <t>호루라기 예산안 업데이트 완</t>
  </si>
  <si>
    <t>2부 게임 — 줄다리기 · 피구 · 계주</t>
  </si>
  <si>
    <t>도장판 작성</t>
  </si>
  <si>
    <t>물품 구매팀 출석체크
Breakout Room 출석체크</t>
  </si>
  <si>
    <t>줄다리기 로프 (5줄 동시)</t>
  </si>
  <si>
    <t>Breakout Room</t>
  </si>
  <si>
    <t>물품 이동</t>
  </si>
  <si>
    <t>예산안 업데이트 완</t>
  </si>
  <si>
    <t>인원 체크 및 수금 -  노트북 지참!!</t>
  </si>
  <si>
    <t>미끄럼 방지 장갑 (안전용)</t>
  </si>
  <si>
    <t>브룸 30개 있음</t>
  </si>
  <si>
    <t>명브 30개 있음</t>
  </si>
  <si>
    <t>피구공</t>
  </si>
  <si>
    <t xml:space="preserve">업체로부터 대여한 천막을 해당 위치에 셋팅한다.
그 외 물품을 천막 위치로 이동시킨다.
</t>
  </si>
  <si>
    <t>팀별 단체티 배부</t>
  </si>
  <si>
    <t>명브 2개 있음</t>
  </si>
  <si>
    <t>인사이드아웃 5캐릭터 가면 set</t>
  </si>
  <si>
    <t>'4. 준비물' 시트의 Breakout Room에 있는 물품을 운동장으로 이동시킨다.(추후 최신화 예정)</t>
  </si>
  <si>
    <t>쿠팡</t>
  </si>
  <si>
    <t>학교 근처 마트</t>
  </si>
  <si>
    <t>우울이 지정·팀 구분용</t>
  </si>
  <si>
    <t>점심 배부</t>
  </si>
  <si>
    <t>팀별 조끼</t>
  </si>
  <si>
    <t>물품 구매</t>
  </si>
  <si>
    <t>확보 필요</t>
  </si>
  <si>
    <t>학교 주변에 있는 마트에서 얼음을 구매한다.</t>
  </si>
  <si>
    <t>예산안 미반영 — 확보 필요</t>
  </si>
  <si>
    <t>바통</t>
  </si>
  <si>
    <t>대운동장</t>
  </si>
  <si>
    <t>명브 6개 있음</t>
  </si>
  <si>
    <t>줄 관리</t>
  </si>
  <si>
    <t>경기장 준비
스포츠데이 배치도.pptx</t>
  </si>
  <si>
    <t>예산안 4개(1set) — 1set 추가 주문 필요</t>
  </si>
  <si>
    <t>결승 테이프</t>
  </si>
  <si>
    <t>입장 관리존 설치
(최우선순위)</t>
  </si>
  <si>
    <t>입장 시에 교환학생들을 맞이 할 공간을 세팅한다.
천막 2개, 듀라테이블 3개, 의자 8개, 노트북 4대를 세팅한다.
브룸에서 물품(의류, 물, 도장판)이 도착하면 제공할 굿즈를 테이블 위에 배치한다.
교환학생들의 점심도 이곳에서 배부한다.</t>
  </si>
  <si>
    <t>트랙 마킹 콘</t>
  </si>
  <si>
    <t>경기장 규격에 맞게 콘을 이용해서 경기장 구역을 표시한다.
경기장 규격은 60m x 40m 이다.
미니게임 부스인 천막 3개에 미니게임 물품을 셋팅한다.
1부 미니게임 배치도를 보고 각 천막에 미니게임의 이름이 적혀있는 하드보드지를 부착한다.
2부 미니게임의 이름이 적혀있는 하드보드지는 부착하지 않고 테이블에 올려둔다.</t>
  </si>
  <si>
    <t>쿠팡 (접시콘 40)</t>
  </si>
  <si>
    <t>미니게임 부스 · 뽑기</t>
  </si>
  <si>
    <t>각 팀의 천막를 1개씩 경기장 배치표에 맞게 설치한다. 모래주머니 설치해 날아가지 않도록 한다.
팀 별로 돗자리 2개씩 펼친다. 돗자리 역시 날아가지 않도록 한다.
팀 이름이 적힌 하드보드지를 천막에 부착한다.</t>
  </si>
  <si>
    <t>본인 팀 천막에서 대기 / 1부에 팀이 없을 경우 본부 대기</t>
  </si>
  <si>
    <t>제기</t>
  </si>
  <si>
    <t>부스 A (1부)</t>
  </si>
  <si>
    <t>천막 2개, 듀라테이블 3개, 의자 10개, 칠판 1개, 노트북 2대(집계팀이 준비)를 설치한다.
천막 1개는 하클 사회자가 대기하고 진행하는 공간, 나머지 천막 1개는 행사 진행을 총괄하는 공간이다.
토너먼트 표 등 제작한다.</t>
  </si>
  <si>
    <t>명브 많이 있음</t>
  </si>
  <si>
    <t>단체 줄넘기 긴 줄</t>
  </si>
  <si>
    <t>11시 15분에 식사 배달 수령을 담당한다.
수령을 완료한 후 하클이 바로 식사할 수 있도록 안내한다.</t>
  </si>
  <si>
    <t>명브 1개 있음</t>
  </si>
  <si>
    <t>12:50~13:00</t>
  </si>
  <si>
    <t>개막 전 선수 입장</t>
  </si>
  <si>
    <t>비어퐁 컵 10+ · 탁구공 5+</t>
  </si>
  <si>
    <t>출석/수금/물품 배부 -  노트북 지참!!</t>
  </si>
  <si>
    <t>인력이 부족한 일이 있으면 돕는다.
배치 관련해서 질문이 들어오면 이를 해결한다.</t>
  </si>
  <si>
    <t>확보 필요(율브확인필요)</t>
  </si>
  <si>
    <t>율브에 많이 있음</t>
  </si>
  <si>
    <t>율전 도착 이후</t>
  </si>
  <si>
    <t>페트병 (물 일부 채움)</t>
  </si>
  <si>
    <t>부스 B (2부)</t>
  </si>
  <si>
    <t>재활용</t>
  </si>
  <si>
    <t>11:50 - 12:50</t>
  </si>
  <si>
    <t>감정 카드 20장+ · 타이머 2</t>
  </si>
  <si>
    <t>경기장 내 팀별로 소집(각 팀별 팀장 및 부팀장, 팀별 2명)</t>
  </si>
  <si>
    <t>제작 · 확보 필요</t>
  </si>
  <si>
    <t xml:space="preserve">인원 체크 및 점심식사 배부
스포츠데이 교환 명단
입장부스 진행 방식
</t>
  </si>
  <si>
    <t>율전 입장 시작</t>
  </si>
  <si>
    <t>병뚜껑 컬링 과녁판 · 병뚜껑</t>
  </si>
  <si>
    <t>입장 수속 진행한다.
(세부 사항은 아래 1 2 3번 참고)</t>
  </si>
  <si>
    <t>1 set</t>
  </si>
  <si>
    <t>쿠팡 (미니 컬링 세트)</t>
  </si>
  <si>
    <t>뚜껑 별도 확인 · 예산안 반영</t>
  </si>
  <si>
    <t>버스 도착 후 바로 인솔하여 입장 수속 진행한다.</t>
  </si>
  <si>
    <t>도장판 · 도장</t>
  </si>
  <si>
    <t>150+</t>
  </si>
  <si>
    <t>입장 시 배부</t>
  </si>
  <si>
    <t>브룸 · 제작</t>
  </si>
  <si>
    <t>1. 인원 체크
및 수금</t>
  </si>
  <si>
    <t>명브 도장 많음</t>
  </si>
  <si>
    <t>스포츠데이 교환 명단 에서
이름 대조 및 확인, 수금
수금 시에는 현금결제로만 진행한다.
수금 확인하면 수금 체크
입장료: 15,000</t>
  </si>
  <si>
    <t>뽑기 규칙: 도장 2개 = 뽑기 1회</t>
  </si>
  <si>
    <t>뽑기 상품 1~5등 (필름카메라·컵받침3·노리개·엽서·약과)</t>
  </si>
  <si>
    <t>각 1</t>
  </si>
  <si>
    <t>그 외 인원</t>
  </si>
  <si>
    <t>2. 도장판 뒤에 단체티 사이즈, 점심 적기</t>
  </si>
  <si>
    <t>뽑기 부스</t>
  </si>
  <si>
    <t>교환학생 입장 관리 줄에서 넘어온 교환학생들에게 본인이 속한 팀과 구글폼으로 제출한 사이즈에 맞게 티셔츠를 나눠준다.
미니게임 시 활용할 도장판을 나눠준다.
단체티 배부하고 수령 확인에 '0' 표시</t>
  </si>
  <si>
    <t>예산안 반영</t>
  </si>
  <si>
    <t>시상</t>
  </si>
  <si>
    <t>3. 단체티, 점심 배부</t>
  </si>
  <si>
    <t>교환학생 본인이 주문한 메뉴를 알려주고 맞는 줄로 안내한다.
물을 나눠준다.
안내 후 수령 란에 '0' 표시한다.</t>
  </si>
  <si>
    <t>13:00~13:30</t>
  </si>
  <si>
    <t>우승 메달 30개 set</t>
  </si>
  <si>
    <t>12:50 - 13:00</t>
  </si>
  <si>
    <t>개회 &amp; 국민체조
* 색깔 판 뒤집기 게임 보조자는
국민체조 종료 직후 경기장 세팅</t>
  </si>
  <si>
    <t>지각생 입장 관리</t>
  </si>
  <si>
    <t>경기장 내 팀별로 소집</t>
  </si>
  <si>
    <t>부채 2개 set (우승 상품)</t>
  </si>
  <si>
    <t>(각 팀별 팀장 및 부팀장, 팀별 2명)
팀별 천막에서 대기하고 있으면서 교환학생들이 오면 따뜻하게 반겨준다.
게임 내용을 간략하게 설명해준다.</t>
  </si>
  <si>
    <t>1부 사회자</t>
  </si>
  <si>
    <t>개회시 본인이 있는 위치를 확인해서 그 장소에 대기하여 행사 시작시 진행에 차질이 없도록 한다.</t>
  </si>
  <si>
    <t>13:00 - 13:30</t>
  </si>
  <si>
    <t>팀 별 인솔</t>
  </si>
  <si>
    <t>점수판</t>
  </si>
  <si>
    <t>개회 - 국민체조 전</t>
  </si>
  <si>
    <t>명브 작은 화이트보드O</t>
  </si>
  <si>
    <t>지각자 입장 관리</t>
  </si>
  <si>
    <t>입장 부스에 대기하면서 지각생이 오면 명단 확인과 굿즈 배부를 진행한 다음 입장시킨다.</t>
  </si>
  <si>
    <t>칠판</t>
  </si>
  <si>
    <t>율브 확인필요</t>
  </si>
  <si>
    <t>12시 55분에 13시에 시작할 예정이니 각 팀별로 두 줄씩 대기해달라고 안내한다.
정각에 시작을 안내하고 각 팀을 호명해서 경기장 구역으로 이동하도록 한다.
개회식 선서를 진행한다.
간단한 준비 운동을 할 예정이니 국민체조 진행 인원들에게 나와달라고 한 후, 국민체조를 진행한다.</t>
  </si>
  <si>
    <t>부스 노래 담당 (국민체조 노래 및 플레이리스트 재생)</t>
  </si>
  <si>
    <t>마카·지우개 함께</t>
  </si>
  <si>
    <t>노트북 (입장 4 · 집계 2)</t>
  </si>
  <si>
    <t>입장존 · 본부</t>
  </si>
  <si>
    <t>개인 지참</t>
  </si>
  <si>
    <t>55분에 사회자 안내가 끝나면 인원들을 2줄로 모아서 경기장에 입장할 준비를 한다.
사회자가 각자의 팀을 호명하면 경기장 내부로 입장한다.
입장 후 사회자의 지시에 따라서 교환학생을 인솔한다.</t>
  </si>
  <si>
    <t>중앙부스</t>
  </si>
  <si>
    <t>풀충 · USB 음악 준비</t>
  </si>
  <si>
    <t>부스 노래 담당</t>
  </si>
  <si>
    <t>토너먼트 대진표 · 점수집계 시트</t>
  </si>
  <si>
    <t>각 팀 입장시 각자 다른 K-pop BGM을 깔아준다.
(BGM은 미리 선정해서 USB에 다른 트랙으로 넣어야한다)
국민체조 시 국민체조 음악을 튼다.
(국민체조 음악은 드라이브 참고)
이때, 각 팀별 음악과 국민체조 음악 트랙 번호를 기억하고 있어야 한다 (모르고 있다가 부랴부랴 트랙 넘기고 있으면 사고임)</t>
  </si>
  <si>
    <t>당일 제작</t>
  </si>
  <si>
    <t>장소 설치</t>
  </si>
  <si>
    <t>물품을 관리 및 행사 진행 상황 파악
지각자 안내 업무도 같이 수행</t>
  </si>
  <si>
    <t>국민체조 시범</t>
  </si>
  <si>
    <t>천막 13동 (팀 6 · 부스 3 · 입장 2 · 본부 2)</t>
  </si>
  <si>
    <t>전 구역</t>
  </si>
  <si>
    <t>입장 완료 후 간격을 벌려 몸을 푼다.
(국민체조 영상은 드라이브 참고)
체육대회에 있는 모든 인원들이 국민체조 시범 담당을 보고 따라하기 때문에 체육대회 전 연습이 필요하며 당일날 완벽하게 숙지된 상태여야 한다.
국민체조 후 본인 조 혹은 본인 역할로 돌아간다.</t>
  </si>
  <si>
    <t>국제처 대여</t>
  </si>
  <si>
    <t>개회 - 국민체조 후</t>
  </si>
  <si>
    <t>국민체조 참여 (팀 있으면 본인 팀이랑 함께)</t>
  </si>
  <si>
    <t>₩0</t>
  </si>
  <si>
    <t>의자 · 테이블 (듀라테이블)</t>
  </si>
  <si>
    <t>입장존 · 본부 · 부스</t>
  </si>
  <si>
    <t>남은 물품과 테이블, 의자를 하이클럽 부스로 이동시키고 부스를 마무리한다.
(해당 부스는 의무대로 전환)
13시 이후 자기 역할로 복귀한다.</t>
  </si>
  <si>
    <t>입장존 의자 8 · 본부 의자 10 · 테이블 6</t>
  </si>
  <si>
    <t>스피커 · 마이크</t>
  </si>
  <si>
    <t>각 팀 별로 다시 각자 구역으로 이동하라고 안내한다.
국민체조 후 첫 종목, '색깔 판 뒤집기'를 진행한다.</t>
  </si>
  <si>
    <t>13:30-15:15</t>
  </si>
  <si>
    <t>모래주머니 · 팀별 돗자리(2/팀) · 팀명 하드보드지</t>
  </si>
  <si>
    <t>게임 1부 - 토너먼트형 게임, 미니게임, 메인게임</t>
  </si>
  <si>
    <t>팀 천막</t>
  </si>
  <si>
    <t>사회자의 지시에 따라서 교환학생을 인솔한다.
지각했거나 입장 타임에 게임에 대해 설명을 듣지 못했던 교환학생들이 있으면 다시 한 번 설명한다.
이 외에도 흡연구역(ROTC 생활관 앞), 화장실(학생회관) 등 다른 질문사항이 있으면 답변해준다.</t>
  </si>
  <si>
    <t>- 토너먼트형 게임(팀별게임 - 색깔 판 뒤집기, 무궁화 꽃이 피었습니다) / 미니게임(개인게임) 동시 진행
- 업무가 없는 인원은 팀이랑 같이 게임 진행
- 메인게임(짝짓기 게임)은 전체 인원 참여</t>
  </si>
  <si>
    <t>아이스박스</t>
  </si>
  <si>
    <t>음식 코너</t>
  </si>
  <si>
    <t>게임연구소</t>
  </si>
  <si>
    <t>부스 물품 담당</t>
  </si>
  <si>
    <t>배송비 착불 · 예산안 반영</t>
  </si>
  <si>
    <t>게임 별 필요한 물품을 준비한다. (총괄)</t>
  </si>
  <si>
    <t>음식 · 간식</t>
  </si>
  <si>
    <t>탐사수 무라벨 500ml (200개 × 2set)</t>
  </si>
  <si>
    <t>게임 보조자</t>
  </si>
  <si>
    <t>점수 집계자 - 노트북 지참 바랍니다!</t>
  </si>
  <si>
    <t>국민체조 완료 후 '색깔 판 뒤집기'를 준비한다.</t>
  </si>
  <si>
    <t>13:30 - 15:15</t>
  </si>
  <si>
    <t>게토레이드 레몬 300ml (120 + 48×2)</t>
  </si>
  <si>
    <t>미니게임 도장 체크 및 뽑기 진행</t>
  </si>
  <si>
    <t>닥터유 에너지바 468g×17개×3set</t>
  </si>
  <si>
    <t>물품 관리자 및 미니게임 간식 배부</t>
  </si>
  <si>
    <t>점수 집계자</t>
  </si>
  <si>
    <t>행사 당일 노트북을 지참해서 와야한다.
매 게임 이후 심판에게 경기 결과를 듣고 점수 집계에 포함한다.
한 명은 점수 기록하고 한 명은 점수를 듣고 곧바로 결과를 사회자에게 전달한다.
점수 집계는 점수 집계을 사용한다.</t>
  </si>
  <si>
    <t>페이스페인팅(본인 역할 없을 때 참여)</t>
  </si>
  <si>
    <t>논비건 간식</t>
  </si>
  <si>
    <t>소이조이 바나나 (비건)</t>
  </si>
  <si>
    <t>1. 미니게임을 통해 도장을 받은 교환학생들이 뽑기를 하러 오면 도장 개수 만큼 뽑기를 진행한다.
(도장 개수에 따라 뽑기 횟수 차등 부여: 도장 2개 = 뽑기 1회 (뽑기 후 도장에 체크 표시)
)
2. 뽑기를 통해 나온 결과에 따라 상품을 차등 부여한다.
3. 참가자의 뽑기 중복 진행을 방지하기 위해 뽑기 진행 후 관리자가 도장판에 사인한다.</t>
  </si>
  <si>
    <t>피크닉 제로 사과 200ml (72개 × 3set)</t>
  </si>
  <si>
    <t xml:space="preserve">매 게임이 시작할 때마다 게임에 필요한 물품을 확인하고 세팅을 돕는다
게임이 끝난 후에는 물품을 수거해 관리한다(게임 이후 개인적으로 사용하지 않도록)
미니게임 뽑기 진행자를 보조해 참가자들에게 결과대로 간식을 배부한다.
</t>
  </si>
  <si>
    <t>토너먼트형 게임, 미니게임
&lt;13:30-14:50&gt;</t>
  </si>
  <si>
    <t>얼음</t>
  </si>
  <si>
    <t>당일 마트 구매</t>
  </si>
  <si>
    <t>색깔 판 뒤집기
&lt;13:30-14:10&gt;
경기 당 3분
준비 시간 5분
총 경기 시간 약 30분</t>
  </si>
  <si>
    <t>페이스 페인팅</t>
  </si>
  <si>
    <t>부스 및 현장 관리</t>
  </si>
  <si>
    <t>물품 구매팀 4명</t>
  </si>
  <si>
    <t>본인의 역할이 없거나 여유로운 경우 하클 및 참가자들에게 페이스 페인팅을 해준다.</t>
  </si>
  <si>
    <t>식사 · 굿즈 (입장 관리존 배부)</t>
  </si>
  <si>
    <t>토너먼트형 게임, 미니게임
&lt;13:30 - 14:50&gt;</t>
  </si>
  <si>
    <t>맘스터치 불고기버거 (논비건)</t>
  </si>
  <si>
    <t>입장 관리존</t>
  </si>
  <si>
    <t>판 뒤집기
&lt;13:30 - 14:10&gt;
경기 당 3분 / 준비 시간 5분
총 경기 시간 약 30분</t>
  </si>
  <si>
    <t>맘스터치 수원성균관대점</t>
  </si>
  <si>
    <t>교환학생 인솔(각 팀별 팀장 6)</t>
  </si>
  <si>
    <t>하클 53 + 교환 140 · 국제처 지원</t>
  </si>
  <si>
    <t>집계팀 집계 준비 및 부스로 들어오는 문의 처리</t>
  </si>
  <si>
    <t>서브웨이 베지 (비건)</t>
  </si>
  <si>
    <t>서브웨이 수원성균관대점</t>
  </si>
  <si>
    <t>교환학생 인솔 (각 팀별 팀장 6)</t>
  </si>
  <si>
    <t>사회자</t>
  </si>
  <si>
    <t>사회자가 대진표 발표하는 것을 듣고 게임 시작 타이밍에 맞춰 각 팀 천막에서 자신의 팀을 인솔하여 게임 구역으로 이동시킨다.
본인 팀원들과 게임에 참여한다.</t>
  </si>
  <si>
    <t>단체티</t>
  </si>
  <si>
    <t>단티 (dantee)</t>
  </si>
  <si>
    <t>심판</t>
  </si>
  <si>
    <t>경기 시작 전 대진표 뽑기 및 결과 발표
각 팀에서 대표자를 선발해 가위바위보 --&gt; 팀의 색깔 정하기
경기 중계</t>
  </si>
  <si>
    <t>하클 53 + 교환 150 · 9/4 주문</t>
  </si>
  <si>
    <t>팀당 10명 출전
경기당 3분 각 경기 준비당 5분
6팀을 2팀씩 나눠 토너먼트 방식으로 진행, 한 팀은 팀 대표 가위바위보로 부전승
3분 동안 상대 팀 색깔 판을 뒤집어 자기 팀 색으로 바꿈
무승부 방지를 위해 전체 색깔 판의 개수를 반드시 '홀수'로 세팅
경기 종료 후 본인 팀 색 판이 더 많은 팀 승리
판을 누르고 있거나 뒤집지 못하게 방해하는 행위, 경기 끝나고 판을 뒤집는 인원 저지
경기 결과 점수 집계자에게 인계
심판 1명: 종료 시 호루라기 불기, 방해 행위 경고
심판 1명: 경기 전후 판뒤집기 인원 식별</t>
  </si>
  <si>
    <t>대진 뽑기 시 사회자에게 뽑기 상자 전달하기
판 세팅 및 정리, 판 개수 집계해서 심판 전달</t>
  </si>
  <si>
    <t>무궁화 꽃이 피었습니다
&lt;14:10 - 14:50&gt;
 경기 당 1분 / 준비 시간 5분
총 경기 시간 40분</t>
  </si>
  <si>
    <t>무궁화 꽃이 피었습니다
&lt;14:10-14:50&gt;
경기 당 1분
준비 시간 5분
총 경기 시간 40분</t>
  </si>
  <si>
    <t>경기 시작 전 대진표 뽑기 및 결과 발표
경기 중계</t>
  </si>
  <si>
    <t>팀별 전
경기당 준비 5분 경기시간 1분
술래는 벽 또는 지정 지점을 향해 서서 "무궁화꽃이 피었습니다" 외치고 돌아봄. 구호는 엇박 섞어서 가능한 한 어렵게.
마이크 사용할 수 있으면 사용
참가자들은 술래가 외치는 동안 앞으로 이동, 돌아보는 순간 즉시 정지
움직임이 발각되면 하클 감시 인원이 뿅망치로 터치 → 해당 참가자 탈락
출발선에서 가장 먼저 술래에게 도달해 터치하면 해당 팀 라운드 승리
제한 시간(1분) 내 아무도 도달하지 못하면 가장 앞에 있는 참가자 팀 승리
술래가 뒤돌아봤을 땐 시간 카운트 일시정지
술래 1명:  "무궁화꽃이 피었습니다" 구호 외침, 돌아보며 움직임 감지
하클 감시 4명: 양측에 2명씩 배치, 움직임 발각 시 뿅망치로 터치 후 탈락 처리
경기 결과 점수 집계자에게 인계</t>
  </si>
  <si>
    <t>행사 예산안</t>
  </si>
  <si>
    <t xml:space="preserve">출발선 관리, 탈락자 구역 이동 안내, 타이머 운영
</t>
  </si>
  <si>
    <t>미니게임
제기차기, 비어퐁, 단체줄넘기</t>
  </si>
  <si>
    <t>총무부</t>
  </si>
  <si>
    <t xml:space="preserve">자세한 내용은 2026 스포츠데이 컨텐츠팀 자료 참고
- 제기차기
: 3번 기회를 준 뒤, 합쳐서 제기를 10번 이상 차면 도장 찍어줌. 회전율을 높이기 위해 하클 멤버 2명이 각각 동시에 교환과 게임 진행.
- 비어퐁
: 참가자에게 공 3개의 기회 제공
테이블 위에 배치된 컵을 향해 공을 던짐
3번 중 1개 이상 컵에 공을 넣으면 성공 → 도장 부여
실패 시 줄 뒤로 이동하여 재도전 가능
- 긴 줄넘기
: 팀원 다수가 줄 안에 들어가 동시에 줄넘기를 넘음.
정해진 횟수(10회 이상) 성공 시 참여자 전원에게 도장 부여.
</t>
  </si>
  <si>
    <t>총 53명</t>
  </si>
  <si>
    <t>미니게임
*제기차기, 비어퐁, 단체 줄넘기</t>
  </si>
  <si>
    <t>게임 보조자 및 부스 관리</t>
  </si>
  <si>
    <t>자세한 내용은 2026 스포츠데이 컨텐츠팀 자료 참고.
게임 대기하는 줄이 흐트러지지 않도록 관리한다.
게임 종료 후 게임 미션에 성공한 교환학생들에게 해당 미니게임 위치에 도장을 찍어준다.</t>
  </si>
  <si>
    <t>1) 제기차기 부스</t>
  </si>
  <si>
    <t>필참/자율</t>
  </si>
  <si>
    <t>메인게임
&lt;14:50 - 15:10&gt;</t>
  </si>
  <si>
    <t>9/20(일)</t>
  </si>
  <si>
    <t>짝짓기 게임
&lt;14:50 - 15:10&gt;
집합 및 룰 설명 5분
연습게임 5분
단판 10분</t>
  </si>
  <si>
    <t>성균관대학교 자연과학캠퍼스 대운동장</t>
  </si>
  <si>
    <t>게임 보조자 (도장 찍기, 대기인원 관리)</t>
  </si>
  <si>
    <t>단일가격</t>
  </si>
  <si>
    <t>사회자가 호명하는 순서대로 각 팀 천막에서 자신의 팀을 인솔하여 게임 구역으로 이동시킨다.
본인 팀원들과 게임에 참여한다.</t>
  </si>
  <si>
    <t>총 금액</t>
  </si>
  <si>
    <t>주문처</t>
  </si>
  <si>
    <t>2) 비어퐁 부스</t>
  </si>
  <si>
    <t>&lt;1부 팀&gt;</t>
  </si>
  <si>
    <t>점심</t>
  </si>
  <si>
    <t xml:space="preserve"> 게임 시작·종료 공지, 룰 설명, 숫자 호명</t>
  </si>
  <si>
    <t>팀장</t>
  </si>
  <si>
    <t>점심(논비건) - 맘스터치 불고기버거 단품 (하클)</t>
  </si>
  <si>
    <t>멤버</t>
  </si>
  <si>
    <t>전원 참여
룰 설명 5분 + 연습 5분 + 본게임 10분. 약 20분
Joy 6! Anger 3! 처럼 숫자 호명할 때 인사이드 아웃 캐릭터 이름 붙이기, 캐릭터마다 요구되는 행동이 있음
Joy: 어깨동무하고 제자리에서 한바퀴 돌기
Sadness: 쪼그려 앉아 슬픈 표정 짓기
Disgust: 팔짱 끼고 서로 쳐다보기
Anger: 등 맞대고 바깥쪽으로 주먹 쥐며 경계 태세
Fear: 어깨동무하고 눈 감기
Anxiety: 제자리에서 발 구르기
음악이 흐르는 동안 자유롭게 이동
사회자가 숫자를 외치면, 그 수에 맞게 서로 원형 진형을 만듦
짝 짓기 실패하거나 숫자 불일치 시 탈락
4번 호명 후 또는 약 20명 남았을 때 팀별 생존자 수 집계, 동수일 경우 동점 부여
1위 150점 2위 120점 3위 90점 4위 60점 5위 30점 6위 15점
심판 4명: 탈락자 경기장 외부로 이동 안내
경기 결과 점수 집계자에게 인계</t>
  </si>
  <si>
    <t>생존자 집계 및 사회자에게 전달</t>
  </si>
  <si>
    <t>15:10 - 15:45</t>
  </si>
  <si>
    <t>중간 휴식</t>
  </si>
  <si>
    <t>맘스터치</t>
  </si>
  <si>
    <t>부스 및 현장관리 - 점수 중간점검</t>
  </si>
  <si>
    <t>3) 단체 줄넘기 부스</t>
  </si>
  <si>
    <t>국제처 지원</t>
  </si>
  <si>
    <t>점심(논비건) - 맘스터치 불고기버거 단품 (교환)</t>
  </si>
  <si>
    <t>집계팀은 1부 종목들의 점수를 모두 합산하여 중간 결과를 사회자에게 알려준다.</t>
  </si>
  <si>
    <t>사회자 - 중간발표</t>
  </si>
  <si>
    <t>집계팀에게 전달받은 결과를 모두에게 공표(?)한다
1등 팀에게는 잘하고 있다며 칭찬을, 꼴등 팀에게는 아직 역전의 기회가 남아있다며 격려를 하는 멘트도 좋을 듯 하다.</t>
  </si>
  <si>
    <t>점심(비건) - 서브웨이 베지</t>
  </si>
  <si>
    <t>휴식시간 30분 안내</t>
  </si>
  <si>
    <t>게임 보조자 (긴 줄넘기 돌리기)</t>
  </si>
  <si>
    <t>서브웨이</t>
  </si>
  <si>
    <t>써브웨이 수원성균관대점</t>
  </si>
  <si>
    <t>단체티 - 하이클럽</t>
  </si>
  <si>
    <t>정비 시간</t>
  </si>
  <si>
    <t>15:50 - 17:35</t>
  </si>
  <si>
    <t>단티</t>
  </si>
  <si>
    <t>https://www.dantee.co.kr/estimate/estimate_register.php?mode=update&amp;estimateNo=2608170901037278&amp;pwtoken=668a2ae597a601d877a24840626bb6e7</t>
  </si>
  <si>
    <t>메인게임
&lt;14:50-15:10&gt;</t>
  </si>
  <si>
    <t>게임 2부 - 토너먼트형 게임, 미니게임, 메인게임</t>
  </si>
  <si>
    <t>피드백</t>
  </si>
  <si>
    <t>짝짓기 게임
&lt;14:50-15:10&gt;
집합 및 룰 설명 5분
연습게임 5분
단판 10분</t>
  </si>
  <si>
    <t>하클 피드백</t>
  </si>
  <si>
    <t>단체티 - 교환학생</t>
  </si>
  <si>
    <t>교환 피드백</t>
  </si>
  <si>
    <t>토너먼트형 게임, 미니게임
&lt;15:50 - 17:10&gt;</t>
  </si>
  <si>
    <t>줄다리기
&lt;15:50 - 16:20&gt;
*경기 당 2분 소요
준비시간 3분
전체 진행시간 약 30분</t>
  </si>
  <si>
    <t>총괄 및 부스로 들어오는 문의 처리</t>
  </si>
  <si>
    <t>음료</t>
  </si>
  <si>
    <t>경기 설명, 팀 호명 및 전체 진행</t>
  </si>
  <si>
    <t>(물) 탐사수 무라벨 500ml*200개 (총 400개)</t>
  </si>
  <si>
    <t>https://www.coupang.com/vp/products/5625704601?itemId=19013170090&amp;vendorItemId=86137790576&amp;q=%EB%AC%BC+500ml&amp;searchId=0382ea52557456&amp;sourceType=search&amp;itemsCount=60&amp;searchRank=3&amp;rank=3&amp;traceId=mt2eofot</t>
  </si>
  <si>
    <t>경기당 약 2분
경기 준비 및 팀 교체 약 3분
전체 진행 시간 약 30분
팀당 20명 참여 — 5개의 줄에 자유 배분(경기 전 전략 수립 1분)
팀별 인원 및 성별 구성을 동일하게 맞추어 진행
한국인과 교환학생이 한 팀에 섞이도록 구성
6팀을 2팀씩 나눠 대진, 토너먼트 방식으로 진행(6팀 중 2팀은 부전승(각 팀 대표 가위바위보))
방사형으로 배치된 5개의 줄, 각 진영에서 5m 이격 대기
경기 시작 신호와 함께 뛰쳐나가 줄을 당기기 시작
각 진영으로 완전히 줄을 가져와야 인정
3개의 줄을 먼저 가져오는 팀이 승리
2:2 상황에서 제한시간 2분 내 결판이 안 나면, 중앙표시가 승리선에 더 가까운 팀이 승리
승리 팀은 다음 라운드로 진출
최종 결승전 승리 팀이 우승
주심 1명: 경기시작, 종료 및 승패판정
안전심판 2명: 양쪽에서 줄 및 참가자 상태확인, 안전사고 예방</t>
  </si>
  <si>
    <t>(음료) 게토레이 레몬 300ml*120개 (총 216개)</t>
  </si>
  <si>
    <t>대진 뽑기 시 사회자에게 뽑기 상자 전달하기
팀 정렬, 줄 위치 확인, 경기 준비 및 참가자 안내</t>
  </si>
  <si>
    <t>https://www.coupang.com/vp/products/1650278?itemId=28712633479&amp;vendorItemId=95653362582&amp;q=%EA%B2%8C%ED%86%A0%EB%A0%9D&amp;searchId=2395745a1367533&amp;sourceType=search&amp;itemsCount=60&amp;searchRank=8&amp;rank=8&amp;traceId=mt2f5sxp</t>
  </si>
  <si>
    <t>&lt;Protect the Sadness!&gt; 피구
&lt;16:20 - 17:10&gt;
*경기 당 8분 소요</t>
  </si>
  <si>
    <t>(음료) 게토레이 레몬 300ml*48개</t>
  </si>
  <si>
    <t>15:10-15:45</t>
  </si>
  <si>
    <t>중간 휴식 및 정비 시간</t>
  </si>
  <si>
    <t>https://www.coupang.com/vp/products/1650278?itemId=28712633427&amp;vendorItemId=95653362488&amp;q=%EA%B2%8C%ED%86%A0%EB%A0%9D&amp;searchId=2395745a1367533&amp;sourceType=search&amp;itemsCount=60&amp;searchRank=2&amp;rank=2&amp;traceId=mt2f100r</t>
  </si>
  <si>
    <t>경기 시작 전 대진표 뽑기 및 결과 발표
경기 설명, 팀 호명 및 전체 진행</t>
  </si>
  <si>
    <t>간식</t>
  </si>
  <si>
    <t>(간식/비건) 소이조이 바나나 비건 단백질바 (총 12개)</t>
  </si>
  <si>
    <t>팀당 12명 참여
한국인과 교환학생이 한 팀에 섞이도록 구성
8분 경기 (8분 이후엔 경기 종료 후 생존자가 더 많은 팀 우승)
6팀을 2팀씩 나눠 대진, 토너먼트 방식으로 진행(6팀 중 2팀은 부전승(각 팀 대표 가위바위보))
경기 시작 전 각 팀은 팀원 중 한명을 우울이로 지정하고, 자신의 코트에 위치
상대 팀의 참가자를 공으로 맞히면 해당 참가자 탈락
공에 맞은 참가자는 상대방 진영 사이드로 넘어가 계속해서 경기 진행
상대방이 던진 공을 바운드 없이 직접 잡으면 공격권 획득 및 해당 공으로 공격 가능
우울이를 맞춰 탈락시키거나 모든 참가자를 탈락시키는 팀이 승리
토너먼트 승리 팀은 다음 라운드 진출
최종 결승에서 승리한 팀이 우승
주심 1명: 경기 시작·종료, 아웃 판정 및 경기 진행
보조 심판2: 양쪽 코트 아웃 여부 확인 및 경기장 관리
경기 결과 점수 집계자에게 인계</t>
  </si>
  <si>
    <t>https://www.coupang.com/vp/products/8532976813?itemId=24699868616&amp;vendorItemId=91805941787&amp;q=%EC%86%8C%EC%9D%B4%EC%A1%B0%EC%9D%B4+%EB%B0%94%EB%82%98%EB%82%98&amp;searchId=8750072010036413&amp;sourceType=search&amp;itemsCount=60&amp;searchRank=0&amp;rank=0&amp;traceId=mt84v2zo</t>
  </si>
  <si>
    <t>(간식/논비건) 닥터유 에너지바 468g*17개*3set (총 204개)</t>
  </si>
  <si>
    <t>게임보조자</t>
  </si>
  <si>
    <t>보조자 2명
경기 전 대진 뽑기 시 사회자에게 뽑기 상자 전달하기
공 관리, 탈락자 이동 안내, 점수 기록</t>
  </si>
  <si>
    <t>https://www.coupang.com/vp/products/7673161101?itemId=24413510888&amp;vendorItemId=87875617274&amp;pickType=COU_PICK&amp;q=%EC%97%90%EB%84%88%EC%A7%80%EB%B0%94&amp;searchId=f1b9a167102846&amp;sourceType=search&amp;itemsCount=36&amp;searchRank=3&amp;rank=3&amp;traceId=mfe3bg0v</t>
  </si>
  <si>
    <t xml:space="preserve">미니게임
페트병 세우기, 감정 표현 퀴즈, 병뚜껑 컬링
</t>
  </si>
  <si>
    <t>15:50-17:35</t>
  </si>
  <si>
    <t>(간식) 피크닉 제로 사과 200ml*72개 (총 216개)</t>
  </si>
  <si>
    <t>https://www.coupang.com/vp/products/8174361304?itemId=23357891959&amp;vendorItemId=90388433128&amp;q=%ED%94%BC%ED%81%AC%EB%8B%89+150&amp;searchId=1e979de82931692&amp;sourceType=search&amp;itemsCount=60&amp;searchRank=3&amp;rank=3&amp;traceId=mt2ktzn0</t>
  </si>
  <si>
    <t>자세한 내용은 2026 스포츠데이 컨텐츠팀 자료 참고
- 페트병 세우기
: 제한시간 30초 안에 페트병 세우면 성공
 - 감정 몸짓 퀴즈
: 2명이 동시 참여
참가자1이 감정 카드 1장을 보지않고 뽑음
다른 참가자 1명에게 그 카드를 보여줌
참가자2는 해당 카드에 있는 감정을 몸짓으로 설명
제한시간 30초 이내에 참가자1이 그 감정을 맞추면 성공
반대로 진행
두번의 진행 중 양쪽 모두 맞히면 도장 부여
실패 시 줄 뒤로 이동하여 재도전 가능
- 병뚜껑 컬링
: 참가자에게 병뚜껑 3개 지급, 책상에 설치된 과녁 판을 향해 병뚜껑을 손가락으로 튕겨서 밀어냄, 3개의 병뚜껑 중 1개 이상이 성공 구역에 안착하면 도장을 부여</t>
  </si>
  <si>
    <t>- 토너먼트형 게임(팀별게임 - 줄다리기, 단체 피구) / 미니게임(개인게임) 동시 진행
- 업무가 없는 인원은 팀이랑 같이 게임 진행
- 메인게임(계주)은 전체 인원 참여</t>
  </si>
  <si>
    <t>미니게임 상품</t>
  </si>
  <si>
    <t>필름카메라 - 뽑기 1등</t>
  </si>
  <si>
    <t>https://www.coupang.com/vp/products/1229026000?itemId=2615169514&amp;vendorItemId=70219517467&amp;sourceType=srp_product_ads&amp;clickEventId=4d1c75f0-9fd4-11f1-968e-040cd98f927a&amp;korePlacement=15&amp;koreSubPlacement=1&amp;clickEventId=4d1c75f0-9fd4-11f1-968e-040cd98f927a&amp;korePlacement=15&amp;koreSubPlacement=1&amp;traceId=mt7f4w9f</t>
  </si>
  <si>
    <t xml:space="preserve">
메인게임
&lt;17:10 - 17:35&gt;</t>
  </si>
  <si>
    <t>청자 컵받침 2개 set - 뽑기 2등</t>
  </si>
  <si>
    <t>계주
*단판, 20분 소요</t>
  </si>
  <si>
    <t>https://www.coupang.com/vp/products/9015327019?itemId=26386783090&amp;vendorItemId=93363171718&amp;src=1191000&amp;spec=10999999&amp;addtag=400&amp;ctag=9015327019&amp;lptag=CFM26106227&amp;itime=20260825190527&amp;pageType=PRODUCT&amp;pageValue=9015327019&amp;wPcid=17710817385244215922503&amp;wRef=www.google.com&amp;wTime=20260825190527&amp;redirect=landing&amp;abTestInfo=&amp;mcid=4d174f5ae4a941d68e5aab18c8029e0d&amp;sharesource=sharebutton&amp;style=&amp;isshortened=Y&amp;settlement=N</t>
  </si>
  <si>
    <t>한복 노리개 5개 set - 뽑기 3등</t>
  </si>
  <si>
    <t>https://www.coupang.com/vp/products/9126824833?itemId=26850949885&amp;vendorItemId=93820771518&amp;src=1191000&amp;spec=10999999&amp;addtag=400&amp;ctag=9126824833&amp;lptag=CFM26106227&amp;itime=20260825191218&amp;pageType=PRODUCT&amp;pageValue=9126824833&amp;wPcid=17710817385244215922503&amp;wRef=www.google.com&amp;wTime=20260825191218&amp;redirect=landing&amp;abTestInfo=&amp;mcid=e0e8f3045cea43b791325c066df94733&amp;sharesource=sharebutton&amp;style=&amp;isshortened=Y&amp;settlement=N</t>
  </si>
  <si>
    <t xml:space="preserve">사회자가 대진표 발표하는 것을 듣고 게임 시작 타이밍에 맞춰 각 팀 천막에서 자신의 팀을 인솔하여 게임 구역으로 이동시킨다.
</t>
  </si>
  <si>
    <t>서울여행엽서 40개 set - 뽑기 4등</t>
  </si>
  <si>
    <t>경기 시작 전 스트레칭 진행, 첫 주자 인터뷰, 경기 중계</t>
  </si>
  <si>
    <t>https://www.coupang.com/vp/products/8533344634?itemId=24701246961&amp;vendorItemId=91710894449&amp;src=1191000&amp;spec=10999999&amp;addtag=400&amp;ctag=8533344634&amp;lptag=CFM26106227&amp;itime=20260825190835&amp;pageType=PRODUCT&amp;pageValue=8533344634&amp;wPcid=17710817385244215922503&amp;wRef=www.google.com&amp;wTime=20260825190835&amp;redirect=landing&amp;abTestInfo=&amp;mcid=23b8afa5e20d4c3c873de9794f88a4d2&amp;sharesource=sharebutton&amp;style=&amp;isshortened=Y&amp;settlement=N</t>
  </si>
  <si>
    <t>한입꼬마약과 1kg (100개) - 뽑기 5등</t>
  </si>
  <si>
    <t>팀당 6명 (여성 3명, 남성 3명) → 총 42명 동시 출전
여 → 남 순서로 반 바퀴씩 릴레이
마지막 주자가 결승선 통과 순서로 순위 결정
동시 도착 시 담당 하클 인원이 영상 녹화로 판별 -&gt; 홍보부원이 영상 찍을겸 해주세요
하클 팀을 포함한 7팀 동시 출발
하클 팀을 이기면 추가 점수 10점
심판 1명: 경기 시작 신호, 반칙(밀치기·발 걸기 등) 판정
보조 심판 3명: 트랙 곳곳에 배치, 반칙 확인 및 결승선 판독
경기 결과 점수 집계자에게 인계</t>
  </si>
  <si>
    <t>https://www.coupang.com/vp/products/7203904313?itemId=21668114878&amp;vendorItemId=91452418243&amp;sourceType=srp_product_ads&amp;clickEventId=547e4f60-342e-11f1-a918-8f098ceba0fb&amp;korePlacement=15&amp;koreSubPlacement=1&amp;clickEventId=547e4f60-342e-11f1-a918-8f098ceba0fb&amp;korePlacement=15&amp;koreSubPlacement=1&amp;traceId=mnro9y77</t>
  </si>
  <si>
    <t>게임 전후로 게임 셋팅 및 철거,
5번째 주자 바통 전달 시 결승 테이프 준비 및 들기</t>
  </si>
  <si>
    <t>게임 물품</t>
  </si>
  <si>
    <t>하클 게임 참여 인원</t>
  </si>
  <si>
    <t>교환학생들과 즐겁게 경쟁하며 게임 참여</t>
  </si>
  <si>
    <t>https://www.coupang.com/vp/products/8420848374?itemId=24356105256&amp;vendorItemId=91371489503&amp;q=%EA%B8%88%EB%A9%94%EB%8B%AC+30%EA%B0%9C&amp;searchId=f6e0d804196193&amp;sourceType=search&amp;itemsCount=60&amp;searchRank=0&amp;rank=0&amp;traceId=mt7e5biz</t>
  </si>
  <si>
    <t>17:35 - 18:00</t>
  </si>
  <si>
    <t>페이스페인팅</t>
  </si>
  <si>
    <t>점수 집계 공지 및 마무리 정리</t>
  </si>
  <si>
    <t>여자 한복 곰돌이 키링(선물포장) - 우승 상품</t>
  </si>
  <si>
    <t>최종 점수 집계</t>
  </si>
  <si>
    <t>계주까지의 점수를 총 반영하여 나온 결과를 사회자에게 안내한다.</t>
  </si>
  <si>
    <t>토너먼트형 게임, 미니게임
&lt;15:50-17:10&gt;</t>
  </si>
  <si>
    <t>사회자 - 최종발표</t>
  </si>
  <si>
    <t>줄다리기
&lt;15:50 ~ 16:20&gt;
경기 당 2분
준비 시간 3분
총 경기 시간 약 30분</t>
  </si>
  <si>
    <t>점수 집계 인원에게 받은 결과를 발표한다.
퇴장하기 전에 기념사진 촬영을 진행한다.
체육대회가 마무리되었음을 안내하고 교환학생들 퇴장 절차를 안내한다. (1등 팀부터 퇴장)</t>
  </si>
  <si>
    <t>https://www.coupang.com/vp/products/9644393705?itemId=28820360636&amp;vendorItemId=92379360232&amp;q=%ED%95%9C%EB%B3%B5+%ED%85%8C%EB%94%94%EB%B2%A0%EC%96%B4&amp;searchId=4751b41f6345277&amp;sourceType=search&amp;itemsCount=60&amp;searchRank=18&amp;rank=18&amp;traceId=mtlmkycs</t>
  </si>
  <si>
    <t>18:00 -</t>
  </si>
  <si>
    <t>하이클럽 뒷정리 진행</t>
  </si>
  <si>
    <t>마무리 및 정리</t>
  </si>
  <si>
    <t>물품 준비 시의 역할 그대로 다시 물품 정리
ex. 브룸 물품 이동했던 인원은 다시 브룸으로 해당 물품 옮기기
ex. 천막 설치했던 인원은 똑같이 천막 철거 후 농구장 앞으로 가져가기</t>
  </si>
  <si>
    <t xml:space="preserve">
기타 참고사항</t>
  </si>
  <si>
    <t>수성관 5동&amp;주차장
사이</t>
  </si>
  <si>
    <t>율전-&gt;명륜 셔틀 출발</t>
  </si>
  <si>
    <t>명륜 복귀</t>
  </si>
  <si>
    <t>(율전) 수성관 5동&amp; 주차장 사이 출발
(명륜) 600주년 기념관 앞 도착</t>
  </si>
  <si>
    <t xml:space="preserve">
- 게임 구성 및 규칙
2026 스포츠데이 컨텐츠팀 자료 참고
- 운동장 배치도
스포츠데이 배치도.pptx
</t>
  </si>
  <si>
    <t>토너먼트형 게임과 메인게임은 팀전(점수제), 미니게임은 개인전(도장)</t>
  </si>
  <si>
    <t>남자 한복 곰돌이 키링(선물포장) - 우승 상품</t>
  </si>
  <si>
    <t>https://www.coupang.com/vp/products/9644393705?itemId=28820360632&amp;vendorItemId=92379360204&amp;q=%ED%95%9C%EB%B3%B5+%ED%85%8C%EB%94%94%EB%B2%A0%EC%96%B4&amp;searchId=4751b41f6345277&amp;sourceType=search&amp;itemsCount=60&amp;searchRank=18&amp;rank=18&amp;traceId=mtlmkycs</t>
  </si>
  <si>
    <t>&lt;Protect the Sadness!&gt; 피구
&lt;16:20 ~ 17:10&gt;
경기 당 8분
준비 시간 5분</t>
  </si>
  <si>
    <t>바톤*4개 (총 4개)</t>
  </si>
  <si>
    <t>&lt;2부 팀&gt;</t>
  </si>
  <si>
    <t>https://www.coupang.com/vp/products/6936006396?itemId=16802797702&amp;vendorItemId=83983273143&amp;sourceType=srp_product_ads&amp;clickEventId=ed1621b0-9e57-11f1-b611-3c753723965f&amp;korePlacement=15&amp;koreSubPlacement=5&amp;clickEventId=ed1621b0-9e57-11f1-b611-3c753723965f&amp;korePlacement=15&amp;koreSubPlacement=5&amp;traceId=mt4pvptm</t>
  </si>
  <si>
    <t>줄다리기 줄</t>
  </si>
  <si>
    <t>https://www.coupang.com/vp/products/8787170058?itemId=23845461133&amp;vendorItemId=92635685675&amp;pickType=COU_PICK&amp;q=%EC%A4%84%EB%8B%A4%EB%A6%AC%EA%B8%B0+%EB%B0%A7%EC%A4%84&amp;searchId=4f54e3b67177886&amp;sourceType=search&amp;itemsCount=36&amp;searchRank=2&amp;rank=2&amp;traceId=mtjp9u5p</t>
  </si>
  <si>
    <t>트랙 마킹 콘 (40개)</t>
  </si>
  <si>
    <t>https://www.coupang.com/vp/products/9624877004?itemId=28743603153&amp;vendorItemId=95682830899&amp;q=%ED%8A%B8%EB%9E%99+%EC%BD%98&amp;searchId=510e137a2779059&amp;sourceType=search&amp;itemsCount=36&amp;searchRank=2&amp;rank=2&amp;traceId=mtjpa8ph</t>
  </si>
  <si>
    <t>미니게임
*페트병 세우기, 감정표현퀴즈,
병뚜껑 컬링</t>
  </si>
  <si>
    <t>1) 페트병 세우기</t>
  </si>
  <si>
    <t>인사이드아웃 5 캐릭터 가면 set</t>
  </si>
  <si>
    <t>https://www.coupang.com/vp/products/9614560538?itemId=28707151781&amp;vendorItemId=95648074349&amp;q=%EC%9D%B8%EC%82%AC%EC%9D%B4%EB%93%9C%EC%95%84%EC%9B%83+%EA%B0%80%EB%A9%B4&amp;searchId=fd2d6d5d11755075&amp;sourceType=search&amp;itemsCount=60&amp;searchRank=3&amp;rank=3&amp;traceId=mt7finpa</t>
  </si>
  <si>
    <t>미니 컬링 세트</t>
  </si>
  <si>
    <t>https://www.coupang.com/vp/products/9230577959?itemId=27285407279&amp;vendorItemId=94252048327&amp;sourceType=srp_product_ads&amp;clickEventId=9ad564d0-9fd6-11f1-ad9f-66b6aa976343&amp;korePlacement=15&amp;koreSubPlacement=1&amp;clickEventId=9ad564d0-9fd6-11f1-ad9f-66b6aa976343&amp;korePlacement=15&amp;koreSubPlacement=1</t>
  </si>
  <si>
    <t>https://www.coupang.com/vp/products/115671004?itemId=346560737&amp;vendorItemId=70122412019&amp;pickType=COU_PICK&amp;q=%EC%A0%90%EC%88%98%ED%8C%90&amp;searchId=af26dc3220638601&amp;sourceType=search&amp;itemsCount=60&amp;searchRank=2&amp;rank=2&amp;traceId=mt7fvigl</t>
  </si>
  <si>
    <t>호루라기 5개 set (총 5개)</t>
  </si>
  <si>
    <t>https://www.coupang.com/vp/products/8536337026?itemId=24712001027&amp;vendorItemId=91721359780&amp;q=%ED%98%B8%EB%A3%A8%EB%9D%BC%EA%B8%B0&amp;searchId=63aab6b71950509&amp;sourceType=search&amp;itemsCount=60&amp;searchRank=2&amp;rank=2&amp;traceId=mtk6djzk</t>
  </si>
  <si>
    <t>뿅망치 3개 set (총 3개)</t>
  </si>
  <si>
    <t>https://www.coupang.com/vp/products/9289511493?itemId=27708409648&amp;vendorItemId=94669986504&amp;q=%EB%BF%85%EB%A7%9D%EC%B9%98&amp;searchId=beeb72d9101969803&amp;sourceType=search&amp;itemsCount=60&amp;searchRank=3&amp;rank=3&amp;traceId=mtk6z30y</t>
  </si>
  <si>
    <t>2) 감정표현퀴즈</t>
  </si>
  <si>
    <t>심판 (게임 당 1)</t>
  </si>
  <si>
    <t>게임연구소 대여(배송비 착불)</t>
  </si>
  <si>
    <t xml:space="preserve">  아이스박스</t>
  </si>
  <si>
    <t>게임 보조자 (게임 당 1)</t>
  </si>
  <si>
    <t>https://gamerental.kr/product/detail.html?product_no=78&amp;cate_no=28</t>
  </si>
  <si>
    <t>국제처에서 직접 대여</t>
  </si>
  <si>
    <t xml:space="preserve">First Aid </t>
  </si>
  <si>
    <t>3) 병뚜껑컬링</t>
  </si>
  <si>
    <t xml:space="preserve">  의자</t>
  </si>
  <si>
    <t xml:space="preserve">  테이블</t>
  </si>
  <si>
    <t xml:space="preserve">  스피커</t>
  </si>
  <si>
    <t xml:space="preserve">  마이크</t>
  </si>
  <si>
    <t xml:space="preserve">
메인게임
&lt;17:10-17:35&gt;
</t>
  </si>
  <si>
    <t xml:space="preserve">  천막 (20개)</t>
  </si>
  <si>
    <t xml:space="preserve">계주
&lt;17:10 ~ 17:35&gt;
단판 20분
</t>
  </si>
  <si>
    <t xml:space="preserve">명륜 편도 버스 </t>
  </si>
  <si>
    <t>총 지출 금액</t>
  </si>
  <si>
    <t>행사 수입(예상) 15,000원*150명</t>
  </si>
  <si>
    <t>국제처 지원 금액</t>
  </si>
  <si>
    <t>17:35-18:00</t>
  </si>
  <si>
    <t>계</t>
  </si>
  <si>
    <t>18:00-</t>
  </si>
  <si>
    <t>마무리 정리 (부스 철거 시 설치 했던 인원이 철거하기)</t>
  </si>
  <si>
    <t>다 같이</t>
  </si>
  <si>
    <t>ex. 천막 설치했던 인원은 똑같이 천막 철거 후 농구장 앞으로 가져가기</t>
  </si>
  <si>
    <t>ex. 브룸 물품 이동했던 인원은 다시 브룸으로 해당 물품 옮기기</t>
  </si>
  <si>
    <t>종료 후</t>
  </si>
  <si>
    <t>율전 집합 수성관&amp; 주차장 사이</t>
  </si>
  <si>
    <t>교환 버스 탑승 안내</t>
  </si>
  <si>
    <t>12:00-18:10</t>
  </si>
  <si>
    <t>행사 전체 촬영 담당</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</si>
</sst>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d"/>
    <numFmt numFmtId="165" formatCode="m/d"/>
    <numFmt numFmtId="166" formatCode="[$₩-412]#,##0"/>
  </numFmts>
  <fonts count="38">
    <font>
      <sz val="11.0"/>
      <color theme="1"/>
      <name val="Calibri"/>
      <scheme val="minor"/>
    </font>
    <font>
      <sz val="9.0"/>
      <color rgb="FFC00000"/>
      <name val="Malgun Gothic"/>
    </font>
    <font>
      <sz val="20.0"/>
      <color theme="1"/>
      <name val="Malgun Gothic"/>
    </font>
    <font>
      <sz val="11.0"/>
      <color theme="1"/>
      <name val="Malgun Gothic"/>
    </font>
    <font/>
    <font>
      <sz val="11.0"/>
      <color rgb="FF000000"/>
      <name val="Malgun Gothic"/>
    </font>
    <font>
      <b/>
      <sz val="11.0"/>
      <color rgb="FF000000"/>
      <name val="Malgun Gothic"/>
    </font>
    <font>
      <sz val="11.0"/>
      <color rgb="FFFF9900"/>
      <name val="Malgun Gothic"/>
    </font>
    <font>
      <b/>
      <sz val="11.0"/>
      <color rgb="FF0000FF"/>
      <name val="Malgun Gothic"/>
    </font>
    <font>
      <sz val="11.0"/>
      <color rgb="FF1F1F1F"/>
      <name val="Malgun Gothic"/>
    </font>
    <font>
      <strike/>
      <sz val="11.0"/>
      <color theme="1"/>
      <name val="Malgun Gothic"/>
    </font>
    <font>
      <sz val="11.0"/>
      <color rgb="FF0000FF"/>
      <name val="Malgun Gothic"/>
    </font>
    <font>
      <b/>
      <sz val="11.0"/>
      <color theme="1"/>
      <name val="Malgun Gothic"/>
    </font>
    <font>
      <b/>
      <strike/>
      <sz val="11.0"/>
      <color rgb="FF000000"/>
      <name val="Malgun Gothic"/>
    </font>
    <font>
      <sz val="11.0"/>
      <color rgb="FFFF0000"/>
      <name val="Malgun Gothic"/>
    </font>
    <font>
      <sz val="10.0"/>
      <color theme="1"/>
      <name val="Malgun Gothic"/>
    </font>
    <font>
      <b/>
      <sz val="11.0"/>
      <color rgb="FFFFFFFF"/>
      <name val="Malgun Gothic"/>
    </font>
    <font>
      <sz val="10.0"/>
      <color rgb="FF000000"/>
      <name val="Malgun Gothic"/>
    </font>
    <font>
      <u/>
      <sz val="11.0"/>
      <color theme="1"/>
      <name val="Malgun Gothic"/>
    </font>
    <font>
      <strike/>
      <sz val="10.0"/>
      <color theme="1"/>
      <name val="Malgun Gothic"/>
    </font>
    <font>
      <sz val="11.0"/>
      <color rgb="FF999999"/>
      <name val="Malgun Gothic"/>
    </font>
    <font>
      <color theme="1"/>
      <name val="Arial"/>
    </font>
    <font>
      <sz val="17.0"/>
      <color theme="1"/>
      <name val="Arial"/>
    </font>
    <font>
      <sz val="11.0"/>
      <color theme="1"/>
      <name val="Arial"/>
    </font>
    <font>
      <u/>
      <sz val="10.0"/>
      <color rgb="FF000000"/>
      <name val="Malgun Gothic"/>
    </font>
    <font>
      <u/>
      <sz val="10.0"/>
      <color rgb="FF000000"/>
      <name val="Malgun Gothic"/>
    </font>
    <font>
      <u/>
      <sz val="11.0"/>
      <color rgb="FF0000FF"/>
      <name val="Arial"/>
    </font>
    <font>
      <strike/>
      <sz val="11.0"/>
      <color rgb="FFFF0000"/>
      <name val="Malgun Gothic"/>
    </font>
    <font>
      <u/>
      <sz val="11.0"/>
      <color rgb="FF0000FF"/>
      <name val="Arial"/>
    </font>
    <font>
      <u/>
      <sz val="10.0"/>
      <color rgb="FF000000"/>
      <name val="Malgun Gothic"/>
    </font>
    <font>
      <u/>
      <sz val="10.0"/>
      <color rgb="FF000000"/>
      <name val="Malgun Gothic"/>
    </font>
    <font>
      <u/>
      <sz val="11.0"/>
      <color rgb="FF000000"/>
      <name val="Malgun Gothic"/>
    </font>
    <font>
      <u/>
      <sz val="11.0"/>
      <color rgb="FF0000FF"/>
      <name val="Arial"/>
    </font>
    <font>
      <u/>
      <sz val="11.0"/>
      <color rgb="FF0000FF"/>
      <name val="Arial"/>
    </font>
    <font>
      <b/>
      <sz val="12.0"/>
      <color theme="1"/>
      <name val="Malgun Gothic"/>
    </font>
    <font>
      <b/>
      <sz val="11.0"/>
      <color theme="0"/>
      <name val="Malgun Gothic"/>
    </font>
    <font>
      <strike/>
      <sz val="11.0"/>
      <color rgb="FF000000"/>
      <name val="Malgun Gothic"/>
    </font>
    <font>
      <u/>
      <sz val="11.0"/>
      <color theme="1"/>
      <name val="Arial"/>
    </font>
  </fonts>
  <fills count="28">
    <fill>
      <patternFill patternType="none"/>
    </fill>
    <fill>
      <patternFill patternType="lightGray"/>
    </fill>
    <fill>
      <patternFill patternType="solid">
        <fgColor rgb="FFE2EFD9"/>
        <bgColor rgb="FFE2EFD9"/>
      </patternFill>
    </fill>
    <fill>
      <patternFill patternType="solid">
        <fgColor rgb="FFFFFF00"/>
        <bgColor rgb="FFFFFF00"/>
      </patternFill>
    </fill>
    <fill>
      <patternFill patternType="solid">
        <fgColor rgb="FF9FC5E8"/>
        <bgColor rgb="FF9FC5E8"/>
      </patternFill>
    </fill>
    <fill>
      <patternFill patternType="solid">
        <fgColor rgb="FFF4CCCC"/>
        <bgColor rgb="FFF4CCCC"/>
      </patternFill>
    </fill>
    <fill>
      <patternFill patternType="solid">
        <fgColor rgb="FFC6E0B4"/>
        <bgColor rgb="FFC6E0B4"/>
      </patternFill>
    </fill>
    <fill>
      <patternFill patternType="solid">
        <fgColor rgb="FFB4A7D6"/>
        <bgColor rgb="FFB4A7D6"/>
      </patternFill>
    </fill>
    <fill>
      <patternFill patternType="solid">
        <fgColor rgb="FFD9D9D9"/>
        <bgColor rgb="FFD9D9D9"/>
      </patternFill>
    </fill>
    <fill>
      <patternFill patternType="solid">
        <fgColor rgb="FFFCE5CD"/>
        <bgColor rgb="FFFCE5CD"/>
      </patternFill>
    </fill>
    <fill>
      <patternFill patternType="solid">
        <fgColor rgb="FFCFE2F3"/>
        <bgColor rgb="FFCFE2F3"/>
      </patternFill>
    </fill>
    <fill>
      <patternFill patternType="solid">
        <fgColor theme="0"/>
        <bgColor theme="0"/>
      </patternFill>
    </fill>
    <fill>
      <patternFill patternType="solid">
        <fgColor rgb="FFFFFFFF"/>
        <bgColor rgb="FFFFFFFF"/>
      </patternFill>
    </fill>
    <fill>
      <patternFill patternType="solid">
        <fgColor rgb="FF4285F4"/>
        <bgColor rgb="FF4285F4"/>
      </patternFill>
    </fill>
    <fill>
      <patternFill patternType="solid">
        <fgColor rgb="FFEA9999"/>
        <bgColor rgb="FFEA9999"/>
      </patternFill>
    </fill>
    <fill>
      <patternFill patternType="solid">
        <fgColor rgb="FFB6D7A8"/>
        <bgColor rgb="FFB6D7A8"/>
      </patternFill>
    </fill>
    <fill>
      <patternFill patternType="solid">
        <fgColor rgb="FF00FF00"/>
        <bgColor rgb="FF00FF00"/>
      </patternFill>
    </fill>
    <fill>
      <patternFill patternType="solid">
        <fgColor rgb="FFC9DAF8"/>
        <bgColor rgb="FFC9DAF8"/>
      </patternFill>
    </fill>
    <fill>
      <patternFill patternType="solid">
        <fgColor rgb="FF4472C4"/>
        <bgColor rgb="FF4472C4"/>
      </patternFill>
    </fill>
    <fill>
      <patternFill patternType="solid">
        <fgColor rgb="FFD9E1F2"/>
        <bgColor rgb="FFD9E1F2"/>
      </patternFill>
    </fill>
    <fill>
      <patternFill patternType="solid">
        <fgColor rgb="FFFFF2CC"/>
        <bgColor rgb="FFFFF2CC"/>
      </patternFill>
    </fill>
    <fill>
      <patternFill patternType="solid">
        <fgColor rgb="FF4A86E8"/>
        <bgColor rgb="FF4A86E8"/>
      </patternFill>
    </fill>
    <fill>
      <patternFill patternType="solid">
        <fgColor rgb="FFFF0000"/>
        <bgColor rgb="FFFF0000"/>
      </patternFill>
    </fill>
    <fill>
      <patternFill patternType="solid">
        <fgColor theme="4"/>
        <bgColor theme="4"/>
      </patternFill>
    </fill>
    <fill>
      <patternFill patternType="solid">
        <fgColor rgb="FFCCCCCC"/>
        <bgColor rgb="FFCCCCCC"/>
      </patternFill>
    </fill>
    <fill>
      <patternFill patternType="solid">
        <fgColor rgb="FFFFE599"/>
        <bgColor rgb="FFFFE599"/>
      </patternFill>
    </fill>
    <fill>
      <patternFill patternType="solid">
        <fgColor rgb="FFD9EAD3"/>
        <bgColor rgb="FFD9EAD3"/>
      </patternFill>
    </fill>
    <fill>
      <patternFill patternType="solid">
        <fgColor rgb="FFD0E0E3"/>
        <bgColor rgb="FFD0E0E3"/>
      </patternFill>
    </fill>
  </fills>
  <borders count="181">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style="medium">
        <color rgb="FF000000"/>
      </top>
      <bottom style="thin">
        <color rgb="FF000000"/>
      </bottom>
    </border>
    <border>
      <bottom style="thin">
        <color rgb="FF000000"/>
      </bottom>
    </border>
    <border>
      <left style="medium">
        <color rgb="FF000000"/>
      </left>
      <right style="medium">
        <color rgb="FF000000"/>
      </right>
      <top style="medium">
        <color rgb="FF000000"/>
      </top>
      <bottom/>
    </border>
    <border>
      <left/>
      <top style="medium">
        <color rgb="FF000000"/>
      </top>
      <bottom/>
    </border>
    <border>
      <left style="thin">
        <color rgb="FF284E3F"/>
      </left>
      <right style="thin">
        <color rgb="FF356854"/>
      </right>
      <top style="thin">
        <color rgb="FF284E3F"/>
      </top>
      <bottom style="thin">
        <color rgb="FF284E3F"/>
      </bottom>
    </border>
    <border>
      <top style="medium">
        <color rgb="FF000000"/>
      </top>
    </border>
    <border>
      <left style="thin">
        <color rgb="FF356854"/>
      </left>
      <right style="thin">
        <color rgb="FF356854"/>
      </right>
      <top style="thin">
        <color rgb="FF284E3F"/>
      </top>
      <bottom style="thin">
        <color rgb="FF284E3F"/>
      </bottom>
    </border>
    <border>
      <right style="medium">
        <color rgb="FF000000"/>
      </right>
      <top style="medium">
        <color rgb="FF000000"/>
      </top>
    </border>
    <border>
      <left style="thin">
        <color rgb="FF356854"/>
      </left>
      <right style="thin">
        <color rgb="FF284E3F"/>
      </right>
      <top style="thin">
        <color rgb="FF284E3F"/>
      </top>
      <bottom style="thin">
        <color rgb="FF284E3F"/>
      </bottom>
    </border>
    <border>
      <left style="medium">
        <color rgb="FF000000"/>
      </left>
      <top style="medium">
        <color rgb="FF000000"/>
      </top>
    </border>
    <border>
      <left style="medium">
        <color rgb="FF000000"/>
      </left>
      <right style="medium">
        <color rgb="FF000000"/>
      </right>
      <top style="medium">
        <color rgb="FF000000"/>
      </top>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medium">
        <color rgb="FF000000"/>
      </right>
      <top style="medium">
        <color rgb="FF000000"/>
      </top>
      <bottom style="thin">
        <color rgb="FF000000"/>
      </bottom>
    </border>
    <border>
      <left style="medium">
        <color rgb="FF000000"/>
      </left>
      <bottom style="medium">
        <color rgb="FF000000"/>
      </bottom>
    </border>
    <border>
      <left style="thin">
        <color rgb="FF000000"/>
      </left>
      <top style="thin">
        <color rgb="FF000000"/>
      </top>
      <bottom style="thin">
        <color rgb="FF000000"/>
      </bottom>
    </border>
    <border>
      <left style="medium">
        <color rgb="FF000000"/>
      </left>
      <right style="medium">
        <color rgb="FF000000"/>
      </right>
    </border>
    <border>
      <bottom style="medium">
        <color rgb="FF000000"/>
      </bottom>
    </border>
    <border>
      <left style="medium">
        <color rgb="FF000000"/>
      </left>
      <right/>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border>
    <border>
      <left style="thin">
        <color rgb="FF000000"/>
      </left>
      <right style="thin">
        <color rgb="FF000000"/>
      </right>
      <top/>
      <bottom style="thin">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right/>
      <top style="medium">
        <color rgb="FF000000"/>
      </top>
      <bottom/>
    </border>
    <border>
      <right style="thin">
        <color rgb="FF000000"/>
      </right>
      <top style="thin">
        <color rgb="FF000000"/>
      </top>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top style="thin">
        <color rgb="FF000000"/>
      </top>
      <bottom style="thin">
        <color rgb="FF000000"/>
      </bottom>
    </border>
    <border>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right/>
      <top/>
      <bottom/>
    </border>
    <border>
      <top style="medium">
        <color rgb="FF000000"/>
      </top>
      <bottom style="thin">
        <color rgb="FF000000"/>
      </bottom>
    </border>
    <border>
      <left style="medium">
        <color rgb="FF000000"/>
      </left>
    </border>
    <border>
      <left style="thin">
        <color rgb="FF000000"/>
      </left>
      <right style="thin">
        <color rgb="FF000000"/>
      </right>
      <top style="thin">
        <color rgb="FFFFFFFF"/>
      </top>
      <bottom style="thin">
        <color rgb="FFFFFFFF"/>
      </bottom>
    </border>
    <border>
      <left style="thin">
        <color rgb="FFF4CCCC"/>
      </left>
      <right style="thin">
        <color rgb="FF284E3F"/>
      </right>
      <top style="thin">
        <color rgb="FFF4CCCC"/>
      </top>
      <bottom style="thin">
        <color rgb="FFF4CCCC"/>
      </bottom>
    </border>
    <border>
      <left style="thin">
        <color rgb="FF000000"/>
      </left>
      <right style="medium">
        <color rgb="FF000000"/>
      </right>
    </border>
    <border>
      <right style="thin">
        <color rgb="FF000000"/>
      </right>
    </border>
    <border>
      <right style="medium">
        <color rgb="FF000000"/>
      </right>
      <top style="medium">
        <color rgb="FF000000"/>
      </top>
      <bottom style="thin">
        <color rgb="FF000000"/>
      </bottom>
    </border>
    <border>
      <right style="medium">
        <color rgb="FF000000"/>
      </right>
    </border>
    <border>
      <left style="thin">
        <color rgb="FF000000"/>
      </left>
      <right style="thin">
        <color rgb="FF000000"/>
      </right>
      <top style="thin">
        <color rgb="FF000000"/>
      </top>
    </border>
    <border>
      <left style="medium">
        <color rgb="FF000000"/>
      </left>
      <right style="thin">
        <color rgb="FF000000"/>
      </right>
      <top/>
      <bottom/>
    </border>
    <border>
      <left style="thin">
        <color rgb="FF000000"/>
      </left>
      <bottom style="thin">
        <color rgb="FF000000"/>
      </bottom>
    </border>
    <border>
      <left style="thin">
        <color rgb="FF000000"/>
      </left>
      <right style="thin">
        <color rgb="FF000000"/>
      </right>
    </border>
    <border>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4285F4"/>
      </top>
      <bottom style="thin">
        <color rgb="FF000000"/>
      </bottom>
    </border>
    <border>
      <left style="thin">
        <color rgb="FF4285F4"/>
      </left>
      <right style="thin">
        <color rgb="FF4285F4"/>
      </right>
      <top style="thin">
        <color rgb="FF4285F4"/>
      </top>
      <bottom style="thin">
        <color rgb="FF4285F4"/>
      </bottom>
    </border>
    <border>
      <left style="thin">
        <color rgb="FF000000"/>
      </left>
      <right style="thin">
        <color rgb="FF000000"/>
      </right>
      <top style="thin">
        <color rgb="FFF6F8F9"/>
      </top>
      <bottom style="thin">
        <color rgb="FFF6F8F9"/>
      </bottom>
    </border>
    <border>
      <left style="thin">
        <color rgb="FF000000"/>
      </left>
      <right style="thin">
        <color rgb="FF000000"/>
      </right>
      <bottom style="thin">
        <color rgb="FF000000"/>
      </bottom>
    </border>
    <border>
      <left style="medium">
        <color rgb="FF000000"/>
      </left>
      <right style="thin">
        <color rgb="FF000000"/>
      </right>
    </border>
    <border>
      <left style="thin">
        <color rgb="FF000000"/>
      </left>
      <top style="thin">
        <color rgb="FF000000"/>
      </top>
    </border>
    <border>
      <left style="thin">
        <color rgb="FF000000"/>
      </left>
      <right style="thin">
        <color rgb="FF000000"/>
      </right>
      <top/>
      <bottom/>
    </border>
    <border>
      <top style="thin">
        <color rgb="FF000000"/>
      </top>
    </border>
    <border>
      <left style="thin">
        <color rgb="FF000000"/>
      </left>
      <right style="thin">
        <color rgb="FF000000"/>
      </right>
      <top style="thin">
        <color rgb="FFF4CCCC"/>
      </top>
      <bottom style="thin">
        <color rgb="FF000000"/>
      </bottom>
    </border>
    <border>
      <right style="medium">
        <color rgb="FF000000"/>
      </right>
      <bottom style="thin">
        <color rgb="FFD9D9D9"/>
      </bottom>
    </border>
    <border>
      <right style="thin">
        <color rgb="FF000000"/>
      </right>
      <bottom style="thin">
        <color rgb="FF000000"/>
      </bottom>
    </border>
    <border>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thin">
        <color rgb="FFD9D9D9"/>
      </top>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right style="thin">
        <color rgb="FF000000"/>
      </right>
      <bottom style="medium">
        <color rgb="FF000000"/>
      </bottom>
    </border>
    <border>
      <right style="thin">
        <color rgb="FF000000"/>
      </right>
      <top style="medium">
        <color rgb="FF000000"/>
      </top>
    </border>
    <border>
      <left style="thin">
        <color rgb="FF000000"/>
      </left>
      <right style="medium">
        <color rgb="FF000000"/>
      </right>
      <top style="medium">
        <color rgb="FF000000"/>
      </top>
      <bottom style="thin">
        <color rgb="FFD9D9D9"/>
      </bottom>
    </border>
    <border>
      <right style="medium">
        <color rgb="FF000000"/>
      </right>
      <top style="medium">
        <color rgb="FF000000"/>
      </top>
      <bottom style="thin">
        <color rgb="FFD9D9D9"/>
      </bottom>
    </border>
    <border>
      <left style="thin">
        <color rgb="FF000000"/>
      </left>
      <right style="thin">
        <color rgb="FF000000"/>
      </right>
      <top style="thin">
        <color rgb="FFB4A7D6"/>
      </top>
      <bottom style="thin">
        <color rgb="FF000000"/>
      </bottom>
    </border>
    <border>
      <left style="medium">
        <color rgb="FF000000"/>
      </left>
      <right style="medium">
        <color rgb="FF000000"/>
      </right>
      <bottom style="medium">
        <color rgb="FF000000"/>
      </bottom>
    </border>
    <border>
      <left style="thin">
        <color rgb="FFB4A7D6"/>
      </left>
      <right style="thin">
        <color rgb="FF284E3F"/>
      </right>
      <top style="thin">
        <color rgb="FFB4A7D6"/>
      </top>
      <bottom style="thin">
        <color rgb="FFB4A7D6"/>
      </bottom>
    </border>
    <border>
      <left style="medium">
        <color rgb="FF000000"/>
      </left>
      <right style="thin">
        <color rgb="FF000000"/>
      </right>
      <top style="medium">
        <color rgb="FF000000"/>
      </top>
    </border>
    <border>
      <left style="thin">
        <color rgb="FF000000"/>
      </left>
      <right style="medium">
        <color rgb="FF000000"/>
      </right>
      <top style="thin">
        <color rgb="FFD9D9D9"/>
      </top>
      <bottom style="thin">
        <color rgb="FFD9D9D9"/>
      </bottom>
    </border>
    <border>
      <left style="thin">
        <color rgb="FF000000"/>
      </left>
    </border>
    <border>
      <left/>
      <right style="medium">
        <color rgb="FF000000"/>
      </right>
      <top style="thin">
        <color rgb="FFD9D9D9"/>
      </top>
      <bottom style="thin">
        <color rgb="FFD9D9D9"/>
      </bottom>
    </border>
    <border>
      <right style="thin">
        <color rgb="FF000000"/>
      </right>
      <bottom style="thin">
        <color rgb="FFD9D9D9"/>
      </bottom>
    </border>
    <border>
      <left style="medium">
        <color rgb="FF000000"/>
      </left>
      <right style="thin">
        <color rgb="FF000000"/>
      </right>
      <bottom style="thin">
        <color rgb="FFD9D9D9"/>
      </bottom>
    </border>
    <border>
      <left/>
      <top/>
      <bottom style="thin">
        <color rgb="FF000000"/>
      </bottom>
    </border>
    <border>
      <bottom style="thin">
        <color rgb="FFD9D9D9"/>
      </bottom>
    </border>
    <border>
      <top/>
      <bottom style="thin">
        <color rgb="FF000000"/>
      </bottom>
    </border>
    <border>
      <right style="medium">
        <color rgb="FF000000"/>
      </right>
      <top/>
      <bottom style="thin">
        <color rgb="FF000000"/>
      </bottom>
    </border>
    <border>
      <left style="thin">
        <color rgb="FF000000"/>
      </left>
      <right style="thin">
        <color rgb="FF000000"/>
      </right>
      <top style="thin">
        <color rgb="FFFFFF00"/>
      </top>
      <bottom style="thin">
        <color rgb="FF000000"/>
      </bottom>
    </border>
    <border>
      <left style="thin">
        <color rgb="FFFFFF00"/>
      </left>
      <right style="thin">
        <color rgb="FFFFFF00"/>
      </right>
      <top style="thin">
        <color rgb="FFFFFF00"/>
      </top>
      <bottom style="thin">
        <color rgb="FFFFFF00"/>
      </bottom>
    </border>
    <border>
      <left style="thin">
        <color rgb="FFFFFF00"/>
      </left>
      <right style="thin">
        <color rgb="FF284E3F"/>
      </right>
      <top style="thin">
        <color rgb="FFFFFF00"/>
      </top>
      <bottom style="thin">
        <color rgb="FFFFFF00"/>
      </bottom>
    </border>
    <border>
      <left style="medium">
        <color rgb="FF000000"/>
      </left>
      <right style="thin">
        <color rgb="FF000000"/>
      </right>
      <top style="thin">
        <color rgb="FFD9D9D9"/>
      </top>
      <bottom style="thin">
        <color rgb="FFD9D9D9"/>
      </bottom>
    </border>
    <border>
      <left/>
      <right/>
      <top style="thin">
        <color rgb="FFD9D9D9"/>
      </top>
      <bottom style="thin">
        <color rgb="FFD9D9D9"/>
      </bottom>
    </border>
    <border>
      <right style="medium">
        <color rgb="FF000000"/>
      </right>
      <top style="thin">
        <color rgb="FF000000"/>
      </top>
      <bottom style="thin">
        <color rgb="FF000000"/>
      </bottom>
    </border>
    <border>
      <left/>
      <right style="thin">
        <color rgb="FF000000"/>
      </right>
      <top style="thin">
        <color rgb="FFD9D9D9"/>
      </top>
      <bottom style="thin">
        <color rgb="FFD9D9D9"/>
      </bottom>
    </border>
    <border>
      <right style="thin">
        <color rgb="FF000000"/>
      </right>
      <top style="thin">
        <color rgb="FFD9D9D9"/>
      </top>
    </border>
    <border>
      <left style="medium">
        <color rgb="FF000000"/>
      </left>
      <right style="thin">
        <color rgb="FF000000"/>
      </right>
      <top style="thin">
        <color rgb="FFD9D9D9"/>
      </top>
    </border>
    <border>
      <left style="thin">
        <color rgb="FF000000"/>
      </left>
      <right style="thin">
        <color rgb="FF000000"/>
      </right>
      <top style="thin">
        <color rgb="FFFFFFFF"/>
      </top>
      <bottom style="thin">
        <color rgb="FF000000"/>
      </bottom>
    </border>
    <border>
      <left style="thin">
        <color rgb="FF000000"/>
      </left>
      <right style="thin">
        <color rgb="FF000000"/>
      </right>
      <top style="thin">
        <color rgb="FF00FF00"/>
      </top>
      <bottom style="thin">
        <color rgb="FF000000"/>
      </bottom>
    </border>
    <border>
      <left style="thin">
        <color rgb="FF00FF00"/>
      </left>
      <right style="thin">
        <color rgb="FF00FF00"/>
      </right>
      <top style="thin">
        <color rgb="FF00FF00"/>
      </top>
      <bottom style="thin">
        <color rgb="FF00FF00"/>
      </bottom>
    </border>
    <border>
      <right style="medium">
        <color rgb="FF000000"/>
      </right>
      <top style="thin">
        <color rgb="FFD9D9D9"/>
      </top>
      <bottom style="thin">
        <color rgb="FFD9D9D9"/>
      </bottom>
    </border>
    <border>
      <left style="thin">
        <color rgb="FF4285F4"/>
      </left>
      <right style="thin">
        <color rgb="FF284E3F"/>
      </right>
      <top style="thin">
        <color rgb="FF4285F4"/>
      </top>
      <bottom style="thin">
        <color rgb="FF4285F4"/>
      </bottom>
    </border>
    <border>
      <left/>
      <right style="thin">
        <color rgb="FF000000"/>
      </right>
      <top/>
      <bottom/>
    </border>
    <border>
      <left style="medium">
        <color rgb="FF000000"/>
      </left>
      <top style="medium">
        <color rgb="FF000000"/>
      </top>
      <bottom style="thin">
        <color rgb="FF000000"/>
      </bottom>
    </border>
    <border>
      <left style="thin">
        <color rgb="FF000000"/>
      </left>
      <right style="thin">
        <color rgb="FF000000"/>
      </right>
      <top style="thin">
        <color rgb="FFF6F8F9"/>
      </top>
      <bottom style="thin">
        <color rgb="FF000000"/>
      </bottom>
    </border>
    <border>
      <left/>
      <right style="thin">
        <color rgb="FF000000"/>
      </right>
      <top/>
      <bottom style="thin">
        <color rgb="FF000000"/>
      </bottom>
    </border>
    <border>
      <right style="thin">
        <color rgb="FF000000"/>
      </right>
      <top style="thin">
        <color rgb="FFD9D9D9"/>
      </top>
      <bottom style="thin">
        <color rgb="FFD9D9D9"/>
      </bottom>
    </border>
    <border>
      <left style="thin">
        <color rgb="FFF4CCCC"/>
      </left>
      <right style="thin">
        <color rgb="FFF4CCCC"/>
      </right>
      <top style="thin">
        <color rgb="FFF4CCCC"/>
      </top>
      <bottom style="thin">
        <color rgb="FFF4CCCC"/>
      </bottom>
    </border>
    <border>
      <left/>
      <top/>
      <bottom/>
    </border>
    <border>
      <top/>
      <bottom/>
    </border>
    <border>
      <right style="medium">
        <color rgb="FF000000"/>
      </right>
      <top/>
      <bottom/>
    </border>
    <border>
      <left style="thin">
        <color rgb="FF000000"/>
      </left>
      <top style="thin">
        <color rgb="FFD9D9D9"/>
      </top>
    </border>
    <border>
      <left style="thin">
        <color rgb="FF00FF00"/>
      </left>
      <right style="thin">
        <color rgb="FF284E3F"/>
      </right>
      <top style="thin">
        <color rgb="FF00FF00"/>
      </top>
      <bottom style="thin">
        <color rgb="FF00FF00"/>
      </bottom>
    </border>
    <border>
      <left/>
      <right style="medium">
        <color rgb="FF000000"/>
      </right>
      <top style="thin">
        <color rgb="FFD9D9D9"/>
      </top>
    </border>
    <border>
      <right style="medium">
        <color rgb="FF000000"/>
      </right>
      <top style="thin">
        <color rgb="FFD9D9D9"/>
      </top>
    </border>
    <border>
      <left/>
      <right/>
      <top style="thin">
        <color rgb="FFD9D9D9"/>
      </top>
    </border>
    <border>
      <left style="medium">
        <color rgb="FF000000"/>
      </left>
      <right style="thin">
        <color rgb="FF000000"/>
      </right>
      <top style="thin">
        <color rgb="FFD9D9D9"/>
      </top>
      <bottom style="medium">
        <color rgb="FF000000"/>
      </bottom>
    </border>
    <border>
      <left/>
      <right style="medium">
        <color rgb="FF000000"/>
      </right>
      <top style="thin">
        <color rgb="FFD9D9D9"/>
      </top>
      <bottom style="medium">
        <color rgb="FF000000"/>
      </bottom>
    </border>
    <border>
      <left style="thin">
        <color rgb="FFB4A7D6"/>
      </left>
      <right style="thin">
        <color rgb="FFB4A7D6"/>
      </right>
      <top style="thin">
        <color rgb="FFB4A7D6"/>
      </top>
      <bottom style="thin">
        <color rgb="FFB4A7D6"/>
      </bottom>
    </border>
    <border>
      <left/>
      <right/>
      <top style="thin">
        <color rgb="FFD9D9D9"/>
      </top>
      <bottom style="medium">
        <color rgb="FF000000"/>
      </bottom>
    </border>
    <border>
      <left style="thin">
        <color rgb="FFFFFFFF"/>
      </left>
      <right style="thin">
        <color rgb="FF284E3F"/>
      </right>
      <top style="thin">
        <color rgb="FFFFFFFF"/>
      </top>
      <bottom style="thin">
        <color rgb="FFFFFFFF"/>
      </bottom>
    </border>
    <border>
      <left style="thin">
        <color rgb="FF000000"/>
      </left>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F6F8F9"/>
      </left>
      <right style="thin">
        <color rgb="FF284E3F"/>
      </right>
      <top style="thin">
        <color rgb="FFF6F8F9"/>
      </top>
      <bottom style="thin">
        <color rgb="FFF6F8F9"/>
      </bottom>
    </border>
    <border>
      <left/>
      <top/>
    </border>
    <border>
      <right style="thin">
        <color rgb="FF000000"/>
      </right>
      <top/>
    </border>
    <border>
      <left/>
    </border>
    <border>
      <left/>
      <bottom style="medium">
        <color rgb="FF000000"/>
      </bottom>
    </border>
    <border>
      <left style="thin">
        <color rgb="FF000000"/>
      </left>
      <right/>
      <top/>
      <bottom/>
    </border>
    <border>
      <right style="medium">
        <color rgb="FF000000"/>
      </right>
      <top style="thin">
        <color rgb="FF000000"/>
      </top>
      <bottom style="medium">
        <color rgb="FF000000"/>
      </bottom>
    </border>
    <border>
      <left style="thin">
        <color rgb="FF000000"/>
      </left>
      <right style="thin">
        <color rgb="FF000000"/>
      </right>
      <top style="thin">
        <color rgb="FFFF0000"/>
      </top>
      <bottom style="thin">
        <color rgb="FF000000"/>
      </bottom>
    </border>
    <border>
      <left style="thin">
        <color rgb="FF000000"/>
      </left>
      <top style="double">
        <color rgb="FF000000"/>
      </top>
      <bottom style="thin">
        <color rgb="FF000000"/>
      </bottom>
    </border>
    <border>
      <left/>
      <right/>
      <top/>
      <bottom style="thin">
        <color rgb="FF000000"/>
      </bottom>
    </border>
    <border>
      <right style="thin">
        <color rgb="FF000000"/>
      </righ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thin">
        <color rgb="FF000000"/>
      </left>
      <top/>
    </border>
    <border>
      <top/>
    </border>
    <border>
      <left style="thin">
        <color rgb="FF000000"/>
      </left>
      <bottom style="double">
        <color rgb="FF000000"/>
      </bottom>
    </border>
    <border>
      <bottom style="double">
        <color rgb="FF000000"/>
      </bottom>
    </border>
    <border>
      <left style="thin">
        <color rgb="FF000000"/>
      </left>
      <right/>
      <top/>
    </border>
    <border>
      <right style="thin">
        <color rgb="FF000000"/>
      </right>
      <bottom style="double">
        <color rgb="FF000000"/>
      </bottom>
    </border>
    <border>
      <left style="thin">
        <color rgb="FF000000"/>
      </left>
      <top style="thin">
        <color rgb="FF000000"/>
      </top>
      <bottom style="double">
        <color rgb="FF000000"/>
      </bottom>
    </border>
    <border>
      <left style="thin">
        <color rgb="FF000000"/>
      </left>
      <right style="thin">
        <color rgb="FF000000"/>
      </right>
      <top/>
    </border>
    <border>
      <right style="thin">
        <color rgb="FF000000"/>
      </righ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thin">
        <color rgb="FF000000"/>
      </left>
      <right/>
    </border>
    <border>
      <left style="thin">
        <color rgb="FF000000"/>
      </left>
      <top style="thin">
        <color rgb="FF000000"/>
      </top>
      <bottom/>
    </border>
    <border>
      <right style="thin">
        <color rgb="FF000000"/>
      </right>
      <top style="thin">
        <color rgb="FF000000"/>
      </top>
      <bottom/>
    </border>
    <border>
      <left style="thin">
        <color rgb="FF000000"/>
      </left>
      <right/>
      <top style="thin">
        <color rgb="FF000000"/>
      </top>
      <bottom/>
    </border>
    <border>
      <left style="thin">
        <color rgb="FF284E3F"/>
      </left>
      <right style="thin">
        <color rgb="FFD0E0E3"/>
      </right>
      <top style="thin">
        <color rgb="FFD0E0E3"/>
      </top>
      <bottom style="thin">
        <color rgb="FFD0E0E3"/>
      </bottom>
    </border>
    <border>
      <left style="thin">
        <color rgb="FF284E3F"/>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000000"/>
      </left>
      <top style="medium">
        <color rgb="FF000000"/>
      </top>
    </border>
    <border>
      <left/>
      <right style="thin">
        <color rgb="FF000000"/>
      </right>
      <top style="thin">
        <color rgb="FF000000"/>
      </top>
      <bottom/>
    </border>
    <border>
      <left style="thin">
        <color rgb="FF284E3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000000"/>
      </left>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top/>
    </border>
    <border>
      <right/>
    </border>
    <border>
      <right/>
      <bottom style="medium">
        <color rgb="FF000000"/>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B4A7D6"/>
      </left>
      <right style="thin">
        <color rgb="FF284E3F"/>
      </right>
      <top style="thin">
        <color rgb="FFB4A7D6"/>
      </top>
      <bottom style="thin">
        <color rgb="FF284E3F"/>
      </bottom>
    </border>
    <border>
      <left style="thin">
        <color rgb="FF000000"/>
      </left>
      <top/>
      <bottom/>
    </border>
    <border>
      <right style="thin">
        <color rgb="FF000000"/>
      </right>
      <top/>
      <bottom/>
    </border>
    <border>
      <left/>
      <right/>
      <top style="thin">
        <color rgb="FF000000"/>
      </top>
      <bottom/>
    </border>
    <border>
      <left style="thin">
        <color rgb="FF000000"/>
      </left>
      <right/>
      <top/>
      <bottom style="thin">
        <color rgb="FF0000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bottom/>
    </border>
    <border>
      <right/>
      <bottom/>
    </border>
  </borders>
  <cellStyleXfs count="1">
    <xf borderId="0" fillId="0" fontId="0" numFmtId="0" applyAlignment="1" applyFont="1"/>
  </cellStyleXfs>
  <cellXfs count="48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0" fillId="0" fontId="3" numFmtId="0" xfId="0" applyAlignment="1" applyFont="1">
      <alignment vertical="center"/>
    </xf>
    <xf borderId="2" fillId="0" fontId="4" numFmtId="0" xfId="0" applyBorder="1" applyFont="1"/>
    <xf borderId="0" fillId="0" fontId="5" numFmtId="0" xfId="0" applyAlignment="1" applyFont="1">
      <alignment vertical="center"/>
    </xf>
    <xf borderId="3" fillId="0" fontId="4" numFmtId="0" xfId="0" applyBorder="1" applyFont="1"/>
    <xf borderId="0" fillId="0" fontId="2" numFmtId="0" xfId="0" applyAlignment="1" applyFont="1">
      <alignment horizontal="center" vertical="center"/>
    </xf>
    <xf borderId="0" fillId="0" fontId="3" numFmtId="0" xfId="0" applyFont="1"/>
    <xf borderId="4" fillId="0" fontId="3" numFmtId="0" xfId="0" applyBorder="1" applyFont="1"/>
    <xf borderId="5" fillId="0" fontId="3" numFmtId="0" xfId="0" applyBorder="1" applyFont="1"/>
    <xf borderId="6" fillId="2" fontId="3" numFmtId="0" xfId="0" applyAlignment="1" applyBorder="1" applyFill="1" applyFont="1">
      <alignment horizontal="center" vertical="center"/>
    </xf>
    <xf borderId="7" fillId="3" fontId="3" numFmtId="0" xfId="0" applyAlignment="1" applyBorder="1" applyFill="1" applyFont="1">
      <alignment horizontal="center" vertical="center"/>
    </xf>
    <xf borderId="8" fillId="0" fontId="3" numFmtId="0" xfId="0" applyAlignment="1" applyBorder="1" applyFont="1">
      <alignment horizontal="left" vertical="center"/>
    </xf>
    <xf borderId="9" fillId="0" fontId="3" numFmtId="0" xfId="0" applyAlignment="1" applyBorder="1" applyFont="1">
      <alignment horizontal="center" shrinkToFit="0" vertical="center" wrapText="1"/>
    </xf>
    <xf borderId="9" fillId="0" fontId="4" numFmtId="0" xfId="0" applyBorder="1" applyFont="1"/>
    <xf borderId="10" fillId="0" fontId="3" numFmtId="0" xfId="0" applyAlignment="1" applyBorder="1" applyFont="1">
      <alignment horizontal="left" vertical="center"/>
    </xf>
    <xf borderId="11" fillId="0" fontId="4" numFmtId="0" xfId="0" applyBorder="1" applyFont="1"/>
    <xf borderId="1" fillId="4" fontId="3" numFmtId="0" xfId="0" applyAlignment="1" applyBorder="1" applyFill="1" applyFont="1">
      <alignment horizontal="center" vertical="center"/>
    </xf>
    <xf borderId="0" fillId="0" fontId="3" numFmtId="0" xfId="0" applyAlignment="1" applyFont="1">
      <alignment horizontal="left" vertical="center"/>
    </xf>
    <xf borderId="12" fillId="0" fontId="3" numFmtId="0" xfId="0" applyAlignment="1" applyBorder="1" applyFont="1">
      <alignment horizontal="left" vertical="center"/>
    </xf>
    <xf borderId="1" fillId="5" fontId="3" numFmtId="0" xfId="0" applyAlignment="1" applyBorder="1" applyFill="1" applyFont="1">
      <alignment horizontal="center" vertical="center"/>
    </xf>
    <xf borderId="13" fillId="2" fontId="2" numFmtId="0" xfId="0" applyAlignment="1" applyBorder="1" applyFill="1" applyFont="1">
      <alignment horizontal="center" vertical="center"/>
    </xf>
    <xf borderId="14" fillId="2" fontId="3" numFmtId="0" xfId="0" applyAlignment="1" applyBorder="1" applyFill="1" applyFont="1">
      <alignment horizontal="center" vertical="center"/>
    </xf>
    <xf borderId="1" fillId="6" fontId="3" numFmtId="0" xfId="0" applyAlignment="1" applyBorder="1" applyFill="1" applyFont="1">
      <alignment horizontal="center" vertical="center"/>
    </xf>
    <xf borderId="15" fillId="2" fontId="3" numFmtId="0" xfId="0" applyAlignment="1" applyBorder="1" applyFill="1" applyFont="1">
      <alignment horizontal="center" vertical="center"/>
    </xf>
    <xf borderId="1" fillId="7" fontId="3" numFmtId="0" xfId="0" applyAlignment="1" applyBorder="1" applyFill="1" applyFont="1">
      <alignment horizontal="center" vertical="center"/>
    </xf>
    <xf borderId="16" fillId="2" fontId="3" numFmtId="0" xfId="0" applyAlignment="1" applyBorder="1" applyFill="1" applyFont="1">
      <alignment horizontal="center" vertical="center"/>
    </xf>
    <xf borderId="17" fillId="0" fontId="3" numFmtId="0" xfId="0" applyAlignment="1" applyBorder="1" applyFont="1">
      <alignment horizontal="center" shrinkToFit="0" vertical="center" wrapText="1"/>
    </xf>
    <xf borderId="18" fillId="8" fontId="3" numFmtId="0" xfId="0" applyAlignment="1" applyBorder="1" applyFill="1" applyFont="1">
      <alignment vertical="center"/>
    </xf>
    <xf borderId="19" fillId="0" fontId="3" numFmtId="0" xfId="0" applyAlignment="1" applyBorder="1" applyFont="1">
      <alignment horizontal="center" shrinkToFit="0" vertical="center" wrapText="1"/>
    </xf>
    <xf borderId="7" fillId="9" fontId="3" numFmtId="0" xfId="0" applyAlignment="1" applyBorder="1" applyFill="1" applyFont="1">
      <alignment horizontal="center" vertical="center"/>
    </xf>
    <xf borderId="19" fillId="2" fontId="3" numFmtId="0" xfId="0" applyAlignment="1" applyBorder="1" applyFill="1" applyFont="1">
      <alignment horizontal="center" shrinkToFit="0" vertical="center" wrapText="1"/>
    </xf>
    <xf borderId="20" fillId="0" fontId="4" numFmtId="0" xfId="0" applyBorder="1" applyFont="1"/>
    <xf borderId="21" fillId="8" fontId="3" numFmtId="0" xfId="0" applyBorder="1" applyFill="1" applyFont="1"/>
    <xf borderId="0" fillId="0" fontId="3" numFmtId="0" xfId="0" applyAlignment="1" applyFont="1">
      <alignment horizontal="center" vertical="center"/>
    </xf>
    <xf borderId="22" fillId="0" fontId="4" numFmtId="0" xfId="0" applyBorder="1" applyFont="1"/>
    <xf borderId="23" fillId="0" fontId="4" numFmtId="0" xfId="0" applyBorder="1" applyFont="1"/>
    <xf borderId="24" fillId="10" fontId="3" numFmtId="0" xfId="0" applyAlignment="1" applyBorder="1" applyFill="1" applyFont="1">
      <alignment horizontal="center"/>
    </xf>
    <xf borderId="25" fillId="0" fontId="4" numFmtId="0" xfId="0" applyBorder="1" applyFont="1"/>
    <xf borderId="25" fillId="0" fontId="3" numFmtId="164" xfId="0" applyAlignment="1" applyBorder="1" applyFont="1" applyNumberFormat="1">
      <alignment horizontal="center" vertical="center"/>
    </xf>
    <xf borderId="26" fillId="10" fontId="3" numFmtId="0" xfId="0" applyAlignment="1" applyBorder="1" applyFill="1" applyFont="1">
      <alignment horizontal="center"/>
    </xf>
    <xf borderId="27" fillId="8" fontId="3" numFmtId="0" xfId="0" applyBorder="1" applyFill="1" applyFont="1"/>
    <xf borderId="28" fillId="0" fontId="4" numFmtId="0" xfId="0" applyBorder="1" applyFont="1"/>
    <xf borderId="29" fillId="0" fontId="3" numFmtId="0" xfId="0" applyAlignment="1" applyBorder="1" applyFont="1">
      <alignment horizontal="center" shrinkToFit="0" vertical="center" wrapText="1"/>
    </xf>
    <xf borderId="30" fillId="10" fontId="3" numFmtId="0" xfId="0" applyAlignment="1" applyBorder="1" applyFill="1" applyFont="1">
      <alignment horizontal="center"/>
    </xf>
    <xf borderId="31" fillId="0" fontId="3" numFmtId="0" xfId="0" applyAlignment="1" applyBorder="1" applyFont="1">
      <alignment shrinkToFit="0" vertical="center" wrapText="1"/>
    </xf>
    <xf borderId="32" fillId="8" fontId="3" numFmtId="0" xfId="0" applyAlignment="1" applyBorder="1" applyFill="1" applyFont="1">
      <alignment vertical="center"/>
    </xf>
    <xf borderId="33" fillId="0" fontId="3" numFmtId="0" xfId="0" applyAlignment="1" applyBorder="1" applyFont="1">
      <alignment horizontal="center" shrinkToFit="0" vertical="center" wrapText="1"/>
    </xf>
    <xf borderId="26" fillId="10" fontId="3" numFmtId="0" xfId="0" applyAlignment="1" applyBorder="1" applyFill="1" applyFont="1">
      <alignment horizontal="center" vertical="bottom"/>
    </xf>
    <xf borderId="34" fillId="0" fontId="3" numFmtId="0" xfId="0" applyAlignment="1" applyBorder="1" applyFont="1">
      <alignment horizontal="center" shrinkToFit="0" vertical="center" wrapText="1"/>
    </xf>
    <xf borderId="35" fillId="8" fontId="3" numFmtId="0" xfId="0" applyAlignment="1" applyBorder="1" applyFill="1" applyFont="1">
      <alignment vertical="center"/>
    </xf>
    <xf borderId="30" fillId="10" fontId="3" numFmtId="0" xfId="0" applyAlignment="1" applyBorder="1" applyFill="1" applyFont="1">
      <alignment horizontal="center" vertical="bottom"/>
    </xf>
    <xf borderId="36" fillId="0" fontId="4" numFmtId="0" xfId="0" applyBorder="1" applyFont="1"/>
    <xf borderId="37" fillId="2" fontId="3" numFmtId="0" xfId="0" applyAlignment="1" applyBorder="1" applyFill="1" applyFont="1">
      <alignment horizontal="center" vertical="center"/>
    </xf>
    <xf borderId="38" fillId="0" fontId="3" numFmtId="0" xfId="0" applyAlignment="1" applyBorder="1" applyFont="1">
      <alignment horizontal="center" vertical="center"/>
    </xf>
    <xf borderId="39" fillId="8" fontId="3" numFmtId="0" xfId="0" applyAlignment="1" applyBorder="1" applyFill="1" applyFont="1">
      <alignment vertical="center"/>
    </xf>
    <xf borderId="0" fillId="0" fontId="3" numFmtId="0" xfId="0" applyAlignment="1" applyFont="1">
      <alignment horizontal="center" shrinkToFit="0" vertical="center" wrapText="1"/>
    </xf>
    <xf borderId="40" fillId="0" fontId="4" numFmtId="0" xfId="0" applyBorder="1" applyFont="1"/>
    <xf borderId="17" fillId="0" fontId="4" numFmtId="0" xfId="0" applyBorder="1" applyFont="1"/>
    <xf borderId="29" fillId="5" fontId="6" numFmtId="0" xfId="0" applyAlignment="1" applyBorder="1" applyFill="1" applyFont="1">
      <alignment horizontal="center" vertical="center"/>
    </xf>
    <xf borderId="38" fillId="2" fontId="3" numFmtId="0" xfId="0" applyAlignment="1" applyBorder="1" applyFill="1" applyFont="1">
      <alignment horizontal="center" vertical="center"/>
    </xf>
    <xf borderId="41" fillId="0" fontId="3" numFmtId="0" xfId="0" applyAlignment="1" applyBorder="1" applyFont="1">
      <alignment horizontal="center" vertical="center"/>
    </xf>
    <xf borderId="42" fillId="0" fontId="5" numFmtId="0" xfId="0" applyBorder="1" applyFont="1"/>
    <xf borderId="41" fillId="0" fontId="3" numFmtId="0" xfId="0" applyBorder="1" applyFont="1"/>
    <xf borderId="43" fillId="5" fontId="6" numFmtId="0" xfId="0" applyBorder="1" applyFill="1" applyFont="1"/>
    <xf borderId="38" fillId="0" fontId="5" numFmtId="0" xfId="0" applyAlignment="1" applyBorder="1" applyFont="1">
      <alignment horizontal="center" shrinkToFit="0" vertical="center" wrapText="1"/>
    </xf>
    <xf borderId="44" fillId="0" fontId="7" numFmtId="0" xfId="0" applyBorder="1" applyFont="1"/>
    <xf borderId="39" fillId="11" fontId="5" numFmtId="0" xfId="0" applyAlignment="1" applyBorder="1" applyFill="1" applyFont="1">
      <alignment horizontal="center" vertical="center"/>
    </xf>
    <xf borderId="45" fillId="0" fontId="3" numFmtId="0" xfId="0" applyBorder="1" applyFont="1"/>
    <xf borderId="46" fillId="0" fontId="4" numFmtId="0" xfId="0" applyBorder="1" applyFont="1"/>
    <xf borderId="47" fillId="0" fontId="3" numFmtId="0" xfId="0" applyBorder="1" applyFont="1"/>
    <xf borderId="33" fillId="0" fontId="3" numFmtId="0" xfId="0" applyAlignment="1" applyBorder="1" applyFont="1">
      <alignment horizontal="center" vertical="center"/>
    </xf>
    <xf borderId="48" fillId="0" fontId="3" numFmtId="0" xfId="0" applyAlignment="1" applyBorder="1" applyFont="1">
      <alignment horizontal="center" vertical="center"/>
    </xf>
    <xf borderId="49" fillId="2" fontId="3" numFmtId="0" xfId="0" applyAlignment="1" applyBorder="1" applyFill="1" applyFont="1">
      <alignment horizontal="center" vertical="center"/>
    </xf>
    <xf borderId="47" fillId="0" fontId="7" numFmtId="0" xfId="0" applyBorder="1" applyFont="1"/>
    <xf borderId="45" fillId="0" fontId="7" numFmtId="0" xfId="0" applyBorder="1" applyFont="1"/>
    <xf borderId="45" fillId="0" fontId="4" numFmtId="0" xfId="0" applyBorder="1" applyFont="1"/>
    <xf borderId="50" fillId="0" fontId="3" numFmtId="0" xfId="0" applyAlignment="1" applyBorder="1" applyFont="1">
      <alignment horizontal="center" shrinkToFit="0" vertical="center" wrapText="1"/>
    </xf>
    <xf borderId="51" fillId="0" fontId="3" numFmtId="0" xfId="0" applyBorder="1" applyFont="1"/>
    <xf borderId="5" fillId="0" fontId="4" numFmtId="0" xfId="0" applyBorder="1" applyFont="1"/>
    <xf borderId="18" fillId="12" fontId="3" numFmtId="0" xfId="0" applyAlignment="1" applyBorder="1" applyFill="1" applyFont="1">
      <alignment vertical="center"/>
    </xf>
    <xf borderId="52" fillId="0" fontId="4" numFmtId="0" xfId="0" applyBorder="1" applyFont="1"/>
    <xf borderId="0" fillId="0" fontId="8" numFmtId="0" xfId="0" applyAlignment="1" applyFont="1">
      <alignment vertical="center"/>
    </xf>
    <xf borderId="53" fillId="2" fontId="3" numFmtId="0" xfId="0" applyAlignment="1" applyBorder="1" applyFill="1" applyFont="1">
      <alignment horizontal="center" vertical="center"/>
    </xf>
    <xf borderId="54" fillId="13" fontId="6" numFmtId="0" xfId="0" applyAlignment="1" applyBorder="1" applyFill="1" applyFont="1">
      <alignment horizontal="center" vertical="center"/>
    </xf>
    <xf borderId="29" fillId="0" fontId="3" numFmtId="0" xfId="0" applyAlignment="1" applyBorder="1" applyFont="1">
      <alignment horizontal="center" vertical="center"/>
    </xf>
    <xf borderId="55" fillId="13" fontId="6" numFmtId="0" xfId="0" applyBorder="1" applyFill="1" applyFont="1"/>
    <xf borderId="56" fillId="0" fontId="5" numFmtId="0" xfId="0" applyBorder="1" applyFont="1"/>
    <xf borderId="21" fillId="0" fontId="3" numFmtId="165" xfId="0" applyAlignment="1" applyBorder="1" applyFont="1" applyNumberFormat="1">
      <alignment horizontal="center" vertical="center"/>
    </xf>
    <xf borderId="57" fillId="0" fontId="4" numFmtId="0" xfId="0" applyBorder="1" applyFont="1"/>
    <xf borderId="58" fillId="0" fontId="3" numFmtId="0" xfId="0" applyBorder="1" applyFont="1"/>
    <xf borderId="59" fillId="2" fontId="3" numFmtId="0" xfId="0" applyAlignment="1" applyBorder="1" applyFill="1" applyFont="1">
      <alignment horizontal="center" vertical="center"/>
    </xf>
    <xf borderId="31" fillId="0" fontId="4" numFmtId="0" xfId="0" applyBorder="1" applyFont="1"/>
    <xf borderId="60" fillId="12" fontId="3" numFmtId="0" xfId="0" applyAlignment="1" applyBorder="1" applyFill="1" applyFont="1">
      <alignment vertical="center"/>
    </xf>
    <xf borderId="59" fillId="0" fontId="3" numFmtId="0" xfId="0" applyAlignment="1" applyBorder="1" applyFont="1">
      <alignment horizontal="center" vertical="center"/>
    </xf>
    <xf borderId="41" fillId="0" fontId="4" numFmtId="0" xfId="0" applyBorder="1" applyFont="1"/>
    <xf borderId="61" fillId="0" fontId="4" numFmtId="0" xfId="0" applyBorder="1" applyFont="1"/>
    <xf borderId="62" fillId="5" fontId="6" numFmtId="0" xfId="0" applyAlignment="1" applyBorder="1" applyFill="1" applyFont="1">
      <alignment horizontal="center" vertical="center"/>
    </xf>
    <xf borderId="63" fillId="0" fontId="7" numFmtId="0" xfId="0" applyBorder="1" applyFont="1"/>
    <xf borderId="63" fillId="0" fontId="3" numFmtId="0" xfId="0" applyBorder="1" applyFont="1"/>
    <xf borderId="51" fillId="0" fontId="3" numFmtId="0" xfId="0" applyAlignment="1" applyBorder="1" applyFont="1">
      <alignment horizontal="center" vertical="center"/>
    </xf>
    <xf borderId="59" fillId="0" fontId="3" numFmtId="0" xfId="0" applyAlignment="1" applyBorder="1" applyFont="1">
      <alignment horizontal="center" shrinkToFit="0" vertical="center" wrapText="1"/>
    </xf>
    <xf borderId="64" fillId="0" fontId="4" numFmtId="0" xfId="0" applyBorder="1" applyFont="1"/>
    <xf borderId="65" fillId="0" fontId="4" numFmtId="0" xfId="0" applyBorder="1" applyFont="1"/>
    <xf borderId="66" fillId="0" fontId="4" numFmtId="0" xfId="0" applyBorder="1" applyFont="1"/>
    <xf borderId="27" fillId="12" fontId="3" numFmtId="0" xfId="0" applyAlignment="1" applyBorder="1" applyFill="1" applyFont="1">
      <alignment vertical="center"/>
    </xf>
    <xf borderId="67" fillId="0" fontId="3" numFmtId="0" xfId="0" applyAlignment="1" applyBorder="1" applyFont="1">
      <alignment horizontal="center" vertical="center"/>
    </xf>
    <xf borderId="68" fillId="12" fontId="3" numFmtId="0" xfId="0" applyBorder="1" applyFill="1" applyFont="1"/>
    <xf borderId="39" fillId="14" fontId="8" numFmtId="0" xfId="0" applyAlignment="1" applyBorder="1" applyFill="1" applyFont="1">
      <alignment vertical="center"/>
    </xf>
    <xf borderId="69" fillId="0" fontId="5" numFmtId="0" xfId="0" applyAlignment="1" applyBorder="1" applyFont="1">
      <alignment horizontal="center" vertical="center"/>
    </xf>
    <xf borderId="39" fillId="14" fontId="3" numFmtId="0" xfId="0" applyAlignment="1" applyBorder="1" applyFill="1" applyFont="1">
      <alignment vertical="center"/>
    </xf>
    <xf borderId="23" fillId="0" fontId="3" numFmtId="0" xfId="0" applyBorder="1" applyFont="1"/>
    <xf borderId="70" fillId="0" fontId="4" numFmtId="0" xfId="0" applyBorder="1" applyFont="1"/>
    <xf borderId="20" fillId="0" fontId="3" numFmtId="0" xfId="0" applyBorder="1" applyFont="1"/>
    <xf borderId="71" fillId="0" fontId="4" numFmtId="0" xfId="0" applyBorder="1" applyFont="1"/>
    <xf borderId="28" fillId="0" fontId="3" numFmtId="0" xfId="0" applyBorder="1" applyFont="1"/>
    <xf borderId="39" fillId="14" fontId="5" numFmtId="0" xfId="0" applyAlignment="1" applyBorder="1" applyFill="1" applyFont="1">
      <alignment vertical="center"/>
    </xf>
    <xf borderId="72" fillId="0" fontId="4" numFmtId="0" xfId="0" applyBorder="1" applyFont="1"/>
    <xf borderId="73" fillId="0" fontId="4" numFmtId="0" xfId="0" applyBorder="1" applyFont="1"/>
    <xf borderId="39" fillId="15" fontId="8" numFmtId="0" xfId="0" applyAlignment="1" applyBorder="1" applyFill="1" applyFont="1">
      <alignment vertical="center"/>
    </xf>
    <xf borderId="22" fillId="0" fontId="3" numFmtId="0" xfId="0" applyAlignment="1" applyBorder="1" applyFont="1">
      <alignment horizontal="center" vertical="center"/>
    </xf>
    <xf borderId="39" fillId="15" fontId="3" numFmtId="0" xfId="0" applyAlignment="1" applyBorder="1" applyFill="1" applyFont="1">
      <alignment vertical="center"/>
    </xf>
    <xf borderId="74" fillId="0" fontId="3" numFmtId="0" xfId="0" applyBorder="1" applyFont="1"/>
    <xf borderId="75" fillId="12" fontId="9" numFmtId="0" xfId="0" applyBorder="1" applyFill="1" applyFont="1"/>
    <xf borderId="76" fillId="0" fontId="3" numFmtId="0" xfId="0" applyBorder="1" applyFont="1"/>
    <xf borderId="77" fillId="7" fontId="6" numFmtId="0" xfId="0" applyAlignment="1" applyBorder="1" applyFill="1" applyFont="1">
      <alignment horizontal="center" vertical="center"/>
    </xf>
    <xf borderId="74" fillId="0" fontId="7" numFmtId="0" xfId="0" applyBorder="1" applyFont="1"/>
    <xf borderId="78" fillId="0" fontId="4" numFmtId="0" xfId="0" applyBorder="1" applyFont="1"/>
    <xf borderId="14" fillId="2" fontId="3" numFmtId="0" xfId="0" applyAlignment="1" applyBorder="1" applyFill="1" applyFont="1">
      <alignment horizontal="center" vertical="top"/>
    </xf>
    <xf borderId="11" fillId="0" fontId="3" numFmtId="0" xfId="0" applyBorder="1" applyFont="1"/>
    <xf borderId="79" fillId="7" fontId="6" numFmtId="0" xfId="0" applyBorder="1" applyFill="1" applyFont="1"/>
    <xf borderId="80" fillId="0" fontId="3" numFmtId="0" xfId="0" applyBorder="1" applyFont="1"/>
    <xf borderId="11" fillId="0" fontId="7" numFmtId="0" xfId="0" applyBorder="1" applyFont="1"/>
    <xf borderId="0" fillId="0" fontId="7" numFmtId="0" xfId="0" applyFont="1"/>
    <xf borderId="81" fillId="0" fontId="3" numFmtId="0" xfId="0" applyBorder="1" applyFont="1"/>
    <xf borderId="82" fillId="0" fontId="3" numFmtId="0" xfId="0" applyAlignment="1" applyBorder="1" applyFont="1">
      <alignment horizontal="center" vertical="center"/>
    </xf>
    <xf borderId="83" fillId="12" fontId="3" numFmtId="0" xfId="0" applyBorder="1" applyFill="1" applyFont="1"/>
    <xf borderId="84" fillId="0" fontId="3" numFmtId="0" xfId="0" applyBorder="1" applyFont="1"/>
    <xf borderId="48" fillId="0" fontId="3" numFmtId="0" xfId="0" applyBorder="1" applyFont="1"/>
    <xf borderId="85" fillId="0" fontId="3" numFmtId="0" xfId="0" applyBorder="1" applyFont="1"/>
    <xf borderId="86" fillId="11" fontId="3" numFmtId="0" xfId="0" applyAlignment="1" applyBorder="1" applyFill="1" applyFont="1">
      <alignment horizontal="center" shrinkToFit="0" vertical="center" wrapText="1"/>
    </xf>
    <xf borderId="87" fillId="0" fontId="7" numFmtId="0" xfId="0" applyBorder="1" applyFont="1"/>
    <xf borderId="88" fillId="0" fontId="4" numFmtId="0" xfId="0" applyBorder="1" applyFont="1"/>
    <xf borderId="89" fillId="0" fontId="4" numFmtId="0" xfId="0" applyBorder="1" applyFont="1"/>
    <xf borderId="90" fillId="3" fontId="6" numFmtId="0" xfId="0" applyAlignment="1" applyBorder="1" applyFill="1" applyFont="1">
      <alignment horizontal="center" vertical="center"/>
    </xf>
    <xf borderId="91" fillId="3" fontId="5" numFmtId="0" xfId="0" applyBorder="1" applyFill="1" applyFont="1"/>
    <xf borderId="35" fillId="11" fontId="3" numFmtId="0" xfId="0" applyAlignment="1" applyBorder="1" applyFill="1" applyFont="1">
      <alignment horizontal="center" shrinkToFit="0" vertical="center" wrapText="1"/>
    </xf>
    <xf borderId="92" fillId="3" fontId="5" numFmtId="0" xfId="0" applyBorder="1" applyFill="1" applyFont="1"/>
    <xf borderId="51" fillId="0" fontId="4" numFmtId="0" xfId="0" applyBorder="1" applyFont="1"/>
    <xf borderId="82" fillId="0" fontId="4" numFmtId="0" xfId="0" applyBorder="1" applyFont="1"/>
    <xf borderId="21" fillId="11" fontId="3" numFmtId="0" xfId="0" applyAlignment="1" applyBorder="1" applyFill="1" applyFont="1">
      <alignment horizontal="center" shrinkToFit="0" vertical="center" wrapText="1"/>
    </xf>
    <xf borderId="93" fillId="12" fontId="7" numFmtId="0" xfId="0" applyBorder="1" applyFill="1" applyFont="1"/>
    <xf borderId="91" fillId="3" fontId="6" numFmtId="0" xfId="0" applyBorder="1" applyFill="1" applyFont="1"/>
    <xf borderId="92" fillId="3" fontId="6" numFmtId="0" xfId="0" applyBorder="1" applyFill="1" applyFont="1"/>
    <xf borderId="93" fillId="12" fontId="3" numFmtId="0" xfId="0" applyBorder="1" applyFill="1" applyFont="1"/>
    <xf borderId="94" fillId="12" fontId="3" numFmtId="0" xfId="0" applyBorder="1" applyFill="1" applyFont="1"/>
    <xf borderId="95" fillId="0" fontId="4" numFmtId="0" xfId="0" applyBorder="1" applyFont="1"/>
    <xf borderId="96" fillId="12" fontId="3" numFmtId="0" xfId="0" applyBorder="1" applyFill="1" applyFont="1"/>
    <xf borderId="97" fillId="0" fontId="7" numFmtId="0" xfId="0" applyBorder="1" applyFont="1"/>
    <xf borderId="36" fillId="0" fontId="3" numFmtId="0" xfId="0" applyAlignment="1" applyBorder="1" applyFont="1">
      <alignment horizontal="center" shrinkToFit="0" vertical="center" wrapText="1"/>
    </xf>
    <xf borderId="0" fillId="0" fontId="10" numFmtId="0" xfId="0" applyAlignment="1" applyFont="1">
      <alignment vertical="center"/>
    </xf>
    <xf borderId="44" fillId="0" fontId="3" numFmtId="0" xfId="0" applyBorder="1" applyFont="1"/>
    <xf borderId="39" fillId="12" fontId="3" numFmtId="0" xfId="0" applyAlignment="1" applyBorder="1" applyFill="1" applyFont="1">
      <alignment vertical="center"/>
    </xf>
    <xf borderId="98" fillId="0" fontId="3" numFmtId="0" xfId="0" applyBorder="1" applyFont="1"/>
    <xf borderId="21" fillId="0" fontId="3" numFmtId="0" xfId="0" applyAlignment="1" applyBorder="1" applyFont="1">
      <alignment horizontal="center" shrinkToFit="0" vertical="center" wrapText="1"/>
    </xf>
    <xf borderId="99" fillId="0" fontId="6" numFmtId="0" xfId="0" applyAlignment="1" applyBorder="1" applyFont="1">
      <alignment horizontal="center" vertical="center"/>
    </xf>
    <xf borderId="87" fillId="0" fontId="3" numFmtId="0" xfId="0" applyBorder="1" applyFont="1"/>
    <xf borderId="81" fillId="12" fontId="3" numFmtId="0" xfId="0" applyBorder="1" applyFill="1" applyFont="1"/>
    <xf borderId="21" fillId="0" fontId="3" numFmtId="0" xfId="0" applyAlignment="1" applyBorder="1" applyFont="1">
      <alignment horizontal="left" shrinkToFit="0" vertical="center" wrapText="1"/>
    </xf>
    <xf borderId="97" fillId="0" fontId="3" numFmtId="0" xfId="0" applyBorder="1" applyFont="1"/>
    <xf borderId="100" fillId="16" fontId="6" numFmtId="0" xfId="0" applyAlignment="1" applyBorder="1" applyFill="1" applyFont="1">
      <alignment horizontal="center" vertical="center"/>
    </xf>
    <xf borderId="61" fillId="0" fontId="3" numFmtId="0" xfId="0" applyAlignment="1" applyBorder="1" applyFont="1">
      <alignment horizontal="center" shrinkToFit="0" vertical="center" wrapText="1"/>
    </xf>
    <xf borderId="94" fillId="12" fontId="7" numFmtId="0" xfId="0" applyBorder="1" applyFill="1" applyFont="1"/>
    <xf borderId="101" fillId="16" fontId="6" numFmtId="0" xfId="0" applyBorder="1" applyFill="1" applyFont="1"/>
    <xf borderId="99" fillId="12" fontId="5" numFmtId="0" xfId="0" applyBorder="1" applyFill="1" applyFont="1"/>
    <xf borderId="50" fillId="0" fontId="4" numFmtId="0" xfId="0" applyBorder="1" applyFont="1"/>
    <xf borderId="83" fillId="12" fontId="7" numFmtId="0" xfId="0" applyBorder="1" applyFill="1" applyFont="1"/>
    <xf borderId="57" fillId="0" fontId="3" numFmtId="0" xfId="0" applyBorder="1" applyFont="1"/>
    <xf borderId="59" fillId="0" fontId="3" numFmtId="0" xfId="0" applyAlignment="1" applyBorder="1" applyFont="1">
      <alignment horizontal="left" shrinkToFit="0" vertical="center" wrapText="1"/>
    </xf>
    <xf borderId="39" fillId="12" fontId="8" numFmtId="0" xfId="0" applyAlignment="1" applyBorder="1" applyFill="1" applyFont="1">
      <alignment vertical="center"/>
    </xf>
    <xf borderId="39" fillId="12" fontId="11" numFmtId="0" xfId="0" applyAlignment="1" applyBorder="1" applyFill="1" applyFont="1">
      <alignment vertical="center"/>
    </xf>
    <xf borderId="55" fillId="13" fontId="5" numFmtId="0" xfId="0" applyBorder="1" applyFill="1" applyFont="1"/>
    <xf borderId="102" fillId="0" fontId="3" numFmtId="0" xfId="0" applyBorder="1" applyFont="1"/>
    <xf borderId="103" fillId="13" fontId="5" numFmtId="0" xfId="0" applyBorder="1" applyFill="1" applyFont="1"/>
    <xf borderId="104" fillId="12" fontId="3" numFmtId="0" xfId="0" applyAlignment="1" applyBorder="1" applyFill="1" applyFont="1">
      <alignment vertical="center"/>
    </xf>
    <xf borderId="47" fillId="0" fontId="4" numFmtId="0" xfId="0" applyBorder="1" applyFont="1"/>
    <xf borderId="105" fillId="0" fontId="3" numFmtId="0" xfId="0" applyAlignment="1" applyBorder="1" applyFont="1">
      <alignment horizontal="center" shrinkToFit="0" vertical="center" wrapText="1"/>
    </xf>
    <xf borderId="106" fillId="0" fontId="6" numFmtId="0" xfId="0" applyAlignment="1" applyBorder="1" applyFont="1">
      <alignment horizontal="center" vertical="center"/>
    </xf>
    <xf borderId="38" fillId="0" fontId="3" numFmtId="0" xfId="0" applyAlignment="1" applyBorder="1" applyFont="1">
      <alignment horizontal="center" shrinkToFit="0" vertical="center" wrapText="1"/>
    </xf>
    <xf borderId="102" fillId="0" fontId="7" numFmtId="0" xfId="0" applyBorder="1" applyFont="1"/>
    <xf borderId="107" fillId="12" fontId="3" numFmtId="0" xfId="0" applyAlignment="1" applyBorder="1" applyFill="1" applyFont="1">
      <alignment vertical="center"/>
    </xf>
    <xf borderId="108" fillId="0" fontId="3" numFmtId="0" xfId="0" applyBorder="1" applyFont="1"/>
    <xf borderId="109" fillId="5" fontId="6" numFmtId="0" xfId="0" applyBorder="1" applyFill="1" applyFont="1"/>
    <xf borderId="110" fillId="5" fontId="12" numFmtId="0" xfId="0" applyAlignment="1" applyBorder="1" applyFill="1" applyFont="1">
      <alignment horizontal="center" shrinkToFit="0" vertical="center" wrapText="1"/>
    </xf>
    <xf borderId="102" fillId="12" fontId="3" numFmtId="0" xfId="0" applyBorder="1" applyFill="1" applyFont="1"/>
    <xf borderId="111" fillId="0" fontId="4" numFmtId="0" xfId="0" applyBorder="1" applyFont="1"/>
    <xf borderId="112" fillId="0" fontId="4" numFmtId="0" xfId="0" applyBorder="1" applyFont="1"/>
    <xf borderId="113" fillId="0" fontId="3" numFmtId="0" xfId="0" applyBorder="1" applyFont="1"/>
    <xf borderId="100" fillId="16" fontId="13" numFmtId="0" xfId="0" applyAlignment="1" applyBorder="1" applyFill="1" applyFont="1">
      <alignment horizontal="center" vertical="center"/>
    </xf>
    <xf borderId="93" fillId="0" fontId="3" numFmtId="0" xfId="0" applyBorder="1" applyFont="1"/>
    <xf borderId="114" fillId="16" fontId="6" numFmtId="0" xfId="0" applyBorder="1" applyFill="1" applyFont="1"/>
    <xf borderId="21" fillId="0" fontId="14" numFmtId="0" xfId="0" applyAlignment="1" applyBorder="1" applyFont="1">
      <alignment horizontal="center" shrinkToFit="0" vertical="center" wrapText="1"/>
    </xf>
    <xf borderId="39" fillId="11" fontId="3" numFmtId="0" xfId="0" applyAlignment="1" applyBorder="1" applyFill="1" applyFont="1">
      <alignment vertical="center"/>
    </xf>
    <xf borderId="82" fillId="0" fontId="3" numFmtId="0" xfId="0" applyBorder="1" applyFont="1"/>
    <xf borderId="21" fillId="0" fontId="15" numFmtId="0" xfId="0" applyAlignment="1" applyBorder="1" applyFont="1">
      <alignment horizontal="left" shrinkToFit="0" vertical="center" wrapText="1"/>
    </xf>
    <xf borderId="98" fillId="12" fontId="3" numFmtId="0" xfId="0" applyBorder="1" applyFill="1" applyFont="1"/>
    <xf borderId="115" fillId="12" fontId="3" numFmtId="0" xfId="0" applyBorder="1" applyFill="1" applyFont="1"/>
    <xf borderId="116" fillId="12" fontId="3" numFmtId="0" xfId="0" applyBorder="1" applyFill="1" applyFont="1"/>
    <xf borderId="117" fillId="12" fontId="3" numFmtId="0" xfId="0" applyBorder="1" applyFill="1" applyFont="1"/>
    <xf borderId="50" fillId="0" fontId="14" numFmtId="0" xfId="0" applyAlignment="1" applyBorder="1" applyFont="1">
      <alignment horizontal="center" shrinkToFit="0" vertical="center" wrapText="1"/>
    </xf>
    <xf borderId="50" fillId="0" fontId="15" numFmtId="0" xfId="0" applyAlignment="1" applyBorder="1" applyFont="1">
      <alignment horizontal="left" shrinkToFit="0" vertical="center" wrapText="1"/>
    </xf>
    <xf borderId="109" fillId="5" fontId="5" numFmtId="0" xfId="0" applyBorder="1" applyFill="1" applyFont="1"/>
    <xf borderId="72" fillId="0" fontId="3" numFmtId="0" xfId="0" applyBorder="1" applyFont="1"/>
    <xf borderId="43" fillId="5" fontId="5" numFmtId="0" xfId="0" applyBorder="1" applyFill="1" applyFont="1"/>
    <xf borderId="118" fillId="12" fontId="3" numFmtId="0" xfId="0" applyBorder="1" applyFill="1" applyFont="1"/>
    <xf borderId="119" fillId="12" fontId="3" numFmtId="0" xfId="0" applyBorder="1" applyFill="1" applyFont="1"/>
    <xf borderId="73" fillId="0" fontId="3" numFmtId="0" xfId="0" applyBorder="1" applyFont="1"/>
    <xf borderId="66" fillId="0" fontId="3" numFmtId="0" xfId="0" applyBorder="1" applyFont="1"/>
    <xf borderId="120" fillId="7" fontId="5" numFmtId="0" xfId="0" applyBorder="1" applyFill="1" applyFont="1"/>
    <xf borderId="79" fillId="7" fontId="5" numFmtId="0" xfId="0" applyBorder="1" applyFill="1" applyFont="1"/>
    <xf borderId="121" fillId="12" fontId="3" numFmtId="0" xfId="0" applyBorder="1" applyFill="1" applyFont="1"/>
    <xf borderId="39" fillId="12" fontId="7" numFmtId="0" xfId="0" applyAlignment="1" applyBorder="1" applyFill="1" applyFont="1">
      <alignment horizontal="left" vertical="center"/>
    </xf>
    <xf borderId="0" fillId="0" fontId="12" numFmtId="0" xfId="0" applyAlignment="1" applyFont="1">
      <alignment horizontal="left" shrinkToFit="0" vertical="center" wrapText="1"/>
    </xf>
    <xf borderId="0" fillId="0" fontId="14" numFmtId="0" xfId="0" applyAlignment="1" applyFont="1">
      <alignment horizontal="left" shrinkToFit="0" vertical="center" wrapText="1"/>
    </xf>
    <xf borderId="122" fillId="12" fontId="6" numFmtId="0" xfId="0" applyBorder="1" applyFill="1" applyFont="1"/>
    <xf borderId="123" fillId="17" fontId="12" numFmtId="0" xfId="0" applyAlignment="1" applyBorder="1" applyFill="1" applyFont="1">
      <alignment horizontal="center" shrinkToFit="0" vertical="center" wrapText="1"/>
    </xf>
    <xf borderId="124" fillId="18" fontId="16" numFmtId="0" xfId="0" applyAlignment="1" applyBorder="1" applyFill="1" applyFont="1">
      <alignment horizontal="center" vertical="center"/>
    </xf>
    <xf borderId="82" fillId="0" fontId="8" numFmtId="0" xfId="0" applyAlignment="1" applyBorder="1" applyFont="1">
      <alignment vertical="center"/>
    </xf>
    <xf borderId="124" fillId="18" fontId="16" numFmtId="0" xfId="0" applyAlignment="1" applyBorder="1" applyFill="1" applyFont="1">
      <alignment horizontal="center" readingOrder="0" vertical="center"/>
    </xf>
    <xf borderId="50" fillId="0" fontId="3" numFmtId="20" xfId="0" applyAlignment="1" applyBorder="1" applyFont="1" applyNumberFormat="1">
      <alignment horizontal="center" shrinkToFit="0" vertical="center" wrapText="1"/>
    </xf>
    <xf borderId="5" fillId="0" fontId="3" numFmtId="0" xfId="0" applyAlignment="1" applyBorder="1" applyFont="1">
      <alignment horizontal="center" shrinkToFit="0" vertical="center" wrapText="1"/>
    </xf>
    <xf borderId="21" fillId="0" fontId="3" numFmtId="0" xfId="0" applyBorder="1" applyFont="1"/>
    <xf borderId="29" fillId="12" fontId="3" numFmtId="0" xfId="0" applyAlignment="1" applyBorder="1" applyFill="1" applyFont="1">
      <alignment vertical="center"/>
    </xf>
    <xf borderId="125" fillId="19" fontId="12" numFmtId="0" xfId="0" applyAlignment="1" applyBorder="1" applyFill="1" applyFont="1">
      <alignment horizontal="left" shrinkToFit="0" vertical="center" wrapText="1"/>
    </xf>
    <xf borderId="126" fillId="0" fontId="4" numFmtId="0" xfId="0" applyBorder="1" applyFont="1"/>
    <xf borderId="123" fillId="3" fontId="3" numFmtId="0" xfId="0" applyAlignment="1" applyBorder="1" applyFill="1" applyFont="1">
      <alignment shrinkToFit="0" vertical="center" wrapText="1"/>
    </xf>
    <xf borderId="127" fillId="0" fontId="4" numFmtId="0" xfId="0" applyBorder="1" applyFont="1"/>
    <xf borderId="124" fillId="0" fontId="3" numFmtId="0" xfId="0" applyAlignment="1" applyBorder="1" applyFont="1">
      <alignment horizontal="left" shrinkToFit="0" vertical="center" wrapText="1"/>
    </xf>
    <xf borderId="82" fillId="0" fontId="3" numFmtId="0" xfId="0" applyAlignment="1" applyBorder="1" applyFont="1">
      <alignment horizontal="center" shrinkToFit="0" vertical="center" wrapText="1"/>
    </xf>
    <xf borderId="124" fillId="0" fontId="3" numFmtId="0" xfId="0" applyAlignment="1" applyBorder="1" applyFont="1">
      <alignment horizontal="center" vertical="center"/>
    </xf>
    <xf borderId="124" fillId="0" fontId="3" numFmtId="0" xfId="0" applyAlignment="1" applyBorder="1" applyFont="1">
      <alignment horizontal="center" readingOrder="0" vertical="center"/>
    </xf>
    <xf borderId="21" fillId="0" fontId="3" numFmtId="0" xfId="0" applyAlignment="1" applyBorder="1" applyFont="1">
      <alignment horizontal="center" vertical="center"/>
    </xf>
    <xf borderId="124" fillId="0" fontId="14" numFmtId="0" xfId="0" applyAlignment="1" applyBorder="1" applyFont="1">
      <alignment horizontal="left" shrinkToFit="0" vertical="center" wrapText="1"/>
    </xf>
    <xf borderId="103" fillId="13" fontId="6" numFmtId="0" xfId="0" applyBorder="1" applyFill="1" applyFont="1"/>
    <xf borderId="39" fillId="11" fontId="3" numFmtId="0" xfId="0" applyAlignment="1" applyBorder="1" applyFill="1" applyFont="1">
      <alignment horizontal="center" vertical="center"/>
    </xf>
    <xf borderId="59" fillId="0" fontId="3" numFmtId="0" xfId="0" applyBorder="1" applyFont="1"/>
    <xf borderId="39" fillId="12" fontId="5" numFmtId="0" xfId="0" applyAlignment="1" applyBorder="1" applyFill="1" applyFont="1">
      <alignment vertical="center"/>
    </xf>
    <xf borderId="124" fillId="0" fontId="5" numFmtId="0" xfId="0" applyAlignment="1" applyBorder="1" applyFont="1">
      <alignment horizontal="left" readingOrder="0" shrinkToFit="0" vertical="center" wrapText="1"/>
    </xf>
    <xf borderId="128" fillId="0" fontId="5" numFmtId="0" xfId="0" applyBorder="1" applyFont="1"/>
    <xf borderId="21" fillId="0" fontId="3" numFmtId="0" xfId="0" applyAlignment="1" applyBorder="1" applyFont="1">
      <alignment shrinkToFit="0" vertical="center" wrapText="1"/>
    </xf>
    <xf borderId="120" fillId="7" fontId="6" numFmtId="0" xfId="0" applyBorder="1" applyFill="1" applyFont="1"/>
    <xf borderId="21" fillId="0" fontId="17" numFmtId="0" xfId="0" applyAlignment="1" applyBorder="1" applyFont="1">
      <alignment horizontal="left" shrinkToFit="0" vertical="center" wrapText="1"/>
    </xf>
    <xf borderId="21" fillId="3" fontId="15" numFmtId="0" xfId="0" applyAlignment="1" applyBorder="1" applyFill="1" applyFont="1">
      <alignment horizontal="left" shrinkToFit="0" vertical="center" wrapText="1"/>
    </xf>
    <xf borderId="100" fillId="16" fontId="12" numFmtId="0" xfId="0" applyAlignment="1" applyBorder="1" applyFill="1" applyFont="1">
      <alignment horizontal="center" vertical="center"/>
    </xf>
    <xf borderId="101" fillId="16" fontId="5" numFmtId="0" xfId="0" applyBorder="1" applyFill="1" applyFont="1"/>
    <xf borderId="114" fillId="16" fontId="5" numFmtId="0" xfId="0" applyBorder="1" applyFill="1" applyFont="1"/>
    <xf borderId="129" fillId="12" fontId="5" numFmtId="0" xfId="0" applyAlignment="1" applyBorder="1" applyFill="1" applyFont="1">
      <alignment horizontal="center" vertical="center"/>
    </xf>
    <xf borderId="77" fillId="7" fontId="12" numFmtId="0" xfId="0" applyAlignment="1" applyBorder="1" applyFill="1" applyFont="1">
      <alignment horizontal="center" vertical="center"/>
    </xf>
    <xf borderId="130" fillId="0" fontId="4" numFmtId="0" xfId="0" applyBorder="1" applyFont="1"/>
    <xf borderId="82" fillId="0" fontId="18" numFmtId="0" xfId="0" applyAlignment="1" applyBorder="1" applyFont="1">
      <alignment horizontal="center" shrinkToFit="0" vertical="center" wrapText="1"/>
    </xf>
    <xf borderId="50" fillId="0" fontId="19" numFmtId="0" xfId="0" applyAlignment="1" applyBorder="1" applyFont="1">
      <alignment horizontal="left" shrinkToFit="0" vertical="center" wrapText="1"/>
    </xf>
    <xf borderId="131" fillId="0" fontId="4" numFmtId="0" xfId="0" applyBorder="1" applyFont="1"/>
    <xf borderId="124" fillId="0" fontId="3" numFmtId="0" xfId="0" applyAlignment="1" applyBorder="1" applyFont="1">
      <alignment horizontal="left" readingOrder="0" shrinkToFit="0" vertical="center" wrapText="1"/>
    </xf>
    <xf borderId="54" fillId="13" fontId="3" numFmtId="0" xfId="0" applyAlignment="1" applyBorder="1" applyFill="1" applyFont="1">
      <alignment horizontal="center" vertical="center"/>
    </xf>
    <xf borderId="50" fillId="0" fontId="3" numFmtId="0" xfId="0" applyAlignment="1" applyBorder="1" applyFont="1">
      <alignment shrinkToFit="0" wrapText="1"/>
    </xf>
    <xf borderId="21" fillId="0" fontId="19" numFmtId="0" xfId="0" applyAlignment="1" applyBorder="1" applyFont="1">
      <alignment horizontal="left" shrinkToFit="0" vertical="center" wrapText="1"/>
    </xf>
    <xf borderId="59" fillId="0" fontId="14" numFmtId="0" xfId="0" applyAlignment="1" applyBorder="1" applyFont="1">
      <alignment horizontal="center" shrinkToFit="0" vertical="center" wrapText="1"/>
    </xf>
    <xf borderId="62" fillId="5" fontId="3" numFmtId="0" xfId="0" applyAlignment="1" applyBorder="1" applyFill="1" applyFont="1">
      <alignment horizontal="center" vertical="center"/>
    </xf>
    <xf borderId="59" fillId="0" fontId="15" numFmtId="0" xfId="0" applyAlignment="1" applyBorder="1" applyFont="1">
      <alignment horizontal="left" shrinkToFit="0" vertical="center" wrapText="1"/>
    </xf>
    <xf borderId="132" fillId="0" fontId="4" numFmtId="0" xfId="0" applyBorder="1" applyFont="1"/>
    <xf borderId="69" fillId="0" fontId="14" numFmtId="0" xfId="0" applyAlignment="1" applyBorder="1" applyFont="1">
      <alignment horizontal="center" shrinkToFit="0" vertical="center" wrapText="1"/>
    </xf>
    <xf borderId="133" fillId="12" fontId="3" numFmtId="0" xfId="0" applyAlignment="1" applyBorder="1" applyFill="1" applyFont="1">
      <alignment horizontal="right" vertical="center"/>
    </xf>
    <xf borderId="133" fillId="12" fontId="3" numFmtId="0" xfId="0" applyAlignment="1" applyBorder="1" applyFill="1" applyFont="1">
      <alignment vertical="center"/>
    </xf>
    <xf borderId="69" fillId="0" fontId="15" numFmtId="0" xfId="0" applyAlignment="1" applyBorder="1" applyFont="1">
      <alignment horizontal="left" shrinkToFit="0" vertical="center" wrapText="1"/>
    </xf>
    <xf borderId="134" fillId="0" fontId="4" numFmtId="0" xfId="0" applyBorder="1" applyFont="1"/>
    <xf borderId="86" fillId="20" fontId="12" numFmtId="0" xfId="0" applyAlignment="1" applyBorder="1" applyFill="1" applyFont="1">
      <alignment horizontal="center" shrinkToFit="0" vertical="center" wrapText="1"/>
    </xf>
    <xf borderId="77" fillId="7" fontId="3" numFmtId="0" xfId="0" applyAlignment="1" applyBorder="1" applyFill="1" applyFont="1">
      <alignment horizontal="center" vertical="center"/>
    </xf>
    <xf borderId="51" fillId="0" fontId="3" numFmtId="0" xfId="0" applyAlignment="1" applyBorder="1" applyFont="1">
      <alignment shrinkToFit="0" wrapText="1"/>
    </xf>
    <xf borderId="104" fillId="12" fontId="3" numFmtId="0" xfId="0" applyAlignment="1" applyBorder="1" applyFill="1" applyFont="1">
      <alignment horizontal="right" vertical="center"/>
    </xf>
    <xf borderId="133" fillId="3" fontId="3" numFmtId="0" xfId="0" applyAlignment="1" applyBorder="1" applyFill="1" applyFont="1">
      <alignment vertical="center"/>
    </xf>
    <xf borderId="82" fillId="0" fontId="14" numFmtId="0" xfId="0" applyAlignment="1" applyBorder="1" applyFont="1">
      <alignment horizontal="center" shrinkToFit="0" vertical="center" wrapText="1"/>
    </xf>
    <xf borderId="39" fillId="3" fontId="3" numFmtId="0" xfId="0" applyAlignment="1" applyBorder="1" applyFill="1" applyFont="1">
      <alignment vertical="center"/>
    </xf>
    <xf borderId="39" fillId="5" fontId="3" numFmtId="0" xfId="0" applyAlignment="1" applyBorder="1" applyFill="1" applyFont="1">
      <alignment vertical="center"/>
    </xf>
    <xf borderId="82" fillId="0" fontId="15" numFmtId="0" xfId="0" applyAlignment="1" applyBorder="1" applyFont="1">
      <alignment horizontal="left" shrinkToFit="0" vertical="center" wrapText="1"/>
    </xf>
    <xf borderId="39" fillId="16" fontId="3" numFmtId="0" xfId="0" applyAlignment="1" applyBorder="1" applyFill="1" applyFont="1">
      <alignment vertical="center"/>
    </xf>
    <xf borderId="39" fillId="21" fontId="3" numFmtId="0" xfId="0" applyAlignment="1" applyBorder="1" applyFill="1" applyFont="1">
      <alignment vertical="center"/>
    </xf>
    <xf borderId="39" fillId="7" fontId="3" numFmtId="0" xfId="0" applyAlignment="1" applyBorder="1" applyFill="1" applyFont="1">
      <alignment vertical="center"/>
    </xf>
    <xf borderId="135" fillId="22" fontId="3" numFmtId="0" xfId="0" applyAlignment="1" applyBorder="1" applyFill="1" applyFont="1">
      <alignment horizontal="center" vertical="center"/>
    </xf>
    <xf borderId="69" fillId="0" fontId="3" numFmtId="0" xfId="0" applyAlignment="1" applyBorder="1" applyFont="1">
      <alignment shrinkToFit="0" vertical="center" wrapText="1"/>
    </xf>
    <xf borderId="45" fillId="0" fontId="3" numFmtId="0" xfId="0" applyAlignment="1" applyBorder="1" applyFont="1">
      <alignment vertical="center"/>
    </xf>
    <xf borderId="82" fillId="0" fontId="3" numFmtId="0" xfId="0" applyAlignment="1" applyBorder="1" applyFont="1">
      <alignment vertical="center"/>
    </xf>
    <xf borderId="39" fillId="23" fontId="3" numFmtId="0" xfId="0" applyAlignment="1" applyBorder="1" applyFill="1" applyFont="1">
      <alignment vertical="center"/>
    </xf>
    <xf borderId="90" fillId="3" fontId="3" numFmtId="0" xfId="0" applyAlignment="1" applyBorder="1" applyFill="1" applyFont="1">
      <alignment horizontal="center" vertical="center"/>
    </xf>
    <xf borderId="133" fillId="11" fontId="3" numFmtId="0" xfId="0" applyAlignment="1" applyBorder="1" applyFill="1" applyFont="1">
      <alignment vertical="center"/>
    </xf>
    <xf borderId="64" fillId="0" fontId="3" numFmtId="0" xfId="0" applyAlignment="1" applyBorder="1" applyFont="1">
      <alignment vertical="center"/>
    </xf>
    <xf borderId="5" fillId="0" fontId="3" numFmtId="0" xfId="0" applyAlignment="1" applyBorder="1" applyFont="1">
      <alignment vertical="center"/>
    </xf>
    <xf borderId="136" fillId="0" fontId="14" numFmtId="0" xfId="0" applyAlignment="1" applyBorder="1" applyFont="1">
      <alignment horizontal="center" shrinkToFit="0" vertical="center" wrapText="1"/>
    </xf>
    <xf borderId="137" fillId="12" fontId="3" numFmtId="0" xfId="0" applyAlignment="1" applyBorder="1" applyFill="1" applyFont="1">
      <alignment vertical="center"/>
    </xf>
    <xf borderId="138" fillId="0" fontId="4" numFmtId="0" xfId="0" applyBorder="1" applyFont="1"/>
    <xf borderId="136" fillId="0" fontId="15" numFmtId="0" xfId="0" applyAlignment="1" applyBorder="1" applyFont="1">
      <alignment horizontal="left" shrinkToFit="0" vertical="center" wrapText="1"/>
    </xf>
    <xf borderId="139" fillId="0" fontId="4" numFmtId="0" xfId="0" applyBorder="1" applyFont="1"/>
    <xf borderId="140" fillId="0" fontId="4" numFmtId="0" xfId="0" applyBorder="1" applyFont="1"/>
    <xf borderId="141" fillId="24" fontId="3" numFmtId="0" xfId="0" applyAlignment="1" applyBorder="1" applyFill="1" applyFont="1">
      <alignment horizontal="center" shrinkToFit="0" vertical="center" wrapText="1"/>
    </xf>
    <xf borderId="50" fillId="0" fontId="12" numFmtId="0" xfId="0" applyAlignment="1" applyBorder="1" applyFont="1">
      <alignment shrinkToFit="0" vertical="center" wrapText="1"/>
    </xf>
    <xf borderId="39" fillId="11" fontId="20" numFmtId="0" xfId="0" applyAlignment="1" applyBorder="1" applyFill="1" applyFont="1">
      <alignment horizontal="center" vertical="center"/>
    </xf>
    <xf borderId="51" fillId="0" fontId="5" numFmtId="0" xfId="0" applyBorder="1" applyFont="1"/>
    <xf borderId="45" fillId="0" fontId="12" numFmtId="0" xfId="0" applyAlignment="1" applyBorder="1" applyFont="1">
      <alignment vertical="center"/>
    </xf>
    <xf borderId="100" fillId="16" fontId="3" numFmtId="0" xfId="0" applyAlignment="1" applyBorder="1" applyFill="1" applyFont="1">
      <alignment horizontal="center" vertical="center"/>
    </xf>
    <xf borderId="142" fillId="0" fontId="4" numFmtId="0" xfId="0" applyBorder="1" applyFont="1"/>
    <xf borderId="50" fillId="0" fontId="17" numFmtId="0" xfId="0" applyAlignment="1" applyBorder="1" applyFont="1">
      <alignment horizontal="left" shrinkToFit="0" vertical="center" wrapText="1"/>
    </xf>
    <xf borderId="27" fillId="9" fontId="3" numFmtId="0" xfId="0" applyBorder="1" applyFill="1" applyFont="1"/>
    <xf borderId="64" fillId="0" fontId="12" numFmtId="0" xfId="0" applyAlignment="1" applyBorder="1" applyFont="1">
      <alignment vertical="center"/>
    </xf>
    <xf borderId="137" fillId="9" fontId="3" numFmtId="0" xfId="0" applyAlignment="1" applyBorder="1" applyFill="1" applyFont="1">
      <alignment vertical="center"/>
    </xf>
    <xf borderId="0" fillId="0" fontId="12" numFmtId="0" xfId="0" applyFont="1"/>
    <xf borderId="143" fillId="0" fontId="4" numFmtId="0" xfId="0" applyBorder="1" applyFont="1"/>
    <xf borderId="144" fillId="0" fontId="4" numFmtId="0" xfId="0" applyBorder="1" applyFont="1"/>
    <xf borderId="145" fillId="12" fontId="3" numFmtId="0" xfId="0" applyAlignment="1" applyBorder="1" applyFill="1" applyFont="1">
      <alignment horizontal="center" shrinkToFit="0" vertical="center" wrapText="1"/>
    </xf>
    <xf borderId="146" fillId="0" fontId="4" numFmtId="0" xfId="0" applyBorder="1" applyFont="1"/>
    <xf borderId="147" fillId="0" fontId="14" numFmtId="0" xfId="0" applyAlignment="1" applyBorder="1" applyFont="1">
      <alignment horizontal="center" shrinkToFit="0" vertical="center" wrapText="1"/>
    </xf>
    <xf borderId="148" fillId="25" fontId="3" numFmtId="0" xfId="0" applyAlignment="1" applyBorder="1" applyFill="1" applyFont="1">
      <alignment horizontal="center" shrinkToFit="0" vertical="center" wrapText="1"/>
    </xf>
    <xf borderId="149" fillId="0" fontId="4" numFmtId="0" xfId="0" applyBorder="1" applyFont="1"/>
    <xf borderId="147" fillId="0" fontId="15" numFmtId="0" xfId="0" applyAlignment="1" applyBorder="1" applyFont="1">
      <alignment horizontal="left" shrinkToFit="0" vertical="center" wrapText="1"/>
    </xf>
    <xf borderId="150" fillId="0" fontId="4" numFmtId="0" xfId="0" applyBorder="1" applyFont="1"/>
    <xf borderId="61" fillId="0" fontId="3" numFmtId="0" xfId="0" applyAlignment="1" applyBorder="1" applyFont="1">
      <alignment vertical="center"/>
    </xf>
    <xf borderId="151" fillId="0" fontId="4" numFmtId="0" xfId="0" applyBorder="1" applyFont="1"/>
    <xf borderId="152" fillId="0" fontId="4" numFmtId="0" xfId="0" applyBorder="1" applyFont="1"/>
    <xf borderId="141" fillId="25" fontId="3" numFmtId="0" xfId="0" applyAlignment="1" applyBorder="1" applyFill="1" applyFont="1">
      <alignment horizontal="center" shrinkToFit="0" vertical="center" wrapText="1"/>
    </xf>
    <xf borderId="5" fillId="0" fontId="8" numFmtId="0" xfId="0" applyAlignment="1" applyBorder="1" applyFont="1">
      <alignment vertical="center"/>
    </xf>
    <xf borderId="0" fillId="0" fontId="21" numFmtId="0" xfId="0" applyFont="1"/>
    <xf borderId="59" fillId="26" fontId="22" numFmtId="0" xfId="0" applyAlignment="1" applyBorder="1" applyFill="1" applyFont="1">
      <alignment horizontal="center" vertical="center"/>
    </xf>
    <xf borderId="29" fillId="26" fontId="23" numFmtId="0" xfId="0" applyAlignment="1" applyBorder="1" applyFill="1" applyFont="1">
      <alignment horizontal="center"/>
    </xf>
    <xf borderId="39" fillId="11" fontId="3" numFmtId="0" xfId="0" applyAlignment="1" applyBorder="1" applyFill="1" applyFont="1">
      <alignment horizontal="left" vertical="center"/>
    </xf>
    <xf borderId="141" fillId="15" fontId="3" numFmtId="0" xfId="0" applyAlignment="1" applyBorder="1" applyFill="1" applyFont="1">
      <alignment horizontal="center" shrinkToFit="0" vertical="center" wrapText="1"/>
    </xf>
    <xf borderId="136" fillId="0" fontId="24" numFmtId="0" xfId="0" applyAlignment="1" applyBorder="1" applyFont="1">
      <alignment horizontal="left" shrinkToFit="0" vertical="center" wrapText="1"/>
    </xf>
    <xf borderId="29" fillId="0" fontId="23" numFmtId="0" xfId="0" applyAlignment="1" applyBorder="1" applyFont="1">
      <alignment horizontal="center"/>
    </xf>
    <xf borderId="148" fillId="15" fontId="3" numFmtId="0" xfId="0" applyAlignment="1" applyBorder="1" applyFill="1" applyFont="1">
      <alignment horizontal="center" shrinkToFit="0" vertical="center" wrapText="1"/>
    </xf>
    <xf borderId="21" fillId="0" fontId="23" numFmtId="0" xfId="0" applyAlignment="1" applyBorder="1" applyFont="1">
      <alignment horizontal="center"/>
    </xf>
    <xf borderId="21" fillId="0" fontId="25" numFmtId="0" xfId="0" applyAlignment="1" applyBorder="1" applyFont="1">
      <alignment horizontal="left" shrinkToFit="0" vertical="center" wrapText="1"/>
    </xf>
    <xf borderId="51" fillId="0" fontId="3" numFmtId="0" xfId="0" applyAlignment="1" applyBorder="1" applyFont="1">
      <alignment vertical="center"/>
    </xf>
    <xf borderId="141" fillId="12" fontId="12" numFmtId="0" xfId="0" applyAlignment="1" applyBorder="1" applyFill="1" applyFont="1">
      <alignment horizontal="center" shrinkToFit="0" vertical="center" wrapText="1"/>
    </xf>
    <xf borderId="39" fillId="11" fontId="5" numFmtId="0" xfId="0" applyAlignment="1" applyBorder="1" applyFill="1" applyFont="1">
      <alignment vertical="center"/>
    </xf>
    <xf borderId="18" fillId="26" fontId="23" numFmtId="0" xfId="0" applyAlignment="1" applyBorder="1" applyFill="1" applyFont="1">
      <alignment horizontal="center"/>
    </xf>
    <xf borderId="27" fillId="12" fontId="3" numFmtId="0" xfId="0" applyBorder="1" applyFill="1" applyFont="1"/>
    <xf borderId="153" fillId="26" fontId="23" numFmtId="0" xfId="0" applyAlignment="1" applyBorder="1" applyFill="1" applyFont="1">
      <alignment horizontal="center"/>
    </xf>
    <xf borderId="154" fillId="0" fontId="4" numFmtId="0" xfId="0" applyBorder="1" applyFont="1"/>
    <xf borderId="8" fillId="0" fontId="3" numFmtId="0" xfId="0" applyAlignment="1" applyBorder="1" applyFont="1">
      <alignment horizontal="left"/>
    </xf>
    <xf borderId="0" fillId="0" fontId="23" numFmtId="0" xfId="0" applyAlignment="1" applyFont="1">
      <alignment horizontal="left"/>
    </xf>
    <xf borderId="10" fillId="0" fontId="3" numFmtId="0" xfId="0" applyAlignment="1" applyBorder="1" applyFont="1">
      <alignment horizontal="left"/>
    </xf>
    <xf borderId="18" fillId="20" fontId="23" numFmtId="0" xfId="0" applyAlignment="1" applyBorder="1" applyFill="1" applyFont="1">
      <alignment shrinkToFit="0" wrapText="1"/>
    </xf>
    <xf borderId="12" fillId="0" fontId="3" numFmtId="0" xfId="0" applyAlignment="1" applyBorder="1" applyFont="1">
      <alignment horizontal="left"/>
    </xf>
    <xf borderId="18" fillId="20" fontId="23" numFmtId="0" xfId="0" applyAlignment="1" applyBorder="1" applyFill="1" applyFont="1">
      <alignment readingOrder="0"/>
    </xf>
    <xf borderId="155" fillId="20" fontId="23" numFmtId="166" xfId="0" applyBorder="1" applyFill="1" applyFont="1" applyNumberFormat="1"/>
    <xf borderId="156" fillId="27" fontId="3" numFmtId="0" xfId="0" applyBorder="1" applyFill="1" applyFont="1"/>
    <xf borderId="60" fillId="12" fontId="3" numFmtId="0" xfId="0" applyBorder="1" applyFill="1" applyFont="1"/>
    <xf borderId="157" fillId="0" fontId="3" numFmtId="0" xfId="0" applyBorder="1" applyFont="1"/>
    <xf borderId="158" fillId="12" fontId="5" numFmtId="0" xfId="0" applyBorder="1" applyFill="1" applyFont="1"/>
    <xf borderId="159" fillId="0" fontId="3" numFmtId="0" xfId="0" applyAlignment="1" applyBorder="1" applyFont="1">
      <alignment horizontal="center" shrinkToFit="0" vertical="center" wrapText="1"/>
    </xf>
    <xf borderId="18" fillId="20" fontId="23" numFmtId="166" xfId="0" applyBorder="1" applyFill="1" applyFont="1" applyNumberFormat="1"/>
    <xf borderId="74" fillId="0" fontId="4" numFmtId="0" xfId="0" applyBorder="1" applyFont="1"/>
    <xf borderId="160" fillId="20" fontId="23" numFmtId="0" xfId="0" applyBorder="1" applyFill="1" applyFont="1"/>
    <xf borderId="153" fillId="20" fontId="23" numFmtId="0" xfId="0" applyBorder="1" applyFill="1" applyFont="1"/>
    <xf borderId="39" fillId="20" fontId="23" numFmtId="0" xfId="0" applyBorder="1" applyFill="1" applyFont="1"/>
    <xf borderId="38" fillId="0" fontId="14" numFmtId="0" xfId="0" applyAlignment="1" applyBorder="1" applyFont="1">
      <alignment horizontal="center" shrinkToFit="0" vertical="center" wrapText="1"/>
    </xf>
    <xf borderId="161" fillId="0" fontId="3" numFmtId="0" xfId="0" applyBorder="1" applyFont="1"/>
    <xf borderId="51" fillId="0" fontId="23" numFmtId="0" xfId="0" applyAlignment="1" applyBorder="1" applyFont="1">
      <alignment shrinkToFit="0" wrapText="1"/>
    </xf>
    <xf borderId="38" fillId="0" fontId="15" numFmtId="0" xfId="0" applyAlignment="1" applyBorder="1" applyFont="1">
      <alignment horizontal="left" shrinkToFit="0" vertical="center" wrapText="1"/>
    </xf>
    <xf borderId="51" fillId="0" fontId="23" numFmtId="0" xfId="0" applyAlignment="1" applyBorder="1" applyFont="1">
      <alignment readingOrder="0"/>
    </xf>
    <xf borderId="82" fillId="0" fontId="23" numFmtId="166" xfId="0" applyBorder="1" applyFont="1" applyNumberFormat="1"/>
    <xf borderId="51" fillId="0" fontId="23" numFmtId="166" xfId="0" applyBorder="1" applyFont="1" applyNumberFormat="1"/>
    <xf borderId="45" fillId="0" fontId="23" numFmtId="0" xfId="0" applyBorder="1" applyFont="1"/>
    <xf borderId="82" fillId="0" fontId="23" numFmtId="0" xfId="0" applyBorder="1" applyFont="1"/>
    <xf borderId="162" fillId="0" fontId="5" numFmtId="0" xfId="0" applyBorder="1" applyFont="1"/>
    <xf borderId="128" fillId="0" fontId="5" numFmtId="0" xfId="0" applyAlignment="1" applyBorder="1" applyFont="1">
      <alignment vertical="center"/>
    </xf>
    <xf borderId="51" fillId="0" fontId="23" numFmtId="0" xfId="0" applyBorder="1" applyFont="1"/>
    <xf borderId="158" fillId="0" fontId="5" numFmtId="0" xfId="0" applyBorder="1" applyFont="1"/>
    <xf borderId="122" fillId="0" fontId="5" numFmtId="0" xfId="0" applyBorder="1" applyFont="1"/>
    <xf borderId="60" fillId="20" fontId="23" numFmtId="0" xfId="0" applyBorder="1" applyFill="1" applyFont="1"/>
    <xf borderId="69" fillId="0" fontId="3" numFmtId="0" xfId="0" applyAlignment="1" applyBorder="1" applyFont="1">
      <alignment horizontal="center" shrinkToFit="0" vertical="center" wrapText="1"/>
    </xf>
    <xf borderId="163" fillId="0" fontId="4" numFmtId="0" xfId="0" applyBorder="1" applyFont="1"/>
    <xf borderId="133" fillId="20" fontId="23" numFmtId="166" xfId="0" applyAlignment="1" applyBorder="1" applyFill="1" applyFont="1" applyNumberFormat="1">
      <alignment readingOrder="0"/>
    </xf>
    <xf borderId="60" fillId="20" fontId="23" numFmtId="166" xfId="0" applyBorder="1" applyFill="1" applyFont="1" applyNumberFormat="1"/>
    <xf borderId="104" fillId="20" fontId="23" numFmtId="0" xfId="0" applyBorder="1" applyFill="1" applyFont="1"/>
    <xf borderId="153" fillId="20" fontId="26" numFmtId="0" xfId="0" applyBorder="1" applyFill="1" applyFont="1"/>
    <xf borderId="145" fillId="12" fontId="12" numFmtId="0" xfId="0" applyAlignment="1" applyBorder="1" applyFill="1" applyFont="1">
      <alignment horizontal="center" shrinkToFit="0" vertical="center" wrapText="1"/>
    </xf>
    <xf borderId="164" fillId="2" fontId="2" numFmtId="0" xfId="0" applyAlignment="1" applyBorder="1" applyFill="1" applyFont="1">
      <alignment horizontal="center" vertical="center"/>
    </xf>
    <xf borderId="147" fillId="0" fontId="27" numFmtId="0" xfId="0" applyAlignment="1" applyBorder="1" applyFont="1">
      <alignment horizontal="center" shrinkToFit="0" vertical="center" wrapText="1"/>
    </xf>
    <xf borderId="165" fillId="0" fontId="4" numFmtId="0" xfId="0" applyBorder="1" applyFont="1"/>
    <xf borderId="0" fillId="0" fontId="23" numFmtId="0" xfId="0" applyAlignment="1" applyFont="1">
      <alignment horizontal="left" vertical="center"/>
    </xf>
    <xf borderId="166" fillId="2" fontId="3" numFmtId="0" xfId="0" applyAlignment="1" applyBorder="1" applyFill="1" applyFont="1">
      <alignment horizontal="center" vertical="center"/>
    </xf>
    <xf borderId="147" fillId="0" fontId="19" numFmtId="0" xfId="0" applyAlignment="1" applyBorder="1" applyFont="1">
      <alignment horizontal="left" shrinkToFit="0" vertical="center" wrapText="1"/>
    </xf>
    <xf borderId="166" fillId="0" fontId="3" numFmtId="0" xfId="0" applyAlignment="1" applyBorder="1" applyFont="1">
      <alignment horizontal="left" shrinkToFit="0" vertical="center" wrapText="1"/>
    </xf>
    <xf borderId="166" fillId="0" fontId="3" numFmtId="0" xfId="0" applyAlignment="1" applyBorder="1" applyFont="1">
      <alignment horizontal="center" vertical="center"/>
    </xf>
    <xf borderId="122" fillId="11" fontId="5" numFmtId="0" xfId="0" applyBorder="1" applyFill="1" applyFont="1"/>
    <xf borderId="82" fillId="0" fontId="28" numFmtId="0" xfId="0" applyBorder="1" applyFont="1"/>
    <xf borderId="59" fillId="10" fontId="3" numFmtId="0" xfId="0" applyAlignment="1" applyBorder="1" applyFill="1" applyFont="1">
      <alignment horizontal="center" vertical="center"/>
    </xf>
    <xf borderId="160" fillId="10" fontId="3" numFmtId="0" xfId="0" applyAlignment="1" applyBorder="1" applyFill="1" applyFont="1">
      <alignment horizontal="center" vertical="center"/>
    </xf>
    <xf borderId="107" fillId="10" fontId="3" numFmtId="0" xfId="0" applyAlignment="1" applyBorder="1" applyFill="1" applyFont="1">
      <alignment horizontal="center" vertical="center"/>
    </xf>
    <xf borderId="50" fillId="0" fontId="29" numFmtId="0" xfId="0" applyAlignment="1" applyBorder="1" applyFont="1">
      <alignment horizontal="left" shrinkToFit="0" vertical="center" wrapText="1"/>
    </xf>
    <xf borderId="82" fillId="0" fontId="12" numFmtId="0" xfId="0" applyAlignment="1" applyBorder="1" applyFont="1">
      <alignment shrinkToFit="0" vertical="center" wrapText="1"/>
    </xf>
    <xf borderId="147" fillId="0" fontId="30" numFmtId="0" xfId="0" applyAlignment="1" applyBorder="1" applyFont="1">
      <alignment horizontal="left" shrinkToFit="0" vertical="center" wrapText="1"/>
    </xf>
    <xf borderId="141" fillId="12" fontId="3" numFmtId="0" xfId="0" applyAlignment="1" applyBorder="1" applyFill="1" applyFont="1">
      <alignment horizontal="center" shrinkToFit="0" vertical="center" wrapText="1"/>
    </xf>
    <xf borderId="167" fillId="0" fontId="4" numFmtId="0" xfId="0" applyBorder="1" applyFont="1"/>
    <xf borderId="168" fillId="0" fontId="4" numFmtId="0" xfId="0" applyBorder="1" applyFont="1"/>
    <xf borderId="169" fillId="0" fontId="4" numFmtId="0" xfId="0" applyBorder="1" applyFont="1"/>
    <xf borderId="82" fillId="0" fontId="23" numFmtId="166" xfId="0" applyAlignment="1" applyBorder="1" applyFont="1" applyNumberFormat="1">
      <alignment readingOrder="0"/>
    </xf>
    <xf borderId="45" fillId="0" fontId="23" numFmtId="0" xfId="0" applyAlignment="1" applyBorder="1" applyFont="1">
      <alignment readingOrder="0"/>
    </xf>
    <xf borderId="72" fillId="0" fontId="3" numFmtId="0" xfId="0" applyAlignment="1" applyBorder="1" applyFont="1">
      <alignment horizontal="center" shrinkToFit="0" vertical="center" wrapText="1"/>
    </xf>
    <xf borderId="72" fillId="0" fontId="14" numFmtId="0" xfId="0" applyAlignment="1" applyBorder="1" applyFont="1">
      <alignment horizontal="center" shrinkToFit="0" vertical="center" wrapText="1"/>
    </xf>
    <xf borderId="72" fillId="0" fontId="15" numFmtId="0" xfId="0" applyAlignment="1" applyBorder="1" applyFont="1">
      <alignment horizontal="left" shrinkToFit="0" vertical="center" wrapText="1"/>
    </xf>
    <xf borderId="14" fillId="2" fontId="3" numFmtId="0" xfId="0" applyAlignment="1" applyBorder="1" applyFill="1" applyFont="1">
      <alignment horizontal="center" shrinkToFit="0" vertical="top" wrapText="1"/>
    </xf>
    <xf borderId="23" fillId="0" fontId="3" numFmtId="20" xfId="0" applyAlignment="1" applyBorder="1" applyFont="1" applyNumberFormat="1">
      <alignment horizontal="center" shrinkToFit="0" vertical="center" wrapText="1"/>
    </xf>
    <xf borderId="23" fillId="0" fontId="3" numFmtId="0" xfId="0" applyAlignment="1" applyBorder="1" applyFont="1">
      <alignment horizontal="center" shrinkToFit="0" vertical="center" wrapText="1"/>
    </xf>
    <xf borderId="23" fillId="0" fontId="14" numFmtId="0" xfId="0" applyAlignment="1" applyBorder="1" applyFont="1">
      <alignment horizontal="center" shrinkToFit="0" vertical="center" wrapText="1"/>
    </xf>
    <xf borderId="23" fillId="0" fontId="15" numFmtId="0" xfId="0" applyAlignment="1" applyBorder="1" applyFont="1">
      <alignment horizontal="left" shrinkToFit="0" vertical="center" wrapText="1"/>
    </xf>
    <xf borderId="0" fillId="0" fontId="12" numFmtId="0" xfId="0" applyAlignment="1" applyFont="1">
      <alignment vertical="center"/>
    </xf>
    <xf borderId="0" fillId="0" fontId="6" numFmtId="0" xfId="0" applyAlignment="1" applyFont="1">
      <alignment vertical="center"/>
    </xf>
    <xf borderId="41" fillId="0" fontId="31" numFmtId="0" xfId="0" applyAlignment="1" applyBorder="1" applyFont="1">
      <alignment horizontal="left" shrinkToFit="0" vertical="top" wrapText="1"/>
    </xf>
    <xf borderId="5" fillId="0" fontId="5" numFmtId="0" xfId="0" applyAlignment="1" applyBorder="1" applyFont="1">
      <alignment vertical="center"/>
    </xf>
    <xf borderId="82" fillId="0" fontId="32" numFmtId="0" xfId="0" applyAlignment="1" applyBorder="1" applyFont="1">
      <alignment readingOrder="0"/>
    </xf>
    <xf borderId="13" fillId="0" fontId="3" numFmtId="0" xfId="0" applyAlignment="1" applyBorder="1" applyFont="1">
      <alignment shrinkToFit="0" vertical="center" wrapText="1"/>
    </xf>
    <xf borderId="0" fillId="0" fontId="12" numFmtId="0" xfId="0" applyAlignment="1" applyFont="1">
      <alignment horizontal="center" vertical="center"/>
    </xf>
    <xf borderId="170" fillId="0" fontId="3" numFmtId="0" xfId="0" applyBorder="1" applyFont="1"/>
    <xf borderId="61" fillId="0" fontId="3" numFmtId="0" xfId="0" applyAlignment="1" applyBorder="1" applyFont="1">
      <alignment shrinkToFit="0" vertical="center" wrapText="1"/>
    </xf>
    <xf borderId="171" fillId="0" fontId="5" numFmtId="0" xfId="0" applyBorder="1" applyFont="1"/>
    <xf borderId="61" fillId="0" fontId="3" numFmtId="0" xfId="0" applyBorder="1" applyFont="1"/>
    <xf borderId="172" fillId="7" fontId="5" numFmtId="0" xfId="0" applyBorder="1" applyFill="1" applyFont="1"/>
    <xf borderId="61" fillId="0" fontId="5" numFmtId="0" xfId="0" applyAlignment="1" applyBorder="1" applyFont="1">
      <alignment vertical="center"/>
    </xf>
    <xf borderId="0" fillId="0" fontId="3" numFmtId="0" xfId="0" applyAlignment="1" applyFont="1">
      <alignment shrinkToFit="0" vertical="center" wrapText="1"/>
    </xf>
    <xf borderId="39" fillId="3" fontId="5" numFmtId="0" xfId="0" applyAlignment="1" applyBorder="1" applyFill="1" applyFont="1">
      <alignment vertical="center"/>
    </xf>
    <xf borderId="0" fillId="0" fontId="23" numFmtId="0" xfId="0" applyAlignment="1" applyFont="1">
      <alignment horizontal="left" shrinkToFit="0" vertical="center" wrapText="1"/>
    </xf>
    <xf borderId="0" fillId="0" fontId="3" numFmtId="0" xfId="0" applyAlignment="1" applyFont="1">
      <alignment horizontal="right" vertical="center"/>
    </xf>
    <xf borderId="82" fillId="0" fontId="33" numFmtId="0" xfId="0" applyAlignment="1" applyBorder="1" applyFont="1">
      <alignment readingOrder="0"/>
    </xf>
    <xf borderId="50" fillId="0" fontId="3" numFmtId="0" xfId="0" applyBorder="1" applyFont="1"/>
    <xf borderId="57" fillId="0" fontId="3" numFmtId="0" xfId="0" applyAlignment="1" applyBorder="1" applyFont="1">
      <alignment vertical="center"/>
    </xf>
    <xf borderId="0" fillId="0" fontId="34" numFmtId="0" xfId="0" applyAlignment="1" applyFont="1">
      <alignment vertical="center"/>
    </xf>
    <xf borderId="0" fillId="0" fontId="35" numFmtId="0" xfId="0" applyAlignment="1" applyFont="1">
      <alignment horizontal="right" vertical="center"/>
    </xf>
    <xf borderId="48" fillId="15" fontId="3" numFmtId="0" xfId="0" applyAlignment="1" applyBorder="1" applyFill="1" applyFont="1">
      <alignment horizontal="center" shrinkToFit="0" vertical="center" wrapText="1"/>
    </xf>
    <xf borderId="122" fillId="11" fontId="36" numFmtId="0" xfId="0" applyBorder="1" applyFill="1" applyFont="1"/>
    <xf borderId="122" fillId="0" fontId="5" numFmtId="0" xfId="0" applyAlignment="1" applyBorder="1" applyFont="1">
      <alignment vertical="center"/>
    </xf>
    <xf borderId="82" fillId="0" fontId="37" numFmtId="0" xfId="0" applyAlignment="1" applyBorder="1" applyFont="1">
      <alignment readingOrder="0"/>
    </xf>
    <xf borderId="60" fillId="20" fontId="23" numFmtId="0" xfId="0" applyAlignment="1" applyBorder="1" applyFill="1" applyFont="1">
      <alignment readingOrder="0"/>
    </xf>
    <xf borderId="133" fillId="20" fontId="23" numFmtId="166" xfId="0" applyBorder="1" applyFill="1" applyFont="1" applyNumberFormat="1"/>
    <xf borderId="173" fillId="20" fontId="23" numFmtId="0" xfId="0" applyBorder="1" applyFill="1" applyFont="1"/>
    <xf borderId="174" fillId="0" fontId="4" numFmtId="0" xfId="0" applyBorder="1" applyFont="1"/>
    <xf borderId="173" fillId="20" fontId="23" numFmtId="166" xfId="0" applyBorder="1" applyFill="1" applyFont="1" applyNumberFormat="1"/>
    <xf borderId="174" fillId="20" fontId="23" numFmtId="0" xfId="0" applyBorder="1" applyFill="1" applyFont="1"/>
    <xf borderId="39" fillId="11" fontId="3" numFmtId="0" xfId="0" applyAlignment="1" applyBorder="1" applyFill="1" applyFont="1">
      <alignment shrinkToFit="0" vertical="center" wrapText="1"/>
    </xf>
    <xf borderId="148" fillId="25" fontId="3" numFmtId="0" xfId="0" applyAlignment="1" applyBorder="1" applyFill="1" applyFont="1">
      <alignment horizontal="center" shrinkToFit="0" wrapText="1"/>
    </xf>
    <xf borderId="82" fillId="20" fontId="23" numFmtId="166" xfId="0" applyAlignment="1" applyBorder="1" applyFill="1" applyFont="1" applyNumberFormat="1">
      <alignment readingOrder="0"/>
    </xf>
    <xf borderId="51" fillId="20" fontId="23" numFmtId="0" xfId="0" applyAlignment="1" applyBorder="1" applyFill="1" applyFont="1">
      <alignment readingOrder="0"/>
    </xf>
    <xf borderId="51" fillId="20" fontId="23" numFmtId="166" xfId="0" applyBorder="1" applyFill="1" applyFont="1" applyNumberFormat="1"/>
    <xf borderId="51" fillId="20" fontId="23" numFmtId="0" xfId="0" applyBorder="1" applyFill="1" applyFont="1"/>
    <xf borderId="82" fillId="20" fontId="23" numFmtId="0" xfId="0" applyBorder="1" applyFill="1" applyFont="1"/>
    <xf borderId="57" fillId="0" fontId="23" numFmtId="0" xfId="0" applyBorder="1" applyFont="1"/>
    <xf borderId="57" fillId="0" fontId="23" numFmtId="166" xfId="0" applyBorder="1" applyFont="1" applyNumberFormat="1"/>
    <xf borderId="50" fillId="0" fontId="23" numFmtId="0" xfId="0" applyBorder="1" applyFont="1"/>
    <xf borderId="0" fillId="0" fontId="3" numFmtId="0" xfId="0" applyAlignment="1" applyFont="1">
      <alignment horizontal="left" shrinkToFit="0" vertical="center" wrapText="1"/>
    </xf>
    <xf borderId="0" fillId="0" fontId="3" numFmtId="166" xfId="0" applyFont="1" applyNumberFormat="1"/>
    <xf borderId="51" fillId="0" fontId="3" numFmtId="0" xfId="0" applyAlignment="1" applyBorder="1" applyFont="1">
      <alignment horizontal="center" shrinkToFit="0" vertical="center" wrapText="1"/>
    </xf>
    <xf borderId="0" fillId="0" fontId="3" numFmtId="0" xfId="0" applyAlignment="1" applyFont="1">
      <alignment horizontal="right"/>
    </xf>
    <xf borderId="0" fillId="0" fontId="3" numFmtId="3" xfId="0" applyFont="1" applyNumberFormat="1"/>
    <xf borderId="45" fillId="0" fontId="3" numFmtId="0" xfId="0" applyAlignment="1" applyBorder="1" applyFont="1">
      <alignment horizontal="center" vertical="center"/>
    </xf>
    <xf borderId="0" fillId="0" fontId="3" numFmtId="166" xfId="0" applyAlignment="1" applyFont="1" applyNumberFormat="1">
      <alignment horizontal="right"/>
    </xf>
    <xf borderId="0" fillId="0" fontId="3" numFmtId="166" xfId="0" applyAlignment="1" applyFont="1" applyNumberFormat="1">
      <alignment horizontal="right" shrinkToFit="0" wrapText="1"/>
    </xf>
    <xf borderId="0" fillId="0" fontId="3" numFmtId="0" xfId="0" applyAlignment="1" applyFont="1">
      <alignment horizontal="left"/>
    </xf>
    <xf borderId="0" fillId="0" fontId="3" numFmtId="166" xfId="0" applyAlignment="1" applyFont="1" applyNumberFormat="1">
      <alignment shrinkToFit="0" wrapText="1"/>
    </xf>
    <xf borderId="59" fillId="0" fontId="3" numFmtId="0" xfId="0" applyAlignment="1" applyBorder="1" applyFont="1">
      <alignment horizontal="right" vertical="center"/>
    </xf>
    <xf borderId="155" fillId="14" fontId="8" numFmtId="0" xfId="0" applyAlignment="1" applyBorder="1" applyFill="1" applyFont="1">
      <alignment horizontal="left" vertical="center"/>
    </xf>
    <xf borderId="175" fillId="15" fontId="8" numFmtId="0" xfId="0" applyAlignment="1" applyBorder="1" applyFill="1" applyFont="1">
      <alignment horizontal="left" vertical="center"/>
    </xf>
    <xf borderId="175" fillId="15" fontId="3" numFmtId="0" xfId="0" applyAlignment="1" applyBorder="1" applyFill="1" applyFont="1">
      <alignment horizontal="left" vertical="center"/>
    </xf>
    <xf borderId="61" fillId="0" fontId="3" numFmtId="0" xfId="0" applyAlignment="1" applyBorder="1" applyFont="1">
      <alignment horizontal="left" vertical="center"/>
    </xf>
    <xf borderId="61" fillId="0" fontId="3" numFmtId="0" xfId="0" applyAlignment="1" applyBorder="1" applyFont="1">
      <alignment horizontal="center" vertical="center"/>
    </xf>
    <xf borderId="50" fillId="0" fontId="3" numFmtId="0" xfId="0" applyAlignment="1" applyBorder="1" applyFont="1">
      <alignment horizontal="right" vertical="center"/>
    </xf>
    <xf borderId="176" fillId="14" fontId="8" numFmtId="0" xfId="0" applyAlignment="1" applyBorder="1" applyFill="1" applyFont="1">
      <alignment horizontal="left" vertical="center"/>
    </xf>
    <xf borderId="137" fillId="14" fontId="3" numFmtId="0" xfId="0" applyAlignment="1" applyBorder="1" applyFill="1" applyFont="1">
      <alignment horizontal="left" vertical="center"/>
    </xf>
    <xf borderId="5" fillId="0" fontId="3" numFmtId="0" xfId="0" applyAlignment="1" applyBorder="1" applyFont="1">
      <alignment horizontal="left" vertical="center"/>
    </xf>
    <xf borderId="48" fillId="0" fontId="3" numFmtId="20" xfId="0" applyAlignment="1" applyBorder="1" applyFont="1" applyNumberFormat="1">
      <alignment horizontal="center" vertical="center"/>
    </xf>
    <xf borderId="29" fillId="0" fontId="3" numFmtId="0" xfId="0" applyAlignment="1" applyBorder="1" applyFont="1">
      <alignment vertical="center"/>
    </xf>
    <xf borderId="177" fillId="0" fontId="3" numFmtId="0" xfId="0" applyBorder="1" applyFont="1"/>
    <xf borderId="178" fillId="0" fontId="5" numFmtId="0" xfId="0" applyBorder="1" applyFont="1"/>
    <xf borderId="129" fillId="11" fontId="3" numFmtId="0" xfId="0" applyAlignment="1" applyBorder="1" applyFill="1" applyFont="1">
      <alignment vertical="center"/>
    </xf>
    <xf borderId="179" fillId="0" fontId="4" numFmtId="0" xfId="0" applyBorder="1" applyFont="1"/>
    <xf borderId="180"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oupang.com/vp/products/9644393705?itemId=28820360636&amp;vendorItemId=92379360232&amp;q=%ED%95%9C%EB%B3%B5+%ED%85%8C%EB%94%94%EB%B2%A0%EC%96%B4&amp;searchId=4751b41f6345277&amp;sourceType=search&amp;itemsCount=60&amp;searchRank=18&amp;rank=18&amp;traceId=mtlmkycs" TargetMode="External"/><Relationship Id="rId2" Type="http://schemas.openxmlformats.org/officeDocument/2006/relationships/hyperlink" Target="https://www.coupang.com/vp/products/7318043254?itemId=27744620578&amp;vendorItemId=94705631183&amp;pickType=COU_PICK&amp;q=%EB%B6%80%EC%B1%84&amp;searchId=3fdd492d563136&amp;sourceType=search&amp;itemsCount=60&amp;searchRank=7&amp;rank=7&amp;traceId=mt80cdlv" TargetMode="External"/><Relationship Id="rId3" Type="http://schemas.openxmlformats.org/officeDocument/2006/relationships/hyperlink" Target="https://www.coupang.com/vp/products/8787170058?itemId=23845461133&amp;vendorItemId=92635685675&amp;pickType=COU_PICK&amp;q=%EC%A4%84%EB%8B%A4%EB%A6%AC%EA%B8%B0+%EB%B0%A7%EC%A4%84&amp;searchId=4f54e3b67177886&amp;sourceType=search&amp;itemsCount=36&amp;searchRank=2&amp;rank=2&amp;traceId=mtjp9u5p" TargetMode="External"/><Relationship Id="rId4" Type="http://schemas.openxmlformats.org/officeDocument/2006/relationships/hyperlink" Target="https://www.coupang.com/vp/products/9624877004?itemId=28743603153&amp;vendorItemId=95682830899&amp;q=%ED%8A%B8%EB%9E%99+%EC%BD%98&amp;searchId=510e137a2779059&amp;sourceType=search&amp;itemsCount=36&amp;searchRank=2&amp;rank=2&amp;traceId=mtjpa8ph" TargetMode="External"/><Relationship Id="rId5" Type="http://schemas.openxmlformats.org/officeDocument/2006/relationships/hyperlink" Target="https://www.coupang.com/vp/products/8536337026?itemId=24712001027&amp;vendorItemId=91721359780&amp;q=%ED%98%B8%EB%A3%A8%EB%9D%BC%EA%B8%B0&amp;searchId=63aab6b71950509&amp;sourceType=search&amp;itemsCount=60&amp;searchRank=2&amp;rank=2&amp;traceId=mtk6djzk" TargetMode="External"/><Relationship Id="rId6" Type="http://schemas.openxmlformats.org/officeDocument/2006/relationships/hyperlink" Target="https://www.coupang.com/vp/products/9289511493?itemId=27708409648&amp;vendorItemId=94669986504&amp;q=%EB%BF%85%EB%A7%9D%EC%B9%98&amp;searchId=beeb72d9101969803&amp;sourceType=search&amp;itemsCount=60&amp;searchRank=3&amp;rank=3&amp;traceId=mtk6z30y"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0.71"/>
    <col customWidth="1" min="3" max="3" width="23.71"/>
    <col customWidth="1" min="4" max="4" width="33.29"/>
    <col customWidth="1" min="5" max="5" width="60.43"/>
    <col customWidth="1" min="6" max="6" width="4.71"/>
    <col customWidth="1" min="7" max="26" width="8.71"/>
  </cols>
  <sheetData>
    <row r="1" ht="16.5" customHeight="1"/>
    <row r="2" ht="30.0" customHeight="1">
      <c r="B2" s="2" t="s">
        <v>1</v>
      </c>
      <c r="C2" s="4"/>
      <c r="D2" s="4"/>
      <c r="E2" s="6"/>
      <c r="F2" s="7"/>
    </row>
    <row r="3" ht="300.0" customHeight="1">
      <c r="B3" s="11" t="s">
        <v>2</v>
      </c>
      <c r="C3" s="14" t="s">
        <v>5</v>
      </c>
      <c r="D3" s="15"/>
      <c r="E3" s="17"/>
      <c r="F3" s="19"/>
    </row>
    <row r="4" ht="21.0" customHeight="1">
      <c r="B4" s="23" t="s">
        <v>11</v>
      </c>
      <c r="C4" s="25" t="s">
        <v>14</v>
      </c>
      <c r="D4" s="27" t="s">
        <v>16</v>
      </c>
      <c r="E4" s="32" t="s">
        <v>19</v>
      </c>
      <c r="F4" s="19"/>
    </row>
    <row r="5" ht="48.0" customHeight="1">
      <c r="B5" s="36"/>
      <c r="C5" s="40">
        <v>46232.0</v>
      </c>
      <c r="D5" s="44" t="s">
        <v>25</v>
      </c>
      <c r="E5" s="48" t="s">
        <v>28</v>
      </c>
      <c r="F5" s="19"/>
    </row>
    <row r="6" ht="33.75" customHeight="1">
      <c r="B6" s="36"/>
      <c r="C6" s="40">
        <v>46241.0</v>
      </c>
      <c r="D6" s="44" t="s">
        <v>30</v>
      </c>
      <c r="E6" s="48" t="s">
        <v>32</v>
      </c>
      <c r="F6" s="19"/>
    </row>
    <row r="7" ht="63.0" customHeight="1">
      <c r="B7" s="36"/>
      <c r="C7" s="40">
        <v>46243.0</v>
      </c>
      <c r="D7" s="44" t="s">
        <v>34</v>
      </c>
      <c r="E7" s="48" t="s">
        <v>35</v>
      </c>
      <c r="F7" s="57"/>
    </row>
    <row r="8" ht="33.75" customHeight="1">
      <c r="B8" s="36"/>
      <c r="C8" s="40">
        <v>46248.0</v>
      </c>
      <c r="D8" s="44" t="s">
        <v>36</v>
      </c>
      <c r="E8" s="48" t="s">
        <v>37</v>
      </c>
      <c r="F8" s="35"/>
    </row>
    <row r="9" ht="106.5" customHeight="1">
      <c r="B9" s="36"/>
      <c r="C9" s="40">
        <v>46250.0</v>
      </c>
      <c r="D9" s="44" t="s">
        <v>39</v>
      </c>
      <c r="E9" s="48" t="s">
        <v>40</v>
      </c>
      <c r="F9" s="57"/>
    </row>
    <row r="10" ht="33.75" customHeight="1">
      <c r="B10" s="36"/>
      <c r="C10" s="40">
        <v>46251.0</v>
      </c>
      <c r="D10" s="44" t="s">
        <v>42</v>
      </c>
      <c r="E10" s="48" t="s">
        <v>43</v>
      </c>
      <c r="F10" s="57"/>
    </row>
    <row r="11" ht="19.5" customHeight="1">
      <c r="B11" s="36"/>
      <c r="C11" s="40">
        <v>46252.0</v>
      </c>
      <c r="D11" s="44" t="s">
        <v>44</v>
      </c>
      <c r="E11" s="72" t="s">
        <v>46</v>
      </c>
      <c r="F11" s="57"/>
    </row>
    <row r="12" ht="19.5" customHeight="1">
      <c r="B12" s="36"/>
      <c r="C12" s="40">
        <v>46254.0</v>
      </c>
      <c r="D12" s="44" t="s">
        <v>49</v>
      </c>
      <c r="E12" s="72" t="s">
        <v>51</v>
      </c>
      <c r="F12" s="57"/>
    </row>
    <row r="13" ht="33.75" customHeight="1">
      <c r="B13" s="36"/>
      <c r="C13" s="40">
        <v>46255.0</v>
      </c>
      <c r="D13" s="44" t="s">
        <v>30</v>
      </c>
      <c r="E13" s="48" t="s">
        <v>32</v>
      </c>
      <c r="F13" s="57"/>
    </row>
    <row r="14" ht="77.25" customHeight="1">
      <c r="B14" s="36"/>
      <c r="C14" s="40">
        <v>46259.0</v>
      </c>
      <c r="D14" s="44" t="s">
        <v>53</v>
      </c>
      <c r="E14" s="48" t="s">
        <v>54</v>
      </c>
      <c r="F14" s="57"/>
    </row>
    <row r="15" ht="19.5" customHeight="1">
      <c r="B15" s="36"/>
      <c r="C15" s="40">
        <v>46261.0</v>
      </c>
      <c r="D15" s="44" t="s">
        <v>56</v>
      </c>
      <c r="E15" s="72" t="s">
        <v>58</v>
      </c>
      <c r="F15" s="57"/>
    </row>
    <row r="16" ht="33.75" customHeight="1">
      <c r="B16" s="36"/>
      <c r="C16" s="40">
        <v>46262.0</v>
      </c>
      <c r="D16" s="44" t="s">
        <v>59</v>
      </c>
      <c r="E16" s="48" t="s">
        <v>60</v>
      </c>
      <c r="F16" s="57"/>
    </row>
    <row r="17" ht="19.5" customHeight="1">
      <c r="B17" s="36"/>
      <c r="C17" s="40">
        <v>46264.0</v>
      </c>
      <c r="D17" s="44" t="s">
        <v>62</v>
      </c>
      <c r="E17" s="72" t="s">
        <v>63</v>
      </c>
      <c r="F17" s="57"/>
    </row>
    <row r="18" ht="19.5" customHeight="1">
      <c r="B18" s="36"/>
      <c r="C18" s="40">
        <v>46265.0</v>
      </c>
      <c r="D18" s="44" t="s">
        <v>65</v>
      </c>
      <c r="E18" s="72" t="s">
        <v>67</v>
      </c>
      <c r="F18" s="57"/>
    </row>
    <row r="19" ht="48.0" customHeight="1">
      <c r="B19" s="36"/>
      <c r="C19" s="40">
        <v>46265.0</v>
      </c>
      <c r="D19" s="44" t="s">
        <v>68</v>
      </c>
      <c r="E19" s="48" t="s">
        <v>69</v>
      </c>
      <c r="F19" s="57"/>
    </row>
    <row r="20" ht="19.5" customHeight="1">
      <c r="B20" s="36"/>
      <c r="C20" s="40">
        <v>46268.0</v>
      </c>
      <c r="D20" s="44" t="s">
        <v>70</v>
      </c>
      <c r="E20" s="72" t="s">
        <v>71</v>
      </c>
      <c r="F20" s="35"/>
    </row>
    <row r="21" ht="33.75" customHeight="1">
      <c r="B21" s="36"/>
      <c r="C21" s="40">
        <v>46268.0</v>
      </c>
      <c r="D21" s="44" t="s">
        <v>73</v>
      </c>
      <c r="E21" s="48" t="s">
        <v>74</v>
      </c>
      <c r="F21" s="35"/>
    </row>
    <row r="22" ht="19.5" customHeight="1">
      <c r="B22" s="36"/>
      <c r="C22" s="40">
        <v>46269.0</v>
      </c>
      <c r="D22" s="44" t="s">
        <v>77</v>
      </c>
      <c r="E22" s="72" t="s">
        <v>78</v>
      </c>
      <c r="F22" s="35"/>
    </row>
    <row r="23" ht="19.5" customHeight="1">
      <c r="B23" s="36"/>
      <c r="C23" s="40">
        <v>46269.0</v>
      </c>
      <c r="D23" s="44" t="s">
        <v>81</v>
      </c>
      <c r="E23" s="72" t="s">
        <v>82</v>
      </c>
    </row>
    <row r="24" ht="19.5" customHeight="1">
      <c r="B24" s="36"/>
      <c r="C24" s="40">
        <v>46272.0</v>
      </c>
      <c r="D24" s="44" t="s">
        <v>84</v>
      </c>
      <c r="E24" s="72" t="s">
        <v>85</v>
      </c>
    </row>
    <row r="25" ht="19.5" customHeight="1">
      <c r="B25" s="36"/>
      <c r="C25" s="40">
        <v>46275.0</v>
      </c>
      <c r="D25" s="44" t="s">
        <v>86</v>
      </c>
      <c r="E25" s="72" t="s">
        <v>87</v>
      </c>
    </row>
    <row r="26" ht="19.5" customHeight="1">
      <c r="B26" s="36"/>
      <c r="C26" s="40">
        <v>46276.0</v>
      </c>
      <c r="D26" s="44" t="s">
        <v>89</v>
      </c>
      <c r="E26" s="72" t="s">
        <v>90</v>
      </c>
    </row>
    <row r="27" ht="19.5" customHeight="1">
      <c r="B27" s="36"/>
      <c r="C27" s="40">
        <v>46282.0</v>
      </c>
      <c r="D27" s="44" t="s">
        <v>91</v>
      </c>
      <c r="E27" s="72" t="s">
        <v>92</v>
      </c>
    </row>
    <row r="28" ht="33.75" customHeight="1">
      <c r="B28" s="36"/>
      <c r="C28" s="40">
        <v>46283.0</v>
      </c>
      <c r="D28" s="44" t="s">
        <v>93</v>
      </c>
      <c r="E28" s="48" t="s">
        <v>94</v>
      </c>
    </row>
    <row r="29" ht="33.75" customHeight="1">
      <c r="B29" s="128"/>
      <c r="C29" s="40">
        <v>46285.0</v>
      </c>
      <c r="D29" s="44" t="s">
        <v>95</v>
      </c>
      <c r="E29" s="48" t="s">
        <v>97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B2:E2"/>
    <mergeCell ref="C3:E3"/>
    <mergeCell ref="B4:B2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4.43"/>
    <col customWidth="1" min="3" max="3" width="8.29"/>
    <col customWidth="1" min="4" max="4" width="6.86"/>
    <col customWidth="1" min="5" max="5" width="13.0"/>
    <col customWidth="1" min="6" max="6" width="10.43"/>
    <col customWidth="1" min="7" max="7" width="6.86"/>
    <col customWidth="1" min="8" max="8" width="9.71"/>
    <col customWidth="1" min="9" max="9" width="4.14"/>
    <col customWidth="1" min="10" max="10" width="9.14"/>
    <col customWidth="1" min="11" max="11" width="9.71"/>
    <col customWidth="1" min="12" max="12" width="8.43"/>
    <col customWidth="1" min="13" max="13" width="10.14"/>
    <col customWidth="1" min="14" max="14" width="10.43"/>
    <col customWidth="1" min="15" max="15" width="14.29"/>
    <col customWidth="1" min="16" max="16" width="14.86"/>
    <col customWidth="1" min="17" max="17" width="4.71"/>
    <col customWidth="1" min="18" max="26" width="8.71"/>
  </cols>
  <sheetData>
    <row r="1" ht="15.75" customHeight="1"/>
    <row r="2" ht="19.5" customHeight="1">
      <c r="B2" s="22" t="s">
        <v>9</v>
      </c>
      <c r="C2" s="15"/>
      <c r="D2" s="15"/>
      <c r="E2" s="15"/>
      <c r="F2" s="15"/>
      <c r="G2" s="15"/>
      <c r="H2" s="15"/>
      <c r="I2" s="15"/>
      <c r="J2" s="15"/>
      <c r="K2" s="15"/>
      <c r="L2" s="15"/>
      <c r="M2" s="15"/>
      <c r="N2" s="17"/>
      <c r="O2" s="28" t="s">
        <v>17</v>
      </c>
      <c r="P2" s="30" t="s">
        <v>20</v>
      </c>
    </row>
    <row r="3" ht="25.5" customHeight="1">
      <c r="B3" s="33"/>
      <c r="C3" s="37"/>
      <c r="D3" s="37"/>
      <c r="E3" s="37"/>
      <c r="F3" s="37"/>
      <c r="G3" s="37"/>
      <c r="H3" s="37"/>
      <c r="I3" s="37"/>
      <c r="J3" s="37"/>
      <c r="K3" s="37"/>
      <c r="L3" s="37"/>
      <c r="M3" s="37"/>
      <c r="N3" s="43"/>
      <c r="O3" s="46"/>
      <c r="P3" s="50"/>
    </row>
    <row r="4" ht="35.25" customHeight="1">
      <c r="B4" s="54" t="s">
        <v>31</v>
      </c>
      <c r="C4" s="55" t="s">
        <v>33</v>
      </c>
      <c r="D4" s="58"/>
      <c r="E4" s="58"/>
      <c r="F4" s="58"/>
      <c r="G4" s="58"/>
      <c r="H4" s="58"/>
      <c r="I4" s="58"/>
      <c r="J4" s="58"/>
      <c r="K4" s="59"/>
      <c r="L4" s="61" t="s">
        <v>38</v>
      </c>
      <c r="M4" s="59"/>
      <c r="N4" s="66" t="s">
        <v>41</v>
      </c>
      <c r="O4" s="58"/>
      <c r="P4" s="70"/>
    </row>
    <row r="5" ht="105.0" customHeight="1">
      <c r="B5" s="74" t="s">
        <v>47</v>
      </c>
      <c r="C5" s="78" t="s">
        <v>50</v>
      </c>
      <c r="D5" s="80"/>
      <c r="E5" s="80"/>
      <c r="F5" s="80"/>
      <c r="G5" s="80"/>
      <c r="H5" s="80"/>
      <c r="I5" s="80"/>
      <c r="J5" s="80"/>
      <c r="K5" s="80"/>
      <c r="L5" s="80"/>
      <c r="M5" s="80"/>
      <c r="N5" s="80"/>
      <c r="O5" s="80"/>
      <c r="P5" s="82"/>
    </row>
    <row r="6" ht="22.5" customHeight="1">
      <c r="B6" s="84" t="s">
        <v>55</v>
      </c>
      <c r="C6" s="86" t="s">
        <v>57</v>
      </c>
      <c r="D6" s="89">
        <v>46285.0</v>
      </c>
      <c r="E6" s="53"/>
      <c r="F6" s="39"/>
      <c r="G6" s="92" t="s">
        <v>12</v>
      </c>
      <c r="H6" s="93"/>
      <c r="I6" s="95" t="s">
        <v>66</v>
      </c>
      <c r="J6" s="97"/>
      <c r="K6" s="93"/>
      <c r="L6" s="92" t="s">
        <v>72</v>
      </c>
      <c r="M6" s="93"/>
      <c r="N6" s="102" t="s">
        <v>75</v>
      </c>
      <c r="O6" s="97"/>
      <c r="P6" s="104"/>
    </row>
    <row r="7" ht="22.5" customHeight="1">
      <c r="B7" s="105"/>
      <c r="C7" s="107" t="s">
        <v>80</v>
      </c>
      <c r="D7" s="110" t="s">
        <v>83</v>
      </c>
      <c r="E7" s="113"/>
      <c r="F7" s="115"/>
      <c r="G7" s="118"/>
      <c r="H7" s="119"/>
      <c r="I7" s="118"/>
      <c r="J7" s="37"/>
      <c r="K7" s="119"/>
      <c r="L7" s="118"/>
      <c r="M7" s="119"/>
      <c r="N7" s="118"/>
      <c r="O7" s="37"/>
      <c r="P7" s="43"/>
    </row>
    <row r="8" ht="19.5" customHeight="1">
      <c r="B8" s="129"/>
      <c r="C8" s="141" t="s">
        <v>96</v>
      </c>
      <c r="D8" s="143"/>
      <c r="E8" s="143"/>
      <c r="F8" s="143"/>
      <c r="G8" s="143"/>
      <c r="H8" s="143"/>
      <c r="I8" s="143"/>
      <c r="J8" s="143"/>
      <c r="K8" s="143"/>
      <c r="L8" s="143"/>
      <c r="M8" s="143"/>
      <c r="N8" s="143"/>
      <c r="O8" s="143"/>
      <c r="P8" s="144"/>
    </row>
    <row r="9" ht="19.5" customHeight="1">
      <c r="B9" s="36"/>
      <c r="C9" s="147" t="s">
        <v>14</v>
      </c>
      <c r="D9" s="39"/>
      <c r="E9" s="151" t="s">
        <v>16</v>
      </c>
      <c r="F9" s="53"/>
      <c r="G9" s="53"/>
      <c r="H9" s="53"/>
      <c r="I9" s="39"/>
      <c r="J9" s="151" t="s">
        <v>72</v>
      </c>
      <c r="K9" s="39"/>
      <c r="L9" s="151" t="s">
        <v>29</v>
      </c>
      <c r="M9" s="39"/>
      <c r="N9" s="151" t="s">
        <v>24</v>
      </c>
      <c r="O9" s="53"/>
      <c r="P9" s="157"/>
    </row>
    <row r="10" ht="33.75" customHeight="1">
      <c r="B10" s="36"/>
      <c r="C10" s="160" t="s">
        <v>103</v>
      </c>
      <c r="D10" s="39"/>
      <c r="E10" s="165" t="s">
        <v>104</v>
      </c>
      <c r="F10" s="53"/>
      <c r="G10" s="53"/>
      <c r="H10" s="53"/>
      <c r="I10" s="39"/>
      <c r="J10" s="165" t="s">
        <v>105</v>
      </c>
      <c r="K10" s="39"/>
      <c r="L10" s="165"/>
      <c r="M10" s="39"/>
      <c r="N10" s="169" t="s">
        <v>107</v>
      </c>
      <c r="O10" s="53"/>
      <c r="P10" s="157"/>
    </row>
    <row r="11" ht="19.5" customHeight="1">
      <c r="B11" s="36"/>
      <c r="C11" s="172" t="s">
        <v>103</v>
      </c>
      <c r="D11" s="93"/>
      <c r="E11" s="102" t="s">
        <v>108</v>
      </c>
      <c r="F11" s="97"/>
      <c r="G11" s="97"/>
      <c r="H11" s="97"/>
      <c r="I11" s="93"/>
      <c r="J11" s="102" t="s">
        <v>105</v>
      </c>
      <c r="K11" s="93"/>
      <c r="L11" s="102"/>
      <c r="M11" s="93"/>
      <c r="N11" s="179" t="s">
        <v>110</v>
      </c>
      <c r="O11" s="97"/>
      <c r="P11" s="104"/>
    </row>
    <row r="12" ht="19.5" customHeight="1">
      <c r="B12" s="36"/>
      <c r="C12" s="165" t="s">
        <v>103</v>
      </c>
      <c r="D12" s="39"/>
      <c r="E12" s="165" t="s">
        <v>111</v>
      </c>
      <c r="F12" s="53"/>
      <c r="G12" s="53"/>
      <c r="H12" s="53"/>
      <c r="I12" s="39"/>
      <c r="J12" s="165" t="s">
        <v>105</v>
      </c>
      <c r="K12" s="39"/>
      <c r="L12" s="165"/>
      <c r="M12" s="39"/>
      <c r="N12" s="169" t="s">
        <v>113</v>
      </c>
      <c r="O12" s="53"/>
      <c r="P12" s="157"/>
    </row>
    <row r="13" ht="19.5" customHeight="1">
      <c r="B13" s="36"/>
      <c r="C13" s="57" t="s">
        <v>116</v>
      </c>
      <c r="P13" s="186"/>
    </row>
    <row r="14" ht="19.5" customHeight="1">
      <c r="B14" s="36"/>
      <c r="C14" s="187" t="s">
        <v>12</v>
      </c>
      <c r="D14" s="59"/>
      <c r="E14" s="189" t="s">
        <v>72</v>
      </c>
      <c r="F14" s="58"/>
      <c r="G14" s="189" t="s">
        <v>16</v>
      </c>
      <c r="H14" s="58"/>
      <c r="I14" s="58"/>
      <c r="J14" s="58"/>
      <c r="K14" s="58"/>
      <c r="L14" s="189" t="s">
        <v>118</v>
      </c>
      <c r="M14" s="59"/>
      <c r="N14" s="189" t="s">
        <v>119</v>
      </c>
      <c r="O14" s="58"/>
      <c r="P14" s="70"/>
    </row>
    <row r="15" ht="31.5" customHeight="1">
      <c r="B15" s="36"/>
      <c r="C15" s="194" t="s">
        <v>120</v>
      </c>
      <c r="D15" s="196"/>
      <c r="E15" s="196"/>
      <c r="F15" s="196"/>
      <c r="G15" s="196"/>
      <c r="H15" s="196"/>
      <c r="I15" s="196"/>
      <c r="J15" s="196"/>
      <c r="K15" s="196"/>
      <c r="L15" s="196"/>
      <c r="M15" s="196"/>
      <c r="N15" s="196"/>
      <c r="O15" s="196"/>
      <c r="P15" s="197"/>
    </row>
    <row r="16" ht="70.5" customHeight="1">
      <c r="B16" s="36"/>
      <c r="C16" s="102" t="s">
        <v>122</v>
      </c>
      <c r="D16" s="93"/>
      <c r="E16" s="102" t="s">
        <v>123</v>
      </c>
      <c r="F16" s="93"/>
      <c r="G16" s="165" t="s">
        <v>52</v>
      </c>
      <c r="H16" s="53"/>
      <c r="I16" s="53"/>
      <c r="J16" s="53"/>
      <c r="K16" s="39"/>
      <c r="L16" s="202" t="s">
        <v>125</v>
      </c>
      <c r="M16" s="39"/>
      <c r="N16" s="205" t="s">
        <v>126</v>
      </c>
      <c r="O16" s="53"/>
      <c r="P16" s="157"/>
    </row>
    <row r="17" ht="57.75" customHeight="1">
      <c r="B17" s="36"/>
      <c r="C17" s="176"/>
      <c r="D17" s="103"/>
      <c r="E17" s="176"/>
      <c r="F17" s="103"/>
      <c r="G17" s="78" t="s">
        <v>64</v>
      </c>
      <c r="H17" s="80"/>
      <c r="I17" s="80"/>
      <c r="J17" s="80"/>
      <c r="K17" s="103"/>
      <c r="L17" s="210" t="s">
        <v>102</v>
      </c>
      <c r="M17" s="103"/>
      <c r="N17" s="211" t="s">
        <v>128</v>
      </c>
      <c r="O17" s="80"/>
      <c r="P17" s="82"/>
    </row>
    <row r="18" ht="84.0" customHeight="1">
      <c r="B18" s="36"/>
      <c r="C18" s="165" t="s">
        <v>98</v>
      </c>
      <c r="D18" s="39"/>
      <c r="E18" s="78" t="s">
        <v>129</v>
      </c>
      <c r="F18" s="103"/>
      <c r="G18" s="165" t="s">
        <v>79</v>
      </c>
      <c r="H18" s="53"/>
      <c r="I18" s="53"/>
      <c r="J18" s="53"/>
      <c r="K18" s="39"/>
      <c r="L18" s="202" t="s">
        <v>131</v>
      </c>
      <c r="M18" s="39"/>
      <c r="N18" s="205" t="s">
        <v>132</v>
      </c>
      <c r="O18" s="53"/>
      <c r="P18" s="157"/>
    </row>
    <row r="19" ht="78.75" customHeight="1">
      <c r="B19" s="36"/>
      <c r="C19" s="165" t="s">
        <v>134</v>
      </c>
      <c r="D19" s="39"/>
      <c r="E19" s="78" t="s">
        <v>135</v>
      </c>
      <c r="F19" s="103"/>
      <c r="G19" s="165" t="s">
        <v>137</v>
      </c>
      <c r="H19" s="53"/>
      <c r="I19" s="53"/>
      <c r="J19" s="53"/>
      <c r="K19" s="39"/>
      <c r="L19" s="202" t="s">
        <v>138</v>
      </c>
      <c r="M19" s="39"/>
      <c r="N19" s="205" t="s">
        <v>141</v>
      </c>
      <c r="O19" s="53"/>
      <c r="P19" s="157"/>
    </row>
    <row r="20" ht="37.5" customHeight="1">
      <c r="B20" s="36"/>
      <c r="C20" s="226" t="s">
        <v>142</v>
      </c>
      <c r="D20" s="143"/>
      <c r="E20" s="143"/>
      <c r="F20" s="143"/>
      <c r="G20" s="143"/>
      <c r="H20" s="143"/>
      <c r="I20" s="143"/>
      <c r="J20" s="143"/>
      <c r="K20" s="143"/>
      <c r="L20" s="143"/>
      <c r="M20" s="143"/>
      <c r="N20" s="143"/>
      <c r="O20" s="143"/>
      <c r="P20" s="144"/>
    </row>
    <row r="21" ht="77.25" customHeight="1">
      <c r="B21" s="36"/>
      <c r="C21" s="230">
        <v>0.375</v>
      </c>
      <c r="D21" s="103"/>
      <c r="E21" s="231" t="s">
        <v>151</v>
      </c>
      <c r="F21" s="80"/>
      <c r="G21" s="78" t="s">
        <v>155</v>
      </c>
      <c r="H21" s="80"/>
      <c r="I21" s="80"/>
      <c r="J21" s="80"/>
      <c r="K21" s="80"/>
      <c r="L21" s="210" t="s">
        <v>157</v>
      </c>
      <c r="M21" s="80"/>
      <c r="N21" s="236" t="s">
        <v>158</v>
      </c>
      <c r="O21" s="143"/>
      <c r="P21" s="144"/>
    </row>
    <row r="22" ht="33.75" customHeight="1">
      <c r="B22" s="36"/>
      <c r="C22" s="239" t="s">
        <v>98</v>
      </c>
      <c r="D22" s="77"/>
      <c r="E22" s="160" t="s">
        <v>160</v>
      </c>
      <c r="F22" s="39"/>
      <c r="G22" s="242" t="s">
        <v>163</v>
      </c>
      <c r="H22" s="53"/>
      <c r="I22" s="53"/>
      <c r="J22" s="53"/>
      <c r="K22" s="39"/>
      <c r="L22" s="202" t="s">
        <v>166</v>
      </c>
      <c r="M22" s="39"/>
      <c r="N22" s="250" t="s">
        <v>183</v>
      </c>
      <c r="O22" s="53"/>
      <c r="P22" s="157"/>
    </row>
    <row r="23" ht="57.75" customHeight="1">
      <c r="B23" s="36"/>
      <c r="C23" s="150"/>
      <c r="D23" s="77"/>
      <c r="E23" s="172" t="s">
        <v>185</v>
      </c>
      <c r="F23" s="93"/>
      <c r="G23" s="102" t="s">
        <v>186</v>
      </c>
      <c r="H23" s="97"/>
      <c r="I23" s="97"/>
      <c r="J23" s="97"/>
      <c r="K23" s="93"/>
      <c r="L23" s="202" t="s">
        <v>186</v>
      </c>
      <c r="M23" s="39"/>
      <c r="N23" s="252" t="s">
        <v>193</v>
      </c>
      <c r="O23" s="53"/>
      <c r="P23" s="157"/>
    </row>
    <row r="24" ht="44.25" customHeight="1">
      <c r="B24" s="36"/>
      <c r="C24" s="150"/>
      <c r="D24" s="77"/>
      <c r="E24" s="80"/>
      <c r="F24" s="103"/>
      <c r="G24" s="176"/>
      <c r="H24" s="80"/>
      <c r="I24" s="80"/>
      <c r="J24" s="80"/>
      <c r="K24" s="103"/>
      <c r="L24" s="202" t="s">
        <v>102</v>
      </c>
      <c r="M24" s="39"/>
      <c r="N24" s="253" t="s">
        <v>197</v>
      </c>
      <c r="O24" s="53"/>
      <c r="P24" s="157"/>
    </row>
    <row r="25" ht="30.75" customHeight="1">
      <c r="B25" s="36"/>
      <c r="C25" s="176"/>
      <c r="D25" s="103"/>
      <c r="E25" s="160" t="s">
        <v>199</v>
      </c>
      <c r="F25" s="39"/>
      <c r="G25" s="165" t="s">
        <v>99</v>
      </c>
      <c r="H25" s="53"/>
      <c r="I25" s="53"/>
      <c r="J25" s="53"/>
      <c r="K25" s="39"/>
      <c r="L25" s="202" t="s">
        <v>203</v>
      </c>
      <c r="M25" s="39"/>
      <c r="N25" s="205" t="s">
        <v>205</v>
      </c>
      <c r="O25" s="53"/>
      <c r="P25" s="157"/>
    </row>
    <row r="26" ht="110.25" customHeight="1">
      <c r="B26" s="36"/>
      <c r="C26" s="257" t="s">
        <v>112</v>
      </c>
      <c r="D26" s="259"/>
      <c r="E26" s="239" t="s">
        <v>208</v>
      </c>
      <c r="F26" s="77"/>
      <c r="G26" s="260" t="s">
        <v>211</v>
      </c>
      <c r="K26" s="77"/>
      <c r="L26" s="210" t="s">
        <v>214</v>
      </c>
      <c r="M26" s="103"/>
      <c r="N26" s="261" t="s">
        <v>215</v>
      </c>
      <c r="O26" s="80"/>
      <c r="P26" s="82"/>
    </row>
    <row r="27" ht="136.5" customHeight="1">
      <c r="B27" s="36"/>
      <c r="C27" s="262"/>
      <c r="D27" s="77"/>
      <c r="E27" s="150"/>
      <c r="F27" s="77"/>
      <c r="G27" s="150"/>
      <c r="K27" s="77"/>
      <c r="L27" s="202" t="s">
        <v>121</v>
      </c>
      <c r="M27" s="39"/>
      <c r="N27" s="205" t="s">
        <v>217</v>
      </c>
      <c r="O27" s="53"/>
      <c r="P27" s="157"/>
    </row>
    <row r="28" ht="96.75" customHeight="1">
      <c r="B28" s="36"/>
      <c r="C28" s="262"/>
      <c r="D28" s="77"/>
      <c r="E28" s="150"/>
      <c r="F28" s="77"/>
      <c r="G28" s="150"/>
      <c r="K28" s="77"/>
      <c r="L28" s="202" t="s">
        <v>127</v>
      </c>
      <c r="M28" s="39"/>
      <c r="N28" s="205" t="s">
        <v>220</v>
      </c>
      <c r="O28" s="53"/>
      <c r="P28" s="157"/>
    </row>
    <row r="29" ht="96.75" customHeight="1">
      <c r="B29" s="36"/>
      <c r="C29" s="262"/>
      <c r="D29" s="77"/>
      <c r="E29" s="150"/>
      <c r="F29" s="77"/>
      <c r="G29" s="150"/>
      <c r="K29" s="77"/>
      <c r="L29" s="202" t="s">
        <v>133</v>
      </c>
      <c r="M29" s="39"/>
      <c r="N29" s="266" t="s">
        <v>224</v>
      </c>
      <c r="O29" s="53"/>
      <c r="P29" s="157"/>
    </row>
    <row r="30" ht="44.25" customHeight="1">
      <c r="B30" s="36"/>
      <c r="C30" s="262"/>
      <c r="D30" s="77"/>
      <c r="E30" s="150"/>
      <c r="F30" s="77"/>
      <c r="G30" s="150"/>
      <c r="K30" s="77"/>
      <c r="L30" s="267" t="s">
        <v>152</v>
      </c>
      <c r="M30" s="93"/>
      <c r="N30" s="269" t="s">
        <v>227</v>
      </c>
      <c r="O30" s="97"/>
      <c r="P30" s="104"/>
    </row>
    <row r="31" ht="44.25" customHeight="1">
      <c r="B31" s="36"/>
      <c r="C31" s="270"/>
      <c r="D31" s="119"/>
      <c r="E31" s="118"/>
      <c r="F31" s="119"/>
      <c r="G31" s="118"/>
      <c r="H31" s="37"/>
      <c r="I31" s="37"/>
      <c r="J31" s="37"/>
      <c r="K31" s="119"/>
      <c r="L31" s="271" t="s">
        <v>144</v>
      </c>
      <c r="M31" s="115"/>
      <c r="N31" s="274" t="s">
        <v>233</v>
      </c>
      <c r="O31" s="113"/>
      <c r="P31" s="275"/>
    </row>
    <row r="32" ht="39.0" customHeight="1">
      <c r="B32" s="36"/>
      <c r="C32" s="276" t="s">
        <v>236</v>
      </c>
      <c r="D32" s="143"/>
      <c r="E32" s="143"/>
      <c r="F32" s="143"/>
      <c r="G32" s="143"/>
      <c r="H32" s="143"/>
      <c r="I32" s="143"/>
      <c r="J32" s="143"/>
      <c r="K32" s="143"/>
      <c r="L32" s="143"/>
      <c r="M32" s="143"/>
      <c r="N32" s="143"/>
      <c r="O32" s="143"/>
      <c r="P32" s="144"/>
    </row>
    <row r="33" ht="30.75" customHeight="1">
      <c r="B33" s="36"/>
      <c r="C33" s="57" t="s">
        <v>240</v>
      </c>
      <c r="D33" s="77"/>
      <c r="E33" s="239" t="s">
        <v>208</v>
      </c>
      <c r="F33" s="77"/>
      <c r="G33" s="260" t="s">
        <v>244</v>
      </c>
      <c r="K33" s="77"/>
      <c r="L33" s="281" t="s">
        <v>245</v>
      </c>
      <c r="M33" s="77"/>
      <c r="N33" s="284" t="s">
        <v>247</v>
      </c>
      <c r="P33" s="186"/>
    </row>
    <row r="34" ht="30.75" customHeight="1">
      <c r="B34" s="36"/>
      <c r="D34" s="77"/>
      <c r="E34" s="150"/>
      <c r="F34" s="77"/>
      <c r="G34" s="150"/>
      <c r="K34" s="77"/>
      <c r="L34" s="202" t="s">
        <v>175</v>
      </c>
      <c r="M34" s="39"/>
      <c r="N34" s="205" t="s">
        <v>251</v>
      </c>
      <c r="O34" s="53"/>
      <c r="P34" s="157"/>
    </row>
    <row r="35" ht="102.75" customHeight="1">
      <c r="B35" s="36"/>
      <c r="D35" s="77"/>
      <c r="E35" s="150"/>
      <c r="F35" s="77"/>
      <c r="G35" s="150"/>
      <c r="K35" s="77"/>
      <c r="L35" s="210" t="s">
        <v>256</v>
      </c>
      <c r="M35" s="103"/>
      <c r="N35" s="211" t="s">
        <v>258</v>
      </c>
      <c r="O35" s="80"/>
      <c r="P35" s="82"/>
    </row>
    <row r="36" ht="94.5" customHeight="1">
      <c r="B36" s="36"/>
      <c r="D36" s="77"/>
      <c r="E36" s="150"/>
      <c r="F36" s="77"/>
      <c r="G36" s="150"/>
      <c r="K36" s="77"/>
      <c r="L36" s="202" t="s">
        <v>263</v>
      </c>
      <c r="M36" s="39"/>
      <c r="N36" s="205" t="s">
        <v>265</v>
      </c>
      <c r="O36" s="53"/>
      <c r="P36" s="157"/>
    </row>
    <row r="37" ht="63.0" customHeight="1">
      <c r="B37" s="36"/>
      <c r="C37" s="37"/>
      <c r="D37" s="119"/>
      <c r="E37" s="118"/>
      <c r="F37" s="119"/>
      <c r="G37" s="118"/>
      <c r="H37" s="37"/>
      <c r="I37" s="37"/>
      <c r="J37" s="37"/>
      <c r="K37" s="119"/>
      <c r="L37" s="271" t="s">
        <v>268</v>
      </c>
      <c r="M37" s="115"/>
      <c r="N37" s="289" t="s">
        <v>269</v>
      </c>
      <c r="O37" s="113"/>
      <c r="P37" s="275"/>
    </row>
    <row r="38" ht="77.25" customHeight="1">
      <c r="B38" s="36"/>
      <c r="C38" s="239" t="s">
        <v>272</v>
      </c>
      <c r="D38" s="77"/>
      <c r="E38" s="239" t="s">
        <v>208</v>
      </c>
      <c r="F38" s="77"/>
      <c r="G38" s="239" t="s">
        <v>230</v>
      </c>
      <c r="K38" s="77"/>
      <c r="L38" s="210" t="s">
        <v>275</v>
      </c>
      <c r="M38" s="103"/>
      <c r="N38" s="211" t="s">
        <v>277</v>
      </c>
      <c r="O38" s="80"/>
      <c r="P38" s="82"/>
    </row>
    <row r="39" ht="44.25" customHeight="1">
      <c r="B39" s="36"/>
      <c r="C39" s="118"/>
      <c r="D39" s="119"/>
      <c r="E39" s="118"/>
      <c r="F39" s="119"/>
      <c r="G39" s="118"/>
      <c r="H39" s="37"/>
      <c r="I39" s="37"/>
      <c r="J39" s="37"/>
      <c r="K39" s="119"/>
      <c r="L39" s="271" t="s">
        <v>262</v>
      </c>
      <c r="M39" s="115"/>
      <c r="N39" s="274" t="s">
        <v>279</v>
      </c>
      <c r="O39" s="113"/>
      <c r="P39" s="275"/>
    </row>
    <row r="40" ht="44.25" customHeight="1">
      <c r="B40" s="36"/>
      <c r="C40" s="239" t="s">
        <v>280</v>
      </c>
      <c r="D40" s="77"/>
      <c r="E40" s="239" t="s">
        <v>208</v>
      </c>
      <c r="F40" s="77"/>
      <c r="G40" s="239" t="s">
        <v>283</v>
      </c>
      <c r="K40" s="77"/>
      <c r="L40" s="210" t="s">
        <v>285</v>
      </c>
      <c r="M40" s="103"/>
      <c r="N40" s="211" t="s">
        <v>286</v>
      </c>
      <c r="O40" s="80"/>
      <c r="P40" s="82"/>
    </row>
    <row r="41" ht="110.25" customHeight="1">
      <c r="B41" s="36"/>
      <c r="C41" s="150"/>
      <c r="D41" s="77"/>
      <c r="E41" s="150"/>
      <c r="F41" s="77"/>
      <c r="G41" s="150"/>
      <c r="K41" s="77"/>
      <c r="L41" s="202" t="s">
        <v>278</v>
      </c>
      <c r="M41" s="39"/>
      <c r="N41" s="205" t="s">
        <v>289</v>
      </c>
      <c r="O41" s="53"/>
      <c r="P41" s="157"/>
    </row>
    <row r="42" ht="96.75" customHeight="1">
      <c r="B42" s="36"/>
      <c r="C42" s="150"/>
      <c r="D42" s="77"/>
      <c r="E42" s="150"/>
      <c r="F42" s="77"/>
      <c r="G42" s="150"/>
      <c r="K42" s="77"/>
      <c r="L42" s="202" t="s">
        <v>281</v>
      </c>
      <c r="M42" s="39"/>
      <c r="N42" s="205" t="s">
        <v>295</v>
      </c>
      <c r="O42" s="53"/>
      <c r="P42" s="157"/>
    </row>
    <row r="43" ht="136.5" customHeight="1">
      <c r="B43" s="36"/>
      <c r="C43" s="150"/>
      <c r="D43" s="77"/>
      <c r="E43" s="150"/>
      <c r="F43" s="77"/>
      <c r="G43" s="150"/>
      <c r="K43" s="77"/>
      <c r="L43" s="202" t="s">
        <v>298</v>
      </c>
      <c r="M43" s="39"/>
      <c r="N43" s="205" t="s">
        <v>300</v>
      </c>
      <c r="O43" s="53"/>
      <c r="P43" s="157"/>
    </row>
    <row r="44" ht="30.75" customHeight="1">
      <c r="B44" s="36"/>
      <c r="C44" s="150"/>
      <c r="D44" s="77"/>
      <c r="E44" s="150"/>
      <c r="F44" s="77"/>
      <c r="G44" s="150"/>
      <c r="K44" s="77"/>
      <c r="L44" s="202" t="s">
        <v>296</v>
      </c>
      <c r="M44" s="39"/>
      <c r="N44" s="205" t="s">
        <v>303</v>
      </c>
      <c r="O44" s="53"/>
      <c r="P44" s="157"/>
    </row>
    <row r="45" ht="110.25" customHeight="1">
      <c r="B45" s="36"/>
      <c r="C45" s="150"/>
      <c r="D45" s="77"/>
      <c r="E45" s="150"/>
      <c r="F45" s="77"/>
      <c r="G45" s="176"/>
      <c r="H45" s="80"/>
      <c r="I45" s="80"/>
      <c r="J45" s="80"/>
      <c r="K45" s="103"/>
      <c r="L45" s="267" t="s">
        <v>304</v>
      </c>
      <c r="M45" s="93"/>
      <c r="N45" s="269" t="s">
        <v>307</v>
      </c>
      <c r="O45" s="97"/>
      <c r="P45" s="104"/>
    </row>
    <row r="46" ht="64.5" customHeight="1">
      <c r="B46" s="36"/>
      <c r="C46" s="150"/>
      <c r="D46" s="77"/>
      <c r="E46" s="150"/>
      <c r="F46" s="77"/>
      <c r="G46" s="239" t="s">
        <v>309</v>
      </c>
      <c r="K46" s="77"/>
      <c r="L46" s="297" t="s">
        <v>285</v>
      </c>
      <c r="M46" s="299"/>
      <c r="N46" s="300" t="s">
        <v>314</v>
      </c>
      <c r="O46" s="301"/>
      <c r="P46" s="302"/>
    </row>
    <row r="47" ht="57.75" customHeight="1">
      <c r="B47" s="36"/>
      <c r="C47" s="150"/>
      <c r="D47" s="77"/>
      <c r="E47" s="150"/>
      <c r="F47" s="77"/>
      <c r="G47" s="150"/>
      <c r="K47" s="77"/>
      <c r="L47" s="202" t="s">
        <v>278</v>
      </c>
      <c r="M47" s="39"/>
      <c r="N47" s="205" t="s">
        <v>317</v>
      </c>
      <c r="O47" s="53"/>
      <c r="P47" s="157"/>
    </row>
    <row r="48" ht="110.25" customHeight="1">
      <c r="B48" s="36"/>
      <c r="C48" s="150"/>
      <c r="D48" s="77"/>
      <c r="E48" s="150"/>
      <c r="F48" s="77"/>
      <c r="G48" s="150"/>
      <c r="K48" s="77"/>
      <c r="L48" s="202" t="s">
        <v>281</v>
      </c>
      <c r="M48" s="39"/>
      <c r="N48" s="205" t="s">
        <v>322</v>
      </c>
      <c r="O48" s="53"/>
      <c r="P48" s="157"/>
    </row>
    <row r="49" ht="19.5" customHeight="1">
      <c r="B49" s="36"/>
      <c r="C49" s="150"/>
      <c r="D49" s="77"/>
      <c r="E49" s="150"/>
      <c r="F49" s="77"/>
      <c r="G49" s="150"/>
      <c r="K49" s="77"/>
      <c r="L49" s="202" t="s">
        <v>298</v>
      </c>
      <c r="M49" s="39"/>
      <c r="N49" s="205" t="s">
        <v>298</v>
      </c>
      <c r="O49" s="53"/>
      <c r="P49" s="157"/>
    </row>
    <row r="50" ht="19.5" customHeight="1">
      <c r="B50" s="36"/>
      <c r="C50" s="150"/>
      <c r="D50" s="77"/>
      <c r="E50" s="150"/>
      <c r="F50" s="77"/>
      <c r="G50" s="150"/>
      <c r="K50" s="77"/>
      <c r="L50" s="202" t="s">
        <v>327</v>
      </c>
      <c r="M50" s="39"/>
      <c r="N50" s="205" t="s">
        <v>329</v>
      </c>
      <c r="O50" s="53"/>
      <c r="P50" s="157"/>
    </row>
    <row r="51" ht="30.75" customHeight="1">
      <c r="B51" s="36"/>
      <c r="C51" s="118"/>
      <c r="D51" s="119"/>
      <c r="E51" s="118"/>
      <c r="F51" s="119"/>
      <c r="G51" s="118"/>
      <c r="H51" s="37"/>
      <c r="I51" s="37"/>
      <c r="J51" s="37"/>
      <c r="K51" s="119"/>
      <c r="L51" s="271" t="s">
        <v>332</v>
      </c>
      <c r="M51" s="115"/>
      <c r="N51" s="274" t="s">
        <v>334</v>
      </c>
      <c r="O51" s="113"/>
      <c r="P51" s="275"/>
    </row>
    <row r="52" ht="136.5" customHeight="1">
      <c r="B52" s="36"/>
      <c r="C52" s="239" t="s">
        <v>335</v>
      </c>
      <c r="D52" s="77"/>
      <c r="E52" s="239" t="s">
        <v>208</v>
      </c>
      <c r="F52" s="77"/>
      <c r="G52" s="303" t="s">
        <v>320</v>
      </c>
      <c r="H52" s="309"/>
      <c r="I52" s="309"/>
      <c r="J52" s="309"/>
      <c r="K52" s="259"/>
      <c r="L52" s="210" t="s">
        <v>340</v>
      </c>
      <c r="M52" s="103"/>
      <c r="N52" s="310" t="s">
        <v>341</v>
      </c>
      <c r="O52" s="80"/>
      <c r="P52" s="82"/>
    </row>
    <row r="53" ht="176.25" customHeight="1">
      <c r="B53" s="36"/>
      <c r="C53" s="150"/>
      <c r="D53" s="77"/>
      <c r="E53" s="150"/>
      <c r="F53" s="77"/>
      <c r="G53" s="150"/>
      <c r="K53" s="77"/>
      <c r="L53" s="281" t="s">
        <v>337</v>
      </c>
      <c r="M53" s="77"/>
      <c r="N53" s="284" t="s">
        <v>345</v>
      </c>
      <c r="P53" s="186"/>
    </row>
    <row r="54" ht="123.75" customHeight="1">
      <c r="B54" s="36"/>
      <c r="C54" s="150"/>
      <c r="D54" s="77"/>
      <c r="E54" s="150"/>
      <c r="F54" s="77"/>
      <c r="G54" s="150"/>
      <c r="K54" s="77"/>
      <c r="L54" s="281" t="s">
        <v>339</v>
      </c>
      <c r="M54" s="77"/>
      <c r="N54" s="284" t="s">
        <v>347</v>
      </c>
      <c r="P54" s="186"/>
    </row>
    <row r="55" ht="44.25" customHeight="1">
      <c r="B55" s="36"/>
      <c r="C55" s="150"/>
      <c r="D55" s="77"/>
      <c r="E55" s="150"/>
      <c r="F55" s="77"/>
      <c r="G55" s="315"/>
      <c r="H55" s="316"/>
      <c r="I55" s="316"/>
      <c r="J55" s="316"/>
      <c r="K55" s="318"/>
      <c r="L55" s="319" t="s">
        <v>352</v>
      </c>
      <c r="M55" s="321"/>
      <c r="N55" s="322" t="s">
        <v>355</v>
      </c>
      <c r="O55" s="323"/>
      <c r="P55" s="325"/>
    </row>
    <row r="56" ht="30.75" customHeight="1">
      <c r="B56" s="36"/>
      <c r="C56" s="150"/>
      <c r="D56" s="77"/>
      <c r="E56" s="150"/>
      <c r="F56" s="77"/>
      <c r="G56" s="239" t="s">
        <v>357</v>
      </c>
      <c r="H56" s="77"/>
      <c r="I56" s="327" t="s">
        <v>360</v>
      </c>
      <c r="J56" s="309"/>
      <c r="K56" s="259"/>
      <c r="L56" s="210" t="s">
        <v>353</v>
      </c>
      <c r="M56" s="103"/>
      <c r="N56" s="211" t="s">
        <v>364</v>
      </c>
      <c r="O56" s="80"/>
      <c r="P56" s="82"/>
    </row>
    <row r="57" ht="84.0" customHeight="1">
      <c r="B57" s="36"/>
      <c r="C57" s="150"/>
      <c r="D57" s="77"/>
      <c r="E57" s="150"/>
      <c r="F57" s="77"/>
      <c r="G57" s="150"/>
      <c r="H57" s="77"/>
      <c r="I57" s="150"/>
      <c r="K57" s="77"/>
      <c r="L57" s="202" t="s">
        <v>367</v>
      </c>
      <c r="M57" s="39"/>
      <c r="N57" s="205" t="s">
        <v>369</v>
      </c>
      <c r="O57" s="53"/>
      <c r="P57" s="157"/>
    </row>
    <row r="58" ht="120.75" customHeight="1">
      <c r="B58" s="36"/>
      <c r="C58" s="150"/>
      <c r="D58" s="77"/>
      <c r="E58" s="150"/>
      <c r="F58" s="77"/>
      <c r="G58" s="150"/>
      <c r="H58" s="77"/>
      <c r="I58" s="150"/>
      <c r="K58" s="77"/>
      <c r="L58" s="202" t="s">
        <v>368</v>
      </c>
      <c r="M58" s="39"/>
      <c r="N58" s="205" t="s">
        <v>373</v>
      </c>
      <c r="O58" s="53"/>
      <c r="P58" s="157"/>
    </row>
    <row r="59" ht="289.5" customHeight="1">
      <c r="B59" s="36"/>
      <c r="C59" s="150"/>
      <c r="D59" s="77"/>
      <c r="E59" s="150"/>
      <c r="F59" s="77"/>
      <c r="G59" s="150"/>
      <c r="H59" s="77"/>
      <c r="I59" s="150"/>
      <c r="K59" s="77"/>
      <c r="L59" s="202" t="s">
        <v>372</v>
      </c>
      <c r="M59" s="39"/>
      <c r="N59" s="205" t="s">
        <v>375</v>
      </c>
      <c r="O59" s="53"/>
      <c r="P59" s="157"/>
    </row>
    <row r="60" ht="70.5" customHeight="1">
      <c r="B60" s="36"/>
      <c r="C60" s="150"/>
      <c r="D60" s="77"/>
      <c r="E60" s="150"/>
      <c r="F60" s="77"/>
      <c r="G60" s="150"/>
      <c r="H60" s="77"/>
      <c r="I60" s="315"/>
      <c r="J60" s="316"/>
      <c r="K60" s="318"/>
      <c r="L60" s="319" t="s">
        <v>332</v>
      </c>
      <c r="M60" s="321"/>
      <c r="N60" s="322" t="s">
        <v>376</v>
      </c>
      <c r="O60" s="323"/>
      <c r="P60" s="325"/>
    </row>
    <row r="61" ht="30.75" customHeight="1">
      <c r="B61" s="36"/>
      <c r="C61" s="150"/>
      <c r="D61" s="77"/>
      <c r="E61" s="150"/>
      <c r="F61" s="77"/>
      <c r="G61" s="150"/>
      <c r="H61" s="77"/>
      <c r="I61" s="327" t="s">
        <v>377</v>
      </c>
      <c r="J61" s="309"/>
      <c r="K61" s="259"/>
      <c r="L61" s="210" t="s">
        <v>353</v>
      </c>
      <c r="M61" s="103"/>
      <c r="N61" s="211" t="s">
        <v>364</v>
      </c>
      <c r="O61" s="80"/>
      <c r="P61" s="82"/>
    </row>
    <row r="62" ht="84.0" customHeight="1">
      <c r="B62" s="36"/>
      <c r="C62" s="150"/>
      <c r="D62" s="77"/>
      <c r="E62" s="150"/>
      <c r="F62" s="77"/>
      <c r="G62" s="150"/>
      <c r="H62" s="77"/>
      <c r="I62" s="150"/>
      <c r="K62" s="77"/>
      <c r="L62" s="202" t="s">
        <v>367</v>
      </c>
      <c r="M62" s="39"/>
      <c r="N62" s="205" t="s">
        <v>369</v>
      </c>
      <c r="O62" s="53"/>
      <c r="P62" s="157"/>
    </row>
    <row r="63" ht="30.75" customHeight="1">
      <c r="B63" s="36"/>
      <c r="C63" s="150"/>
      <c r="D63" s="77"/>
      <c r="E63" s="150"/>
      <c r="F63" s="77"/>
      <c r="G63" s="150"/>
      <c r="H63" s="77"/>
      <c r="I63" s="150"/>
      <c r="K63" s="77"/>
      <c r="L63" s="202" t="s">
        <v>368</v>
      </c>
      <c r="M63" s="39"/>
      <c r="N63" s="205" t="s">
        <v>379</v>
      </c>
      <c r="O63" s="53"/>
      <c r="P63" s="157"/>
    </row>
    <row r="64" ht="409.5" customHeight="1">
      <c r="B64" s="36"/>
      <c r="C64" s="150"/>
      <c r="D64" s="77"/>
      <c r="E64" s="150"/>
      <c r="F64" s="77"/>
      <c r="G64" s="150"/>
      <c r="H64" s="77"/>
      <c r="I64" s="150"/>
      <c r="K64" s="77"/>
      <c r="L64" s="202" t="s">
        <v>372</v>
      </c>
      <c r="M64" s="39"/>
      <c r="N64" s="205" t="s">
        <v>380</v>
      </c>
      <c r="O64" s="53"/>
      <c r="P64" s="157"/>
    </row>
    <row r="65" ht="57.75" customHeight="1">
      <c r="B65" s="36"/>
      <c r="C65" s="150"/>
      <c r="D65" s="77"/>
      <c r="E65" s="150"/>
      <c r="F65" s="77"/>
      <c r="G65" s="150"/>
      <c r="H65" s="77"/>
      <c r="I65" s="176"/>
      <c r="J65" s="80"/>
      <c r="K65" s="103"/>
      <c r="L65" s="267" t="s">
        <v>332</v>
      </c>
      <c r="M65" s="93"/>
      <c r="N65" s="269" t="s">
        <v>382</v>
      </c>
      <c r="O65" s="97"/>
      <c r="P65" s="104"/>
    </row>
    <row r="66" ht="364.5" customHeight="1">
      <c r="B66" s="36"/>
      <c r="C66" s="150"/>
      <c r="D66" s="77"/>
      <c r="E66" s="150"/>
      <c r="F66" s="77"/>
      <c r="G66" s="150"/>
      <c r="H66" s="77"/>
      <c r="I66" s="333" t="s">
        <v>383</v>
      </c>
      <c r="J66" s="309"/>
      <c r="K66" s="259"/>
      <c r="L66" s="297" t="s">
        <v>372</v>
      </c>
      <c r="M66" s="299"/>
      <c r="N66" s="334" t="s">
        <v>385</v>
      </c>
      <c r="O66" s="301"/>
      <c r="P66" s="302"/>
    </row>
    <row r="67" ht="123.75" customHeight="1">
      <c r="B67" s="36"/>
      <c r="C67" s="150"/>
      <c r="D67" s="77"/>
      <c r="E67" s="150"/>
      <c r="F67" s="77"/>
      <c r="G67" s="176"/>
      <c r="H67" s="103"/>
      <c r="I67" s="176"/>
      <c r="J67" s="80"/>
      <c r="K67" s="103"/>
      <c r="L67" s="267" t="s">
        <v>388</v>
      </c>
      <c r="M67" s="93"/>
      <c r="N67" s="338" t="s">
        <v>389</v>
      </c>
      <c r="O67" s="53"/>
      <c r="P67" s="157"/>
    </row>
    <row r="68" ht="30.75" customHeight="1">
      <c r="B68" s="36"/>
      <c r="C68" s="150"/>
      <c r="D68" s="77"/>
      <c r="E68" s="150"/>
      <c r="F68" s="77"/>
      <c r="G68" s="340" t="s">
        <v>392</v>
      </c>
      <c r="H68" s="259"/>
      <c r="I68" s="327" t="s">
        <v>394</v>
      </c>
      <c r="J68" s="309"/>
      <c r="K68" s="259"/>
      <c r="L68" s="297" t="s">
        <v>353</v>
      </c>
      <c r="M68" s="299"/>
      <c r="N68" s="211" t="s">
        <v>364</v>
      </c>
      <c r="O68" s="80"/>
      <c r="P68" s="82"/>
    </row>
    <row r="69" ht="70.5" customHeight="1">
      <c r="B69" s="36"/>
      <c r="C69" s="150"/>
      <c r="D69" s="77"/>
      <c r="E69" s="150"/>
      <c r="F69" s="77"/>
      <c r="G69" s="150"/>
      <c r="H69" s="77"/>
      <c r="I69" s="150"/>
      <c r="K69" s="77"/>
      <c r="L69" s="202" t="s">
        <v>367</v>
      </c>
      <c r="M69" s="39"/>
      <c r="N69" s="205" t="s">
        <v>398</v>
      </c>
      <c r="O69" s="53"/>
      <c r="P69" s="157"/>
    </row>
    <row r="70" ht="30.75" customHeight="1">
      <c r="B70" s="36"/>
      <c r="C70" s="150"/>
      <c r="D70" s="77"/>
      <c r="E70" s="150"/>
      <c r="F70" s="77"/>
      <c r="G70" s="150"/>
      <c r="H70" s="77"/>
      <c r="I70" s="150"/>
      <c r="K70" s="77"/>
      <c r="L70" s="202" t="s">
        <v>368</v>
      </c>
      <c r="M70" s="39"/>
      <c r="N70" s="205" t="s">
        <v>404</v>
      </c>
      <c r="O70" s="53"/>
      <c r="P70" s="157"/>
    </row>
    <row r="71" ht="409.5" customHeight="1">
      <c r="B71" s="36"/>
      <c r="C71" s="150"/>
      <c r="D71" s="77"/>
      <c r="E71" s="150"/>
      <c r="F71" s="77"/>
      <c r="G71" s="150"/>
      <c r="H71" s="77"/>
      <c r="I71" s="150"/>
      <c r="K71" s="77"/>
      <c r="L71" s="202" t="s">
        <v>372</v>
      </c>
      <c r="M71" s="39"/>
      <c r="N71" s="205" t="s">
        <v>408</v>
      </c>
      <c r="O71" s="53"/>
      <c r="P71" s="157"/>
    </row>
    <row r="72" ht="30.75" customHeight="1">
      <c r="B72" s="36"/>
      <c r="C72" s="176"/>
      <c r="D72" s="103"/>
      <c r="E72" s="176"/>
      <c r="F72" s="103"/>
      <c r="G72" s="118"/>
      <c r="H72" s="119"/>
      <c r="I72" s="118"/>
      <c r="J72" s="37"/>
      <c r="K72" s="119"/>
      <c r="L72" s="267" t="s">
        <v>332</v>
      </c>
      <c r="M72" s="93"/>
      <c r="N72" s="269" t="s">
        <v>409</v>
      </c>
      <c r="O72" s="97"/>
      <c r="P72" s="104"/>
    </row>
    <row r="73" ht="33.75" customHeight="1">
      <c r="B73" s="36"/>
      <c r="C73" s="239" t="s">
        <v>410</v>
      </c>
      <c r="D73" s="77"/>
      <c r="E73" s="239" t="s">
        <v>208</v>
      </c>
      <c r="F73" s="77"/>
      <c r="G73" s="357" t="s">
        <v>411</v>
      </c>
      <c r="H73" s="15"/>
      <c r="I73" s="15"/>
      <c r="J73" s="15"/>
      <c r="K73" s="359"/>
      <c r="L73" s="363" t="s">
        <v>413</v>
      </c>
      <c r="M73" s="59"/>
      <c r="N73" s="366" t="s">
        <v>417</v>
      </c>
      <c r="O73" s="58"/>
      <c r="P73" s="70"/>
    </row>
    <row r="74" ht="70.5" customHeight="1">
      <c r="B74" s="36"/>
      <c r="C74" s="150"/>
      <c r="D74" s="77"/>
      <c r="E74" s="150"/>
      <c r="F74" s="77"/>
      <c r="G74" s="150"/>
      <c r="K74" s="77"/>
      <c r="L74" s="267" t="s">
        <v>418</v>
      </c>
      <c r="M74" s="93"/>
      <c r="N74" s="205" t="s">
        <v>419</v>
      </c>
      <c r="O74" s="53"/>
      <c r="P74" s="157"/>
    </row>
    <row r="75" ht="22.5" customHeight="1">
      <c r="B75" s="36"/>
      <c r="C75" s="150"/>
      <c r="D75" s="77"/>
      <c r="E75" s="176"/>
      <c r="F75" s="103"/>
      <c r="G75" s="176"/>
      <c r="H75" s="80"/>
      <c r="I75" s="80"/>
      <c r="J75" s="80"/>
      <c r="K75" s="103"/>
      <c r="L75" s="176"/>
      <c r="M75" s="103"/>
      <c r="N75" s="205" t="s">
        <v>421</v>
      </c>
      <c r="O75" s="53"/>
      <c r="P75" s="157"/>
    </row>
    <row r="76" ht="19.5" customHeight="1">
      <c r="B76" s="36"/>
      <c r="C76" s="118"/>
      <c r="D76" s="119"/>
      <c r="E76" s="378" t="s">
        <v>426</v>
      </c>
      <c r="F76" s="113"/>
      <c r="G76" s="113"/>
      <c r="H76" s="113"/>
      <c r="I76" s="113"/>
      <c r="J76" s="113"/>
      <c r="K76" s="113"/>
      <c r="L76" s="113"/>
      <c r="M76" s="113"/>
      <c r="N76" s="113"/>
      <c r="O76" s="113"/>
      <c r="P76" s="275"/>
    </row>
    <row r="77" ht="126.0" customHeight="1">
      <c r="B77" s="36"/>
      <c r="C77" s="239" t="s">
        <v>427</v>
      </c>
      <c r="D77" s="77"/>
      <c r="E77" s="239" t="s">
        <v>208</v>
      </c>
      <c r="F77" s="77"/>
      <c r="G77" s="303" t="s">
        <v>431</v>
      </c>
      <c r="H77" s="309"/>
      <c r="I77" s="309"/>
      <c r="J77" s="309"/>
      <c r="K77" s="259"/>
      <c r="L77" s="210" t="s">
        <v>340</v>
      </c>
      <c r="M77" s="103"/>
      <c r="N77" s="211" t="s">
        <v>341</v>
      </c>
      <c r="O77" s="80"/>
      <c r="P77" s="82"/>
    </row>
    <row r="78" ht="176.25" customHeight="1">
      <c r="B78" s="36"/>
      <c r="C78" s="150"/>
      <c r="D78" s="77"/>
      <c r="E78" s="150"/>
      <c r="F78" s="77"/>
      <c r="G78" s="150"/>
      <c r="K78" s="77"/>
      <c r="L78" s="281" t="s">
        <v>337</v>
      </c>
      <c r="M78" s="77"/>
      <c r="N78" s="284" t="s">
        <v>345</v>
      </c>
      <c r="P78" s="186"/>
    </row>
    <row r="79" ht="123.75" customHeight="1">
      <c r="B79" s="36"/>
      <c r="C79" s="150"/>
      <c r="D79" s="77"/>
      <c r="E79" s="150"/>
      <c r="F79" s="77"/>
      <c r="G79" s="150"/>
      <c r="K79" s="77"/>
      <c r="L79" s="281" t="s">
        <v>339</v>
      </c>
      <c r="M79" s="77"/>
      <c r="N79" s="284" t="s">
        <v>347</v>
      </c>
      <c r="P79" s="186"/>
    </row>
    <row r="80" ht="44.25" customHeight="1">
      <c r="B80" s="36"/>
      <c r="C80" s="150"/>
      <c r="D80" s="77"/>
      <c r="E80" s="150"/>
      <c r="F80" s="77"/>
      <c r="G80" s="176"/>
      <c r="H80" s="80"/>
      <c r="I80" s="80"/>
      <c r="J80" s="80"/>
      <c r="K80" s="103"/>
      <c r="L80" s="386" t="s">
        <v>352</v>
      </c>
      <c r="M80" s="321"/>
      <c r="N80" s="390" t="s">
        <v>355</v>
      </c>
      <c r="O80" s="323"/>
      <c r="P80" s="325"/>
    </row>
    <row r="81" ht="19.5" customHeight="1">
      <c r="B81" s="36"/>
      <c r="C81" s="150"/>
      <c r="D81" s="77"/>
      <c r="E81" s="150"/>
      <c r="F81" s="77"/>
      <c r="G81" s="239" t="s">
        <v>437</v>
      </c>
      <c r="I81" s="327" t="s">
        <v>438</v>
      </c>
      <c r="J81" s="309"/>
      <c r="K81" s="259"/>
      <c r="L81" s="297" t="s">
        <v>353</v>
      </c>
      <c r="M81" s="299"/>
      <c r="N81" s="300" t="s">
        <v>439</v>
      </c>
      <c r="O81" s="301"/>
      <c r="P81" s="302"/>
    </row>
    <row r="82" ht="84.0" customHeight="1">
      <c r="B82" s="36"/>
      <c r="C82" s="150"/>
      <c r="D82" s="77"/>
      <c r="E82" s="150"/>
      <c r="F82" s="77"/>
      <c r="G82" s="150"/>
      <c r="I82" s="150"/>
      <c r="K82" s="77"/>
      <c r="L82" s="202" t="s">
        <v>367</v>
      </c>
      <c r="M82" s="39"/>
      <c r="N82" s="205" t="s">
        <v>369</v>
      </c>
      <c r="O82" s="53"/>
      <c r="P82" s="157"/>
    </row>
    <row r="83" ht="19.5" customHeight="1">
      <c r="B83" s="36"/>
      <c r="C83" s="150"/>
      <c r="D83" s="77"/>
      <c r="E83" s="150"/>
      <c r="F83" s="77"/>
      <c r="G83" s="150"/>
      <c r="I83" s="150"/>
      <c r="K83" s="77"/>
      <c r="L83" s="202" t="s">
        <v>368</v>
      </c>
      <c r="M83" s="39"/>
      <c r="N83" s="205" t="s">
        <v>441</v>
      </c>
      <c r="O83" s="53"/>
      <c r="P83" s="157"/>
    </row>
    <row r="84" ht="409.5" customHeight="1">
      <c r="B84" s="36"/>
      <c r="C84" s="150"/>
      <c r="D84" s="77"/>
      <c r="E84" s="150"/>
      <c r="F84" s="77"/>
      <c r="G84" s="150"/>
      <c r="I84" s="150"/>
      <c r="K84" s="77"/>
      <c r="L84" s="202" t="s">
        <v>372</v>
      </c>
      <c r="M84" s="39"/>
      <c r="N84" s="205" t="s">
        <v>444</v>
      </c>
      <c r="O84" s="53"/>
      <c r="P84" s="157"/>
    </row>
    <row r="85" ht="57.75" customHeight="1">
      <c r="B85" s="36"/>
      <c r="C85" s="150"/>
      <c r="D85" s="77"/>
      <c r="E85" s="150"/>
      <c r="F85" s="77"/>
      <c r="G85" s="150"/>
      <c r="I85" s="315"/>
      <c r="J85" s="316"/>
      <c r="K85" s="318"/>
      <c r="L85" s="319" t="s">
        <v>332</v>
      </c>
      <c r="M85" s="321"/>
      <c r="N85" s="322" t="s">
        <v>446</v>
      </c>
      <c r="O85" s="323"/>
      <c r="P85" s="325"/>
    </row>
    <row r="86" ht="19.5" customHeight="1">
      <c r="B86" s="36"/>
      <c r="C86" s="150"/>
      <c r="D86" s="77"/>
      <c r="E86" s="150"/>
      <c r="F86" s="77"/>
      <c r="G86" s="150"/>
      <c r="I86" s="327" t="s">
        <v>448</v>
      </c>
      <c r="J86" s="309"/>
      <c r="K86" s="259"/>
      <c r="L86" s="210" t="s">
        <v>353</v>
      </c>
      <c r="M86" s="103"/>
      <c r="N86" s="211" t="s">
        <v>439</v>
      </c>
      <c r="O86" s="80"/>
      <c r="P86" s="82"/>
    </row>
    <row r="87" ht="84.0" customHeight="1">
      <c r="B87" s="36"/>
      <c r="C87" s="150"/>
      <c r="D87" s="77"/>
      <c r="E87" s="150"/>
      <c r="F87" s="77"/>
      <c r="G87" s="150"/>
      <c r="I87" s="150"/>
      <c r="K87" s="77"/>
      <c r="L87" s="202" t="s">
        <v>367</v>
      </c>
      <c r="M87" s="39"/>
      <c r="N87" s="205" t="s">
        <v>369</v>
      </c>
      <c r="O87" s="53"/>
      <c r="P87" s="157"/>
    </row>
    <row r="88" ht="30.75" customHeight="1">
      <c r="B88" s="36"/>
      <c r="C88" s="150"/>
      <c r="D88" s="77"/>
      <c r="E88" s="150"/>
      <c r="F88" s="77"/>
      <c r="G88" s="150"/>
      <c r="I88" s="150"/>
      <c r="K88" s="77"/>
      <c r="L88" s="202" t="s">
        <v>368</v>
      </c>
      <c r="M88" s="39"/>
      <c r="N88" s="205" t="s">
        <v>453</v>
      </c>
      <c r="O88" s="53"/>
      <c r="P88" s="157"/>
    </row>
    <row r="89" ht="400.5" customHeight="1">
      <c r="B89" s="36"/>
      <c r="C89" s="150"/>
      <c r="D89" s="77"/>
      <c r="E89" s="150"/>
      <c r="F89" s="77"/>
      <c r="G89" s="150"/>
      <c r="I89" s="150"/>
      <c r="K89" s="77"/>
      <c r="L89" s="267" t="s">
        <v>372</v>
      </c>
      <c r="M89" s="93"/>
      <c r="N89" s="269" t="s">
        <v>456</v>
      </c>
      <c r="O89" s="97"/>
      <c r="P89" s="104"/>
    </row>
    <row r="90" ht="57.75" customHeight="1">
      <c r="B90" s="36"/>
      <c r="C90" s="150"/>
      <c r="D90" s="77"/>
      <c r="E90" s="150"/>
      <c r="F90" s="77"/>
      <c r="G90" s="150"/>
      <c r="I90" s="315"/>
      <c r="J90" s="316"/>
      <c r="K90" s="318"/>
      <c r="L90" s="281" t="s">
        <v>459</v>
      </c>
      <c r="M90" s="77"/>
      <c r="N90" s="284" t="s">
        <v>460</v>
      </c>
      <c r="P90" s="186"/>
    </row>
    <row r="91" ht="360.75" customHeight="1">
      <c r="B91" s="36"/>
      <c r="C91" s="150"/>
      <c r="D91" s="77"/>
      <c r="E91" s="150"/>
      <c r="F91" s="77"/>
      <c r="G91" s="150"/>
      <c r="I91" s="333" t="s">
        <v>462</v>
      </c>
      <c r="J91" s="309"/>
      <c r="K91" s="259"/>
      <c r="L91" s="210" t="s">
        <v>372</v>
      </c>
      <c r="M91" s="103"/>
      <c r="N91" s="398" t="s">
        <v>466</v>
      </c>
      <c r="O91" s="80"/>
      <c r="P91" s="82"/>
    </row>
    <row r="92" ht="123.75" customHeight="1">
      <c r="B92" s="36"/>
      <c r="C92" s="150"/>
      <c r="D92" s="77"/>
      <c r="E92" s="150"/>
      <c r="F92" s="77"/>
      <c r="G92" s="315"/>
      <c r="H92" s="316"/>
      <c r="I92" s="315"/>
      <c r="J92" s="316"/>
      <c r="K92" s="318"/>
      <c r="L92" s="319" t="s">
        <v>332</v>
      </c>
      <c r="M92" s="321"/>
      <c r="N92" s="400" t="s">
        <v>389</v>
      </c>
      <c r="O92" s="323"/>
      <c r="P92" s="325"/>
    </row>
    <row r="93" ht="19.5" customHeight="1">
      <c r="B93" s="36"/>
      <c r="C93" s="150"/>
      <c r="D93" s="77"/>
      <c r="E93" s="150"/>
      <c r="F93" s="77"/>
      <c r="G93" s="401" t="s">
        <v>471</v>
      </c>
      <c r="H93" s="402"/>
      <c r="I93" s="327" t="s">
        <v>473</v>
      </c>
      <c r="J93" s="309"/>
      <c r="K93" s="259"/>
      <c r="L93" s="210" t="s">
        <v>353</v>
      </c>
      <c r="M93" s="103"/>
      <c r="N93" s="211" t="s">
        <v>439</v>
      </c>
      <c r="O93" s="80"/>
      <c r="P93" s="82"/>
    </row>
    <row r="94" ht="70.5" customHeight="1">
      <c r="B94" s="36"/>
      <c r="C94" s="150"/>
      <c r="D94" s="77"/>
      <c r="E94" s="150"/>
      <c r="F94" s="77"/>
      <c r="G94" s="150"/>
      <c r="H94" s="403"/>
      <c r="I94" s="150"/>
      <c r="K94" s="77"/>
      <c r="L94" s="202" t="s">
        <v>367</v>
      </c>
      <c r="M94" s="39"/>
      <c r="N94" s="205" t="s">
        <v>477</v>
      </c>
      <c r="O94" s="53"/>
      <c r="P94" s="157"/>
    </row>
    <row r="95" ht="30.75" customHeight="1">
      <c r="B95" s="36"/>
      <c r="C95" s="150"/>
      <c r="D95" s="77"/>
      <c r="E95" s="150"/>
      <c r="F95" s="77"/>
      <c r="G95" s="150"/>
      <c r="H95" s="403"/>
      <c r="I95" s="150"/>
      <c r="K95" s="77"/>
      <c r="L95" s="202" t="s">
        <v>368</v>
      </c>
      <c r="M95" s="39"/>
      <c r="N95" s="205" t="s">
        <v>479</v>
      </c>
      <c r="O95" s="53"/>
      <c r="P95" s="157"/>
    </row>
    <row r="96" ht="242.25" customHeight="1">
      <c r="B96" s="36"/>
      <c r="C96" s="150"/>
      <c r="D96" s="77"/>
      <c r="E96" s="150"/>
      <c r="F96" s="77"/>
      <c r="G96" s="150"/>
      <c r="H96" s="403"/>
      <c r="I96" s="150"/>
      <c r="K96" s="77"/>
      <c r="L96" s="202" t="s">
        <v>372</v>
      </c>
      <c r="M96" s="39"/>
      <c r="N96" s="205" t="s">
        <v>482</v>
      </c>
      <c r="O96" s="53"/>
      <c r="P96" s="157"/>
    </row>
    <row r="97" ht="44.25" customHeight="1">
      <c r="B97" s="36"/>
      <c r="C97" s="150"/>
      <c r="D97" s="77"/>
      <c r="E97" s="150"/>
      <c r="F97" s="77"/>
      <c r="G97" s="150"/>
      <c r="H97" s="403"/>
      <c r="I97" s="150"/>
      <c r="K97" s="77"/>
      <c r="L97" s="271" t="s">
        <v>332</v>
      </c>
      <c r="M97" s="115"/>
      <c r="N97" s="274" t="s">
        <v>484</v>
      </c>
      <c r="O97" s="113"/>
      <c r="P97" s="275"/>
    </row>
    <row r="98" ht="33.75" customHeight="1">
      <c r="B98" s="36"/>
      <c r="C98" s="118"/>
      <c r="D98" s="119"/>
      <c r="E98" s="118"/>
      <c r="F98" s="119"/>
      <c r="G98" s="118"/>
      <c r="H98" s="404"/>
      <c r="I98" s="118"/>
      <c r="J98" s="37"/>
      <c r="K98" s="119"/>
      <c r="L98" s="271" t="s">
        <v>486</v>
      </c>
      <c r="M98" s="115"/>
      <c r="N98" s="274" t="s">
        <v>487</v>
      </c>
      <c r="O98" s="113"/>
      <c r="P98" s="275"/>
    </row>
    <row r="99" ht="30.75" customHeight="1">
      <c r="B99" s="36"/>
      <c r="C99" s="239" t="s">
        <v>489</v>
      </c>
      <c r="D99" s="77"/>
      <c r="E99" s="239" t="s">
        <v>208</v>
      </c>
      <c r="F99" s="77"/>
      <c r="G99" s="239" t="s">
        <v>491</v>
      </c>
      <c r="K99" s="77"/>
      <c r="L99" s="210" t="s">
        <v>493</v>
      </c>
      <c r="M99" s="103"/>
      <c r="N99" s="211" t="s">
        <v>494</v>
      </c>
      <c r="O99" s="80"/>
      <c r="P99" s="82"/>
    </row>
    <row r="100" ht="96.75" customHeight="1">
      <c r="B100" s="36"/>
      <c r="C100" s="118"/>
      <c r="D100" s="119"/>
      <c r="E100" s="118"/>
      <c r="F100" s="119"/>
      <c r="G100" s="118"/>
      <c r="H100" s="37"/>
      <c r="I100" s="37"/>
      <c r="J100" s="37"/>
      <c r="K100" s="119"/>
      <c r="L100" s="271" t="s">
        <v>496</v>
      </c>
      <c r="M100" s="115"/>
      <c r="N100" s="274" t="s">
        <v>498</v>
      </c>
      <c r="O100" s="113"/>
      <c r="P100" s="275"/>
    </row>
    <row r="101" ht="84.0" customHeight="1">
      <c r="B101" s="128"/>
      <c r="C101" s="407" t="s">
        <v>500</v>
      </c>
      <c r="D101" s="119"/>
      <c r="E101" s="407" t="s">
        <v>208</v>
      </c>
      <c r="F101" s="119"/>
      <c r="G101" s="407" t="s">
        <v>501</v>
      </c>
      <c r="H101" s="37"/>
      <c r="I101" s="37"/>
      <c r="J101" s="37"/>
      <c r="K101" s="119"/>
      <c r="L101" s="408" t="s">
        <v>502</v>
      </c>
      <c r="M101" s="119"/>
      <c r="N101" s="409" t="s">
        <v>503</v>
      </c>
      <c r="O101" s="37"/>
      <c r="P101" s="43"/>
    </row>
    <row r="102" ht="33.75" customHeight="1">
      <c r="A102" s="3"/>
      <c r="B102" s="410" t="s">
        <v>504</v>
      </c>
      <c r="C102" s="411">
        <v>0.7708333333333334</v>
      </c>
      <c r="D102" s="119"/>
      <c r="E102" s="412" t="s">
        <v>505</v>
      </c>
      <c r="F102" s="119"/>
      <c r="G102" s="412" t="s">
        <v>506</v>
      </c>
      <c r="H102" s="37"/>
      <c r="I102" s="37"/>
      <c r="J102" s="37"/>
      <c r="K102" s="119"/>
      <c r="L102" s="413" t="s">
        <v>507</v>
      </c>
      <c r="M102" s="119"/>
      <c r="N102" s="414" t="s">
        <v>508</v>
      </c>
      <c r="O102" s="37"/>
      <c r="P102" s="43"/>
      <c r="Q102" s="416"/>
    </row>
    <row r="103" ht="106.5" customHeight="1">
      <c r="A103" s="3"/>
      <c r="B103" s="36"/>
      <c r="C103" s="417" t="s">
        <v>509</v>
      </c>
      <c r="P103" s="186"/>
    </row>
    <row r="104" ht="19.5" customHeight="1">
      <c r="A104" s="3"/>
      <c r="B104" s="128"/>
      <c r="C104" s="420" t="s">
        <v>510</v>
      </c>
      <c r="D104" s="15"/>
      <c r="E104" s="15"/>
      <c r="F104" s="15"/>
      <c r="G104" s="15"/>
      <c r="H104" s="15"/>
      <c r="I104" s="15"/>
      <c r="J104" s="15"/>
      <c r="K104" s="15"/>
      <c r="L104" s="15"/>
      <c r="M104" s="15"/>
      <c r="N104" s="15"/>
      <c r="O104" s="15"/>
      <c r="P104" s="17"/>
      <c r="Q104" s="421"/>
    </row>
    <row r="105" ht="19.5" customHeight="1">
      <c r="A105" s="3"/>
      <c r="B105" s="3"/>
      <c r="C105" s="423"/>
      <c r="D105" s="425"/>
      <c r="E105" s="425"/>
      <c r="F105" s="425"/>
      <c r="G105" s="425"/>
      <c r="H105" s="425"/>
      <c r="I105" s="425"/>
      <c r="J105" s="425"/>
      <c r="K105" s="425"/>
      <c r="L105" s="425"/>
      <c r="M105" s="425"/>
      <c r="N105" s="425"/>
      <c r="O105" s="425"/>
      <c r="P105" s="425"/>
    </row>
    <row r="106" ht="23.25" customHeight="1">
      <c r="A106" s="3"/>
      <c r="B106" s="3"/>
      <c r="C106" s="428"/>
      <c r="D106" s="8"/>
      <c r="E106" s="8"/>
      <c r="F106" s="8"/>
      <c r="G106" s="8"/>
      <c r="H106" s="8"/>
      <c r="I106" s="8"/>
      <c r="J106" s="8"/>
      <c r="K106" s="8"/>
      <c r="L106" s="8"/>
      <c r="M106" s="8"/>
      <c r="N106" s="8"/>
      <c r="O106" s="8"/>
      <c r="P106" s="8"/>
    </row>
    <row r="107" ht="13.5" customHeight="1">
      <c r="A107" s="3"/>
      <c r="B107" s="3"/>
      <c r="C107" s="428"/>
      <c r="D107" s="8"/>
      <c r="E107" s="8"/>
      <c r="F107" s="8"/>
      <c r="G107" s="8"/>
      <c r="H107" s="8"/>
      <c r="I107" s="8"/>
      <c r="J107" s="8"/>
      <c r="K107" s="8"/>
      <c r="L107" s="8"/>
      <c r="M107" s="8"/>
      <c r="N107" s="8"/>
      <c r="O107" s="8"/>
      <c r="P107" s="8"/>
    </row>
    <row r="108" ht="16.5" customHeight="1">
      <c r="A108" s="3"/>
      <c r="B108" s="3"/>
      <c r="C108" s="431"/>
    </row>
    <row r="109" ht="16.5" customHeight="1">
      <c r="A109" s="3"/>
      <c r="B109" s="3"/>
      <c r="C109" s="431"/>
    </row>
    <row r="110" ht="16.5" customHeight="1">
      <c r="A110" s="3"/>
      <c r="B110" s="3"/>
      <c r="C110" s="431"/>
    </row>
    <row r="111" ht="16.5" customHeight="1">
      <c r="B111" s="3"/>
      <c r="C111" s="431"/>
    </row>
    <row r="112" ht="16.5" customHeight="1">
      <c r="B112" s="3"/>
      <c r="C112" s="3"/>
    </row>
    <row r="113" ht="16.5" customHeight="1">
      <c r="B113" s="3"/>
      <c r="C113" s="3"/>
    </row>
    <row r="114" ht="16.5" customHeight="1">
      <c r="B114" s="3"/>
      <c r="C114" s="431"/>
    </row>
    <row r="115" ht="16.5" customHeight="1">
      <c r="B115" s="3"/>
      <c r="C115" s="3"/>
    </row>
    <row r="116" ht="16.5" customHeight="1">
      <c r="B116" s="3"/>
      <c r="C116" s="3"/>
    </row>
    <row r="117" ht="16.5" customHeight="1">
      <c r="C117" s="431"/>
    </row>
    <row r="118" ht="16.5" customHeight="1">
      <c r="F118" s="3"/>
    </row>
    <row r="119" ht="16.5" customHeight="1">
      <c r="C119" s="3"/>
      <c r="F119" s="3"/>
    </row>
    <row r="120" ht="16.5" customHeight="1">
      <c r="C120" s="431"/>
    </row>
    <row r="121" ht="16.5" customHeight="1">
      <c r="C121" s="431"/>
    </row>
    <row r="122" ht="16.5" customHeight="1">
      <c r="C122" s="431"/>
    </row>
    <row r="123" ht="16.5" customHeight="1">
      <c r="C123" s="431"/>
    </row>
    <row r="124" ht="16.5" customHeight="1">
      <c r="C124" s="3"/>
    </row>
    <row r="125" ht="16.5" customHeight="1">
      <c r="C125" s="3"/>
      <c r="F125" s="3"/>
    </row>
    <row r="126" ht="16.5" customHeight="1">
      <c r="C126" s="3"/>
    </row>
    <row r="127" ht="16.5" customHeight="1">
      <c r="C127" s="431"/>
    </row>
    <row r="128" ht="16.5" customHeight="1">
      <c r="C128" s="3"/>
    </row>
    <row r="129" ht="16.5" customHeight="1">
      <c r="C129" s="3"/>
      <c r="F129" s="3"/>
    </row>
    <row r="130" ht="16.5" customHeight="1"/>
    <row r="131" ht="16.5" customHeight="1"/>
    <row r="132" ht="16.5" customHeight="1">
      <c r="B132" s="421"/>
      <c r="C132" s="435"/>
      <c r="Q132" s="421"/>
    </row>
    <row r="133" ht="16.5" customHeight="1"/>
    <row r="134" ht="16.5" customHeight="1">
      <c r="C134" s="421"/>
      <c r="D134" s="421"/>
      <c r="E134" s="421"/>
      <c r="F134" s="421"/>
      <c r="G134" s="421"/>
      <c r="H134" s="421"/>
      <c r="I134" s="421"/>
      <c r="J134" s="421"/>
      <c r="K134" s="421"/>
      <c r="L134" s="421"/>
      <c r="M134" s="436"/>
      <c r="N134" s="421"/>
      <c r="P134" s="421"/>
    </row>
    <row r="135" ht="16.5" customHeight="1">
      <c r="C135" s="435"/>
    </row>
    <row r="136" ht="16.5" customHeight="1">
      <c r="I136" s="428"/>
      <c r="J136" s="428"/>
      <c r="M136" s="428"/>
      <c r="N136" s="428"/>
      <c r="O136" s="428"/>
    </row>
    <row r="137" ht="16.5" customHeight="1">
      <c r="I137" s="428"/>
      <c r="J137" s="428"/>
      <c r="M137" s="428"/>
      <c r="N137" s="428"/>
      <c r="O137" s="428"/>
    </row>
    <row r="138" ht="16.5" customHeight="1">
      <c r="I138" s="428"/>
      <c r="J138" s="428"/>
      <c r="M138" s="428"/>
      <c r="N138" s="428"/>
      <c r="O138" s="428"/>
    </row>
    <row r="139" ht="16.5" customHeight="1">
      <c r="I139" s="428"/>
      <c r="J139" s="428"/>
      <c r="M139" s="428"/>
      <c r="N139" s="428"/>
      <c r="O139" s="428"/>
    </row>
    <row r="140" ht="16.5" customHeight="1">
      <c r="I140" s="428"/>
      <c r="J140" s="428"/>
      <c r="M140" s="428"/>
      <c r="N140" s="428"/>
      <c r="O140" s="428"/>
    </row>
    <row r="141" ht="16.5" customHeight="1">
      <c r="I141" s="428"/>
      <c r="J141" s="428"/>
      <c r="M141" s="428"/>
      <c r="N141" s="428"/>
      <c r="O141" s="428"/>
    </row>
    <row r="142" ht="16.5" customHeight="1">
      <c r="I142" s="428"/>
      <c r="J142" s="428"/>
      <c r="M142" s="428"/>
      <c r="N142" s="428"/>
      <c r="O142" s="428"/>
    </row>
    <row r="143" ht="16.5" customHeight="1">
      <c r="I143" s="428"/>
      <c r="J143" s="428"/>
      <c r="M143" s="428"/>
      <c r="N143" s="428"/>
      <c r="O143" s="428"/>
    </row>
    <row r="144" ht="16.5" customHeight="1">
      <c r="I144" s="428"/>
      <c r="J144" s="428"/>
      <c r="M144" s="428"/>
      <c r="N144" s="428"/>
      <c r="O144" s="428"/>
    </row>
    <row r="145" ht="16.5" customHeight="1">
      <c r="I145" s="428"/>
      <c r="J145" s="428"/>
      <c r="M145" s="428"/>
      <c r="N145" s="428"/>
      <c r="O145" s="428"/>
    </row>
    <row r="146" ht="16.5" customHeight="1">
      <c r="I146" s="428"/>
      <c r="J146" s="428"/>
      <c r="M146" s="428"/>
      <c r="N146" s="428"/>
      <c r="O146" s="428"/>
    </row>
    <row r="147" ht="16.5" customHeight="1">
      <c r="I147" s="428"/>
      <c r="J147" s="428"/>
      <c r="M147" s="428"/>
      <c r="N147" s="428"/>
      <c r="O147" s="428"/>
    </row>
    <row r="148" ht="16.5" customHeight="1">
      <c r="I148" s="428"/>
      <c r="J148" s="428"/>
      <c r="M148" s="428"/>
      <c r="N148" s="428"/>
      <c r="O148" s="428"/>
    </row>
    <row r="149" ht="16.5" customHeight="1">
      <c r="I149" s="428"/>
      <c r="J149" s="428"/>
      <c r="M149" s="428"/>
      <c r="N149" s="428"/>
      <c r="O149" s="428"/>
    </row>
    <row r="150" ht="16.5" customHeight="1">
      <c r="I150" s="428"/>
      <c r="J150" s="428"/>
      <c r="M150" s="428"/>
      <c r="N150" s="428"/>
      <c r="O150" s="428"/>
    </row>
    <row r="151" ht="16.5" customHeight="1">
      <c r="I151" s="428"/>
      <c r="J151" s="428"/>
      <c r="M151" s="428"/>
      <c r="N151" s="428"/>
      <c r="O151" s="428"/>
    </row>
    <row r="152" ht="16.5" customHeight="1">
      <c r="I152" s="428"/>
      <c r="J152" s="428"/>
      <c r="M152" s="428"/>
      <c r="N152" s="428"/>
      <c r="O152" s="428"/>
    </row>
    <row r="153" ht="16.5" customHeight="1">
      <c r="I153" s="428"/>
      <c r="J153" s="428"/>
      <c r="M153" s="428"/>
      <c r="N153" s="428"/>
      <c r="O153" s="428"/>
    </row>
    <row r="154" ht="16.5" customHeight="1">
      <c r="I154" s="428"/>
      <c r="J154" s="428"/>
      <c r="M154" s="428"/>
      <c r="N154" s="428"/>
      <c r="O154" s="428"/>
    </row>
    <row r="155" ht="16.5" customHeight="1">
      <c r="I155" s="428"/>
      <c r="J155" s="428"/>
      <c r="M155" s="428"/>
      <c r="N155" s="428"/>
      <c r="O155" s="428"/>
    </row>
    <row r="156" ht="16.5" customHeight="1">
      <c r="I156" s="428"/>
      <c r="J156" s="428"/>
      <c r="M156" s="428"/>
      <c r="N156" s="428"/>
      <c r="O156" s="428"/>
    </row>
    <row r="157" ht="16.5" customHeight="1">
      <c r="I157" s="428"/>
      <c r="J157" s="428"/>
      <c r="M157" s="428"/>
      <c r="N157" s="428"/>
      <c r="O157" s="428"/>
    </row>
    <row r="158" ht="16.5" customHeight="1">
      <c r="I158" s="428"/>
      <c r="J158" s="428"/>
      <c r="M158" s="428"/>
      <c r="N158" s="428"/>
      <c r="O158" s="428"/>
    </row>
    <row r="159" ht="16.5" customHeight="1">
      <c r="I159" s="428"/>
      <c r="J159" s="428"/>
      <c r="M159" s="428"/>
      <c r="N159" s="428"/>
      <c r="O159" s="428"/>
    </row>
    <row r="160" ht="16.5" customHeight="1">
      <c r="I160" s="428"/>
      <c r="J160" s="428"/>
      <c r="M160" s="428"/>
      <c r="N160" s="428"/>
      <c r="O160" s="428"/>
    </row>
    <row r="161" ht="16.5" customHeight="1">
      <c r="I161" s="428"/>
      <c r="J161" s="428"/>
      <c r="M161" s="428"/>
      <c r="N161" s="428"/>
      <c r="O161" s="428"/>
    </row>
    <row r="162" ht="16.5" customHeight="1">
      <c r="I162" s="428"/>
      <c r="J162" s="428"/>
      <c r="M162" s="428"/>
      <c r="N162" s="428"/>
      <c r="O162" s="428"/>
    </row>
    <row r="163" ht="16.5" customHeight="1">
      <c r="I163" s="428"/>
      <c r="J163" s="428"/>
      <c r="M163" s="428"/>
      <c r="N163" s="428"/>
      <c r="O163" s="428"/>
    </row>
    <row r="164" ht="16.5" customHeight="1">
      <c r="I164" s="428"/>
      <c r="J164" s="428"/>
      <c r="M164" s="428"/>
      <c r="N164" s="428"/>
      <c r="O164" s="428"/>
    </row>
    <row r="165" ht="16.5" customHeight="1">
      <c r="I165" s="428"/>
      <c r="J165" s="428"/>
      <c r="M165" s="428"/>
      <c r="N165" s="428"/>
      <c r="O165" s="428"/>
    </row>
    <row r="166" ht="16.5" customHeight="1">
      <c r="I166" s="428"/>
      <c r="J166" s="428"/>
      <c r="M166" s="428"/>
      <c r="N166" s="428"/>
      <c r="O166" s="428"/>
    </row>
    <row r="167" ht="16.5" customHeight="1">
      <c r="I167" s="428"/>
      <c r="J167" s="428"/>
      <c r="M167" s="428"/>
      <c r="N167" s="428"/>
      <c r="O167" s="428"/>
    </row>
    <row r="168" ht="16.5" customHeight="1">
      <c r="I168" s="428"/>
      <c r="J168" s="428"/>
      <c r="M168" s="428"/>
      <c r="N168" s="428"/>
      <c r="O168" s="428"/>
    </row>
    <row r="169" ht="16.5" customHeight="1">
      <c r="I169" s="428"/>
      <c r="J169" s="428"/>
      <c r="M169" s="428"/>
      <c r="N169" s="428"/>
      <c r="O169" s="428"/>
    </row>
    <row r="170" ht="16.5" customHeight="1">
      <c r="I170" s="428"/>
      <c r="J170" s="428"/>
      <c r="M170" s="428"/>
      <c r="N170" s="428"/>
      <c r="O170" s="428"/>
    </row>
    <row r="171" ht="16.5" customHeight="1">
      <c r="I171" s="428"/>
      <c r="J171" s="428"/>
      <c r="M171" s="428"/>
      <c r="N171" s="428"/>
      <c r="O171" s="428"/>
    </row>
    <row r="172" ht="16.5" customHeight="1">
      <c r="I172" s="428"/>
      <c r="J172" s="428"/>
      <c r="M172" s="428"/>
      <c r="N172" s="428"/>
      <c r="O172" s="428"/>
    </row>
    <row r="173" ht="16.5" customHeight="1">
      <c r="I173" s="428"/>
      <c r="J173" s="428"/>
      <c r="M173" s="428"/>
      <c r="N173" s="428"/>
      <c r="O173" s="428"/>
    </row>
    <row r="174" ht="16.5" customHeight="1">
      <c r="I174" s="428"/>
      <c r="J174" s="428"/>
      <c r="M174" s="428"/>
      <c r="N174" s="428"/>
      <c r="O174" s="428"/>
    </row>
    <row r="175" ht="16.5" customHeight="1">
      <c r="I175" s="428"/>
      <c r="J175" s="428"/>
      <c r="M175" s="428"/>
      <c r="N175" s="428"/>
      <c r="O175" s="428"/>
    </row>
    <row r="176" ht="16.5" customHeight="1">
      <c r="I176" s="428"/>
      <c r="J176" s="428"/>
      <c r="M176" s="428"/>
      <c r="N176" s="428"/>
      <c r="O176" s="428"/>
    </row>
    <row r="177" ht="16.5" customHeight="1">
      <c r="I177" s="428"/>
      <c r="J177" s="428"/>
      <c r="M177" s="428"/>
      <c r="N177" s="428"/>
      <c r="O177" s="428"/>
    </row>
    <row r="178" ht="16.5" customHeight="1">
      <c r="I178" s="428"/>
      <c r="J178" s="428"/>
      <c r="M178" s="428"/>
      <c r="N178" s="428"/>
      <c r="O178" s="428"/>
    </row>
    <row r="179" ht="16.5" customHeight="1">
      <c r="I179" s="428"/>
      <c r="J179" s="428"/>
      <c r="M179" s="428"/>
      <c r="N179" s="428"/>
      <c r="O179" s="428"/>
    </row>
    <row r="180" ht="16.5" customHeight="1">
      <c r="I180" s="428"/>
      <c r="J180" s="428"/>
      <c r="M180" s="428"/>
      <c r="N180" s="428"/>
      <c r="O180" s="428"/>
    </row>
    <row r="181" ht="16.5" customHeight="1">
      <c r="I181" s="428"/>
      <c r="J181" s="428"/>
      <c r="M181" s="428"/>
      <c r="N181" s="428"/>
      <c r="O181" s="428"/>
    </row>
    <row r="182" ht="16.5" customHeight="1">
      <c r="I182" s="428"/>
      <c r="J182" s="428"/>
      <c r="M182" s="428"/>
      <c r="N182" s="428"/>
      <c r="O182" s="428"/>
    </row>
    <row r="183" ht="16.5" customHeight="1">
      <c r="I183" s="428"/>
      <c r="J183" s="428"/>
      <c r="M183" s="428"/>
      <c r="N183" s="428"/>
      <c r="O183" s="428"/>
    </row>
    <row r="184" ht="16.5" customHeight="1">
      <c r="I184" s="428"/>
      <c r="J184" s="428"/>
      <c r="M184" s="428"/>
      <c r="N184" s="428"/>
      <c r="O184" s="428"/>
    </row>
    <row r="185" ht="16.5" customHeight="1">
      <c r="I185" s="428"/>
      <c r="J185" s="428"/>
      <c r="M185" s="428"/>
      <c r="N185" s="428"/>
      <c r="O185" s="428"/>
    </row>
    <row r="186" ht="16.5" customHeight="1">
      <c r="I186" s="428"/>
      <c r="J186" s="428"/>
      <c r="M186" s="428"/>
      <c r="N186" s="428"/>
      <c r="O186" s="428"/>
    </row>
    <row r="187" ht="16.5" customHeight="1">
      <c r="I187" s="428"/>
      <c r="J187" s="428"/>
      <c r="M187" s="428"/>
      <c r="N187" s="428"/>
      <c r="O187" s="428"/>
    </row>
    <row r="188" ht="16.5" customHeight="1">
      <c r="I188" s="428"/>
      <c r="J188" s="428"/>
      <c r="M188" s="428"/>
      <c r="N188" s="428"/>
      <c r="O188" s="428"/>
    </row>
    <row r="189" ht="16.5" customHeight="1">
      <c r="I189" s="428"/>
      <c r="J189" s="428"/>
      <c r="M189" s="428"/>
      <c r="N189" s="428"/>
      <c r="O189" s="428"/>
    </row>
    <row r="190" ht="16.5" customHeight="1">
      <c r="I190" s="428"/>
      <c r="J190" s="428"/>
      <c r="M190" s="428"/>
      <c r="N190" s="428"/>
      <c r="O190" s="428"/>
    </row>
    <row r="191" ht="16.5" customHeight="1">
      <c r="I191" s="428"/>
      <c r="J191" s="428"/>
      <c r="M191" s="428"/>
      <c r="N191" s="428"/>
      <c r="O191" s="428"/>
    </row>
    <row r="192" ht="16.5" customHeight="1">
      <c r="I192" s="428"/>
      <c r="J192" s="428"/>
      <c r="M192" s="428"/>
      <c r="N192" s="428"/>
      <c r="O192" s="428"/>
    </row>
    <row r="193" ht="16.5" customHeight="1">
      <c r="I193" s="428"/>
      <c r="J193" s="428"/>
      <c r="M193" s="428"/>
      <c r="N193" s="428"/>
      <c r="O193" s="428"/>
    </row>
    <row r="194" ht="16.5" customHeight="1">
      <c r="I194" s="428"/>
      <c r="J194" s="428"/>
      <c r="M194" s="428"/>
      <c r="N194" s="428"/>
      <c r="O194" s="428"/>
    </row>
    <row r="195" ht="16.5" customHeight="1">
      <c r="I195" s="428"/>
      <c r="J195" s="428"/>
      <c r="M195" s="428"/>
      <c r="N195" s="428"/>
      <c r="O195" s="428"/>
    </row>
    <row r="196" ht="16.5" customHeight="1">
      <c r="I196" s="428"/>
      <c r="J196" s="428"/>
      <c r="M196" s="428"/>
      <c r="N196" s="428"/>
      <c r="O196" s="428"/>
    </row>
    <row r="197" ht="16.5" customHeight="1">
      <c r="I197" s="428"/>
      <c r="J197" s="428"/>
      <c r="M197" s="428"/>
      <c r="N197" s="428"/>
      <c r="O197" s="428"/>
    </row>
    <row r="198" ht="16.5" customHeight="1">
      <c r="I198" s="428"/>
      <c r="J198" s="428"/>
      <c r="M198" s="428"/>
      <c r="N198" s="428"/>
      <c r="O198" s="428"/>
    </row>
    <row r="199" ht="16.5" customHeight="1">
      <c r="I199" s="428"/>
      <c r="J199" s="428"/>
      <c r="M199" s="428"/>
      <c r="N199" s="428"/>
      <c r="O199" s="428"/>
    </row>
    <row r="200" ht="16.5" customHeight="1">
      <c r="I200" s="428"/>
      <c r="J200" s="428"/>
      <c r="M200" s="428"/>
      <c r="N200" s="428"/>
      <c r="O200" s="428"/>
    </row>
    <row r="201" ht="16.5" customHeight="1">
      <c r="I201" s="428"/>
      <c r="J201" s="428"/>
      <c r="M201" s="428"/>
      <c r="N201" s="428"/>
      <c r="O201" s="428"/>
    </row>
    <row r="202" ht="16.5" customHeight="1">
      <c r="I202" s="428"/>
      <c r="J202" s="428"/>
      <c r="M202" s="428"/>
      <c r="N202" s="428"/>
      <c r="O202" s="428"/>
    </row>
    <row r="203" ht="16.5" customHeight="1">
      <c r="I203" s="428"/>
      <c r="J203" s="428"/>
      <c r="M203" s="428"/>
      <c r="N203" s="428"/>
      <c r="O203" s="428"/>
    </row>
    <row r="204" ht="16.5" customHeight="1">
      <c r="I204" s="428"/>
      <c r="J204" s="428"/>
      <c r="M204" s="428"/>
      <c r="N204" s="428"/>
      <c r="O204" s="428"/>
    </row>
    <row r="205" ht="16.5" customHeight="1">
      <c r="I205" s="428"/>
      <c r="J205" s="428"/>
      <c r="M205" s="428"/>
      <c r="N205" s="428"/>
      <c r="O205" s="428"/>
    </row>
    <row r="206" ht="16.5" customHeight="1">
      <c r="I206" s="428"/>
      <c r="J206" s="428"/>
      <c r="M206" s="428"/>
      <c r="N206" s="428"/>
      <c r="O206" s="428"/>
    </row>
    <row r="207" ht="16.5" customHeight="1">
      <c r="I207" s="428"/>
      <c r="J207" s="428"/>
      <c r="M207" s="428"/>
      <c r="N207" s="428"/>
      <c r="O207" s="428"/>
    </row>
    <row r="208" ht="16.5" customHeight="1">
      <c r="I208" s="428"/>
      <c r="J208" s="428"/>
      <c r="M208" s="428"/>
      <c r="N208" s="428"/>
      <c r="O208" s="428"/>
    </row>
    <row r="209" ht="16.5" customHeight="1">
      <c r="I209" s="428"/>
      <c r="J209" s="428"/>
      <c r="M209" s="428"/>
      <c r="N209" s="428"/>
      <c r="O209" s="428"/>
    </row>
    <row r="210" ht="16.5" customHeight="1">
      <c r="I210" s="428"/>
      <c r="J210" s="428"/>
      <c r="M210" s="428"/>
      <c r="N210" s="428"/>
      <c r="O210" s="428"/>
    </row>
    <row r="211" ht="16.5" customHeight="1">
      <c r="I211" s="428"/>
      <c r="J211" s="428"/>
      <c r="M211" s="428"/>
      <c r="N211" s="428"/>
      <c r="O211" s="428"/>
    </row>
    <row r="212" ht="16.5" customHeight="1">
      <c r="I212" s="428"/>
      <c r="J212" s="428"/>
      <c r="M212" s="428"/>
      <c r="N212" s="428"/>
      <c r="O212" s="428"/>
    </row>
    <row r="213" ht="16.5" customHeight="1">
      <c r="I213" s="428"/>
      <c r="J213" s="428"/>
      <c r="M213" s="428"/>
      <c r="N213" s="428"/>
      <c r="O213" s="428"/>
    </row>
    <row r="214" ht="16.5" customHeight="1">
      <c r="I214" s="428"/>
      <c r="J214" s="428"/>
      <c r="M214" s="428"/>
      <c r="N214" s="428"/>
      <c r="O214" s="428"/>
    </row>
    <row r="215" ht="16.5" customHeight="1">
      <c r="I215" s="428"/>
      <c r="J215" s="428"/>
      <c r="M215" s="428"/>
      <c r="N215" s="428"/>
      <c r="O215" s="428"/>
    </row>
    <row r="216" ht="16.5" customHeight="1">
      <c r="I216" s="428"/>
      <c r="J216" s="428"/>
      <c r="M216" s="428"/>
      <c r="N216" s="428"/>
      <c r="O216" s="428"/>
    </row>
    <row r="217" ht="16.5" customHeight="1">
      <c r="I217" s="428"/>
      <c r="J217" s="428"/>
      <c r="M217" s="428"/>
      <c r="N217" s="428"/>
      <c r="O217" s="428"/>
    </row>
    <row r="218" ht="16.5" customHeight="1">
      <c r="I218" s="428"/>
      <c r="J218" s="428"/>
      <c r="M218" s="428"/>
      <c r="N218" s="428"/>
      <c r="O218" s="428"/>
    </row>
    <row r="219" ht="16.5" customHeight="1">
      <c r="I219" s="428"/>
      <c r="J219" s="428"/>
      <c r="M219" s="428"/>
      <c r="N219" s="428"/>
      <c r="O219" s="428"/>
    </row>
    <row r="220" ht="16.5" customHeight="1">
      <c r="I220" s="428"/>
      <c r="J220" s="428"/>
      <c r="M220" s="428"/>
      <c r="N220" s="428"/>
      <c r="O220" s="428"/>
    </row>
    <row r="221" ht="16.5" customHeight="1">
      <c r="I221" s="428"/>
      <c r="J221" s="428"/>
      <c r="M221" s="428"/>
      <c r="N221" s="428"/>
      <c r="O221" s="428"/>
    </row>
    <row r="222" ht="16.5" customHeight="1">
      <c r="I222" s="428"/>
      <c r="J222" s="428"/>
      <c r="M222" s="428"/>
      <c r="N222" s="428"/>
      <c r="O222" s="428"/>
    </row>
    <row r="223" ht="16.5" customHeight="1">
      <c r="I223" s="428"/>
      <c r="J223" s="428"/>
      <c r="M223" s="428"/>
      <c r="N223" s="428"/>
      <c r="O223" s="428"/>
    </row>
    <row r="224" ht="16.5" customHeight="1">
      <c r="I224" s="428"/>
      <c r="J224" s="428"/>
      <c r="M224" s="428"/>
      <c r="N224" s="428"/>
      <c r="O224" s="428"/>
    </row>
    <row r="225" ht="16.5" customHeight="1">
      <c r="I225" s="428"/>
      <c r="J225" s="428"/>
      <c r="M225" s="428"/>
      <c r="N225" s="428"/>
      <c r="O225" s="428"/>
    </row>
    <row r="226" ht="16.5" customHeight="1">
      <c r="I226" s="428"/>
      <c r="J226" s="428"/>
      <c r="M226" s="428"/>
      <c r="N226" s="428"/>
      <c r="O226" s="428"/>
    </row>
    <row r="227" ht="16.5" customHeight="1">
      <c r="I227" s="428"/>
      <c r="J227" s="428"/>
      <c r="M227" s="428"/>
      <c r="N227" s="428"/>
      <c r="O227" s="428"/>
    </row>
    <row r="228" ht="16.5" customHeight="1">
      <c r="I228" s="428"/>
      <c r="J228" s="428"/>
      <c r="M228" s="428"/>
      <c r="N228" s="428"/>
      <c r="O228" s="428"/>
    </row>
    <row r="229" ht="16.5" customHeight="1">
      <c r="I229" s="428"/>
      <c r="J229" s="428"/>
      <c r="M229" s="428"/>
      <c r="N229" s="428"/>
      <c r="O229" s="428"/>
    </row>
    <row r="230" ht="16.5" customHeight="1">
      <c r="I230" s="428"/>
      <c r="J230" s="428"/>
      <c r="M230" s="428"/>
      <c r="N230" s="428"/>
      <c r="O230" s="428"/>
    </row>
    <row r="231" ht="16.5" customHeight="1">
      <c r="I231" s="428"/>
      <c r="J231" s="428"/>
      <c r="M231" s="428"/>
      <c r="N231" s="428"/>
      <c r="O231" s="428"/>
    </row>
    <row r="232" ht="16.5" customHeight="1">
      <c r="I232" s="428"/>
      <c r="J232" s="428"/>
      <c r="M232" s="428"/>
      <c r="N232" s="428"/>
      <c r="O232" s="428"/>
    </row>
    <row r="233" ht="16.5" customHeight="1">
      <c r="I233" s="428"/>
      <c r="J233" s="428"/>
      <c r="M233" s="428"/>
      <c r="N233" s="428"/>
      <c r="O233" s="428"/>
    </row>
    <row r="234" ht="16.5" customHeight="1">
      <c r="I234" s="428"/>
      <c r="J234" s="428"/>
      <c r="M234" s="428"/>
      <c r="N234" s="428"/>
      <c r="O234" s="428"/>
    </row>
    <row r="235" ht="16.5" customHeight="1">
      <c r="I235" s="428"/>
      <c r="J235" s="428"/>
      <c r="M235" s="428"/>
      <c r="N235" s="428"/>
      <c r="O235" s="428"/>
    </row>
    <row r="236" ht="16.5" customHeight="1">
      <c r="I236" s="428"/>
      <c r="J236" s="428"/>
      <c r="M236" s="428"/>
      <c r="N236" s="428"/>
      <c r="O236" s="428"/>
    </row>
    <row r="237" ht="16.5" customHeight="1">
      <c r="I237" s="428"/>
      <c r="J237" s="428"/>
      <c r="M237" s="428"/>
      <c r="N237" s="428"/>
      <c r="O237" s="428"/>
    </row>
    <row r="238" ht="16.5" customHeight="1">
      <c r="I238" s="428"/>
      <c r="J238" s="428"/>
      <c r="M238" s="428"/>
      <c r="N238" s="428"/>
      <c r="O238" s="428"/>
    </row>
    <row r="239" ht="16.5" customHeight="1">
      <c r="I239" s="428"/>
      <c r="J239" s="428"/>
      <c r="M239" s="428"/>
      <c r="N239" s="428"/>
      <c r="O239" s="428"/>
    </row>
    <row r="240" ht="16.5" customHeight="1">
      <c r="I240" s="428"/>
      <c r="J240" s="428"/>
      <c r="M240" s="428"/>
      <c r="N240" s="428"/>
      <c r="O240" s="428"/>
    </row>
    <row r="241" ht="16.5" customHeight="1">
      <c r="I241" s="428"/>
      <c r="J241" s="428"/>
      <c r="M241" s="428"/>
      <c r="N241" s="428"/>
      <c r="O241" s="428"/>
    </row>
    <row r="242" ht="16.5" customHeight="1">
      <c r="I242" s="428"/>
      <c r="J242" s="428"/>
      <c r="M242" s="428"/>
      <c r="N242" s="428"/>
      <c r="O242" s="428"/>
    </row>
    <row r="243" ht="16.5" customHeight="1">
      <c r="I243" s="428"/>
      <c r="J243" s="428"/>
      <c r="M243" s="428"/>
      <c r="N243" s="428"/>
      <c r="O243" s="428"/>
    </row>
    <row r="244" ht="16.5" customHeight="1">
      <c r="I244" s="428"/>
      <c r="J244" s="428"/>
      <c r="M244" s="428"/>
      <c r="N244" s="428"/>
      <c r="O244" s="428"/>
    </row>
    <row r="245" ht="16.5" customHeight="1">
      <c r="I245" s="428"/>
      <c r="J245" s="428"/>
      <c r="M245" s="428"/>
      <c r="N245" s="428"/>
      <c r="O245" s="428"/>
    </row>
    <row r="246" ht="16.5" customHeight="1">
      <c r="I246" s="428"/>
      <c r="J246" s="428"/>
      <c r="M246" s="428"/>
      <c r="N246" s="428"/>
      <c r="O246" s="428"/>
    </row>
    <row r="247" ht="16.5" customHeight="1">
      <c r="I247" s="428"/>
      <c r="J247" s="428"/>
      <c r="M247" s="428"/>
      <c r="N247" s="428"/>
      <c r="O247" s="428"/>
    </row>
    <row r="248" ht="16.5" customHeight="1">
      <c r="I248" s="428"/>
      <c r="J248" s="428"/>
      <c r="M248" s="428"/>
      <c r="N248" s="428"/>
      <c r="O248" s="428"/>
    </row>
    <row r="249" ht="16.5" customHeight="1">
      <c r="I249" s="428"/>
      <c r="J249" s="428"/>
      <c r="M249" s="428"/>
      <c r="N249" s="428"/>
      <c r="O249" s="428"/>
    </row>
    <row r="250" ht="16.5" customHeight="1">
      <c r="I250" s="428"/>
      <c r="J250" s="428"/>
      <c r="M250" s="428"/>
      <c r="N250" s="428"/>
      <c r="O250" s="428"/>
    </row>
    <row r="251" ht="16.5" customHeight="1">
      <c r="I251" s="428"/>
      <c r="J251" s="428"/>
      <c r="M251" s="428"/>
      <c r="N251" s="428"/>
      <c r="O251" s="428"/>
    </row>
    <row r="252" ht="16.5" customHeight="1">
      <c r="I252" s="428"/>
      <c r="J252" s="428"/>
      <c r="M252" s="428"/>
      <c r="N252" s="428"/>
      <c r="O252" s="428"/>
    </row>
    <row r="253" ht="16.5" customHeight="1">
      <c r="I253" s="428"/>
      <c r="J253" s="428"/>
      <c r="M253" s="428"/>
      <c r="N253" s="428"/>
      <c r="O253" s="428"/>
    </row>
    <row r="254" ht="16.5" customHeight="1">
      <c r="I254" s="428"/>
      <c r="J254" s="428"/>
      <c r="M254" s="428"/>
      <c r="N254" s="428"/>
      <c r="O254" s="428"/>
    </row>
    <row r="255" ht="16.5" customHeight="1">
      <c r="I255" s="428"/>
      <c r="J255" s="428"/>
      <c r="M255" s="428"/>
      <c r="N255" s="428"/>
      <c r="O255" s="428"/>
    </row>
    <row r="256" ht="16.5" customHeight="1">
      <c r="I256" s="428"/>
      <c r="J256" s="428"/>
      <c r="M256" s="428"/>
      <c r="N256" s="428"/>
      <c r="O256" s="428"/>
    </row>
    <row r="257" ht="16.5" customHeight="1">
      <c r="I257" s="428"/>
      <c r="J257" s="428"/>
      <c r="M257" s="428"/>
      <c r="N257" s="428"/>
      <c r="O257" s="428"/>
    </row>
    <row r="258" ht="16.5" customHeight="1">
      <c r="I258" s="428"/>
      <c r="J258" s="428"/>
      <c r="M258" s="428"/>
      <c r="N258" s="428"/>
      <c r="O258" s="428"/>
    </row>
    <row r="259" ht="16.5" customHeight="1">
      <c r="I259" s="428"/>
      <c r="J259" s="428"/>
      <c r="M259" s="428"/>
      <c r="N259" s="428"/>
      <c r="O259" s="428"/>
    </row>
    <row r="260" ht="16.5" customHeight="1">
      <c r="I260" s="428"/>
      <c r="J260" s="428"/>
      <c r="M260" s="428"/>
      <c r="N260" s="428"/>
      <c r="O260" s="428"/>
    </row>
    <row r="261" ht="16.5" customHeight="1">
      <c r="I261" s="428"/>
      <c r="J261" s="428"/>
      <c r="M261" s="428"/>
      <c r="N261" s="428"/>
      <c r="O261" s="428"/>
    </row>
    <row r="262" ht="16.5" customHeight="1">
      <c r="I262" s="428"/>
      <c r="J262" s="428"/>
      <c r="M262" s="428"/>
      <c r="N262" s="428"/>
      <c r="O262" s="428"/>
    </row>
    <row r="263" ht="16.5" customHeight="1">
      <c r="I263" s="428"/>
      <c r="J263" s="428"/>
      <c r="M263" s="428"/>
      <c r="N263" s="428"/>
      <c r="O263" s="428"/>
    </row>
    <row r="264" ht="16.5" customHeight="1">
      <c r="I264" s="428"/>
      <c r="J264" s="428"/>
      <c r="M264" s="428"/>
      <c r="N264" s="428"/>
      <c r="O264" s="428"/>
    </row>
    <row r="265" ht="16.5" customHeight="1">
      <c r="I265" s="428"/>
      <c r="J265" s="428"/>
      <c r="M265" s="428"/>
      <c r="N265" s="428"/>
      <c r="O265" s="428"/>
    </row>
    <row r="266" ht="16.5" customHeight="1">
      <c r="I266" s="428"/>
      <c r="J266" s="428"/>
      <c r="M266" s="428"/>
      <c r="N266" s="428"/>
      <c r="O266" s="428"/>
    </row>
    <row r="267" ht="16.5" customHeight="1">
      <c r="I267" s="428"/>
      <c r="J267" s="428"/>
      <c r="M267" s="428"/>
      <c r="N267" s="428"/>
      <c r="O267" s="428"/>
    </row>
    <row r="268" ht="16.5" customHeight="1">
      <c r="I268" s="428"/>
      <c r="J268" s="428"/>
      <c r="M268" s="428"/>
      <c r="N268" s="428"/>
      <c r="O268" s="428"/>
    </row>
    <row r="269" ht="16.5" customHeight="1">
      <c r="I269" s="428"/>
      <c r="J269" s="428"/>
      <c r="M269" s="428"/>
      <c r="N269" s="428"/>
      <c r="O269" s="428"/>
    </row>
    <row r="270" ht="16.5" customHeight="1">
      <c r="I270" s="428"/>
      <c r="J270" s="428"/>
      <c r="M270" s="428"/>
      <c r="N270" s="428"/>
      <c r="O270" s="428"/>
    </row>
    <row r="271" ht="16.5" customHeight="1">
      <c r="I271" s="428"/>
      <c r="J271" s="428"/>
      <c r="M271" s="428"/>
      <c r="N271" s="428"/>
      <c r="O271" s="428"/>
    </row>
    <row r="272" ht="16.5" customHeight="1">
      <c r="I272" s="428"/>
      <c r="J272" s="428"/>
      <c r="M272" s="428"/>
      <c r="N272" s="428"/>
      <c r="O272" s="428"/>
    </row>
    <row r="273" ht="16.5" customHeight="1">
      <c r="I273" s="428"/>
      <c r="J273" s="428"/>
      <c r="M273" s="428"/>
      <c r="N273" s="428"/>
      <c r="O273" s="428"/>
    </row>
    <row r="274" ht="16.5" customHeight="1">
      <c r="I274" s="428"/>
      <c r="J274" s="428"/>
      <c r="M274" s="428"/>
      <c r="N274" s="428"/>
      <c r="O274" s="428"/>
    </row>
    <row r="275" ht="16.5" customHeight="1">
      <c r="I275" s="428"/>
      <c r="J275" s="428"/>
      <c r="M275" s="428"/>
      <c r="N275" s="428"/>
      <c r="O275" s="428"/>
    </row>
    <row r="276" ht="16.5" customHeight="1">
      <c r="I276" s="428"/>
      <c r="J276" s="428"/>
      <c r="M276" s="428"/>
      <c r="N276" s="428"/>
      <c r="O276" s="428"/>
    </row>
    <row r="277" ht="16.5" customHeight="1">
      <c r="I277" s="428"/>
      <c r="J277" s="428"/>
      <c r="M277" s="428"/>
      <c r="N277" s="428"/>
      <c r="O277" s="428"/>
    </row>
    <row r="278" ht="16.5" customHeight="1">
      <c r="I278" s="428"/>
      <c r="J278" s="428"/>
      <c r="M278" s="428"/>
      <c r="N278" s="428"/>
      <c r="O278" s="428"/>
    </row>
    <row r="279" ht="16.5" customHeight="1">
      <c r="I279" s="428"/>
      <c r="J279" s="428"/>
      <c r="M279" s="428"/>
      <c r="N279" s="428"/>
      <c r="O279" s="428"/>
    </row>
    <row r="280" ht="16.5" customHeight="1">
      <c r="I280" s="428"/>
      <c r="J280" s="428"/>
      <c r="M280" s="428"/>
      <c r="N280" s="428"/>
      <c r="O280" s="428"/>
    </row>
    <row r="281" ht="16.5" customHeight="1">
      <c r="I281" s="428"/>
      <c r="J281" s="428"/>
      <c r="M281" s="428"/>
      <c r="N281" s="428"/>
      <c r="O281" s="428"/>
    </row>
    <row r="282" ht="16.5" customHeight="1">
      <c r="I282" s="428"/>
      <c r="J282" s="428"/>
      <c r="M282" s="428"/>
      <c r="N282" s="428"/>
      <c r="O282" s="428"/>
    </row>
    <row r="283" ht="16.5" customHeight="1">
      <c r="I283" s="428"/>
      <c r="J283" s="428"/>
      <c r="M283" s="428"/>
      <c r="N283" s="428"/>
      <c r="O283" s="428"/>
    </row>
    <row r="284" ht="16.5" customHeight="1">
      <c r="I284" s="428"/>
      <c r="J284" s="428"/>
      <c r="M284" s="428"/>
      <c r="N284" s="428"/>
      <c r="O284" s="428"/>
    </row>
    <row r="285" ht="16.5" customHeight="1">
      <c r="I285" s="428"/>
      <c r="J285" s="428"/>
      <c r="M285" s="428"/>
      <c r="N285" s="428"/>
      <c r="O285" s="428"/>
    </row>
    <row r="286" ht="16.5" customHeight="1">
      <c r="I286" s="428"/>
      <c r="J286" s="428"/>
      <c r="M286" s="428"/>
      <c r="N286" s="428"/>
      <c r="O286" s="428"/>
    </row>
    <row r="287" ht="16.5" customHeight="1">
      <c r="I287" s="428"/>
      <c r="J287" s="428"/>
      <c r="M287" s="428"/>
      <c r="N287" s="428"/>
      <c r="O287" s="428"/>
    </row>
    <row r="288" ht="16.5" customHeight="1">
      <c r="I288" s="428"/>
      <c r="J288" s="428"/>
      <c r="M288" s="428"/>
      <c r="N288" s="428"/>
      <c r="O288" s="428"/>
    </row>
    <row r="289" ht="16.5" customHeight="1">
      <c r="I289" s="428"/>
      <c r="J289" s="428"/>
      <c r="M289" s="428"/>
      <c r="N289" s="428"/>
      <c r="O289" s="428"/>
    </row>
    <row r="290" ht="16.5" customHeight="1">
      <c r="I290" s="428"/>
      <c r="J290" s="428"/>
      <c r="M290" s="428"/>
      <c r="N290" s="428"/>
      <c r="O290" s="428"/>
    </row>
    <row r="291" ht="16.5" customHeight="1">
      <c r="I291" s="428"/>
      <c r="J291" s="428"/>
      <c r="M291" s="428"/>
      <c r="N291" s="428"/>
      <c r="O291" s="428"/>
    </row>
    <row r="292" ht="16.5" customHeight="1">
      <c r="I292" s="428"/>
      <c r="J292" s="428"/>
      <c r="M292" s="428"/>
      <c r="N292" s="428"/>
      <c r="O292" s="428"/>
    </row>
    <row r="293" ht="16.5" customHeight="1">
      <c r="I293" s="428"/>
      <c r="J293" s="428"/>
      <c r="M293" s="428"/>
      <c r="N293" s="428"/>
      <c r="O293" s="428"/>
    </row>
    <row r="294" ht="16.5" customHeight="1">
      <c r="I294" s="428"/>
      <c r="J294" s="428"/>
      <c r="M294" s="428"/>
      <c r="N294" s="428"/>
      <c r="O294" s="428"/>
    </row>
    <row r="295" ht="16.5" customHeight="1">
      <c r="I295" s="428"/>
      <c r="J295" s="428"/>
      <c r="M295" s="428"/>
      <c r="N295" s="428"/>
      <c r="O295" s="428"/>
    </row>
    <row r="296" ht="16.5" customHeight="1">
      <c r="I296" s="428"/>
      <c r="J296" s="428"/>
      <c r="M296" s="428"/>
      <c r="N296" s="428"/>
      <c r="O296" s="428"/>
    </row>
    <row r="297" ht="16.5" customHeight="1">
      <c r="I297" s="428"/>
      <c r="J297" s="428"/>
      <c r="M297" s="428"/>
      <c r="N297" s="428"/>
      <c r="O297" s="428"/>
    </row>
    <row r="298" ht="16.5" customHeight="1">
      <c r="I298" s="428"/>
      <c r="J298" s="428"/>
      <c r="M298" s="428"/>
      <c r="N298" s="428"/>
      <c r="O298" s="428"/>
    </row>
    <row r="299" ht="16.5" customHeight="1">
      <c r="I299" s="428"/>
      <c r="J299" s="428"/>
      <c r="M299" s="428"/>
      <c r="N299" s="428"/>
      <c r="O299" s="428"/>
    </row>
    <row r="300" ht="16.5" customHeight="1">
      <c r="I300" s="428"/>
      <c r="J300" s="428"/>
      <c r="M300" s="428"/>
      <c r="N300" s="428"/>
      <c r="O300" s="428"/>
    </row>
    <row r="301" ht="16.5" customHeight="1">
      <c r="I301" s="428"/>
      <c r="J301" s="428"/>
      <c r="M301" s="428"/>
      <c r="N301" s="428"/>
      <c r="O301" s="428"/>
    </row>
    <row r="302" ht="16.5" customHeight="1">
      <c r="I302" s="428"/>
      <c r="J302" s="428"/>
      <c r="M302" s="428"/>
      <c r="N302" s="428"/>
      <c r="O302" s="428"/>
    </row>
    <row r="303" ht="16.5" customHeight="1">
      <c r="I303" s="428"/>
      <c r="J303" s="428"/>
      <c r="M303" s="428"/>
      <c r="N303" s="428"/>
      <c r="O303" s="428"/>
    </row>
    <row r="304" ht="15.75" customHeight="1">
      <c r="I304" s="428"/>
      <c r="J304" s="428"/>
      <c r="M304" s="428"/>
      <c r="N304" s="428"/>
      <c r="O304" s="428"/>
    </row>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77">
    <mergeCell ref="C14:D14"/>
    <mergeCell ref="E14:F14"/>
    <mergeCell ref="L14:M14"/>
    <mergeCell ref="N14:P14"/>
    <mergeCell ref="C15:P15"/>
    <mergeCell ref="L16:M16"/>
    <mergeCell ref="N16:P16"/>
    <mergeCell ref="L17:M17"/>
    <mergeCell ref="N17:P17"/>
    <mergeCell ref="L18:M18"/>
    <mergeCell ref="N18:P18"/>
    <mergeCell ref="L19:M19"/>
    <mergeCell ref="N19:P19"/>
    <mergeCell ref="C20:P20"/>
    <mergeCell ref="C10:D10"/>
    <mergeCell ref="C12:D12"/>
    <mergeCell ref="C9:D9"/>
    <mergeCell ref="C16:D17"/>
    <mergeCell ref="E16:F17"/>
    <mergeCell ref="G16:K16"/>
    <mergeCell ref="G17:K17"/>
    <mergeCell ref="C18:D18"/>
    <mergeCell ref="E18:F18"/>
    <mergeCell ref="G18:K18"/>
    <mergeCell ref="C19:D19"/>
    <mergeCell ref="E19:F19"/>
    <mergeCell ref="G19:K19"/>
    <mergeCell ref="C21:D21"/>
    <mergeCell ref="E21:F21"/>
    <mergeCell ref="C26:D31"/>
    <mergeCell ref="E26:F31"/>
    <mergeCell ref="L6:M7"/>
    <mergeCell ref="N6:P7"/>
    <mergeCell ref="L9:M9"/>
    <mergeCell ref="N9:P9"/>
    <mergeCell ref="D7:F7"/>
    <mergeCell ref="C8:P8"/>
    <mergeCell ref="B2:N3"/>
    <mergeCell ref="C4:K4"/>
    <mergeCell ref="L4:M4"/>
    <mergeCell ref="N4:P4"/>
    <mergeCell ref="C5:P5"/>
    <mergeCell ref="B6:B7"/>
    <mergeCell ref="D6:F6"/>
    <mergeCell ref="E10:I10"/>
    <mergeCell ref="J10:K10"/>
    <mergeCell ref="L10:M10"/>
    <mergeCell ref="N10:P10"/>
    <mergeCell ref="C11:D11"/>
    <mergeCell ref="E11:I11"/>
    <mergeCell ref="L11:M11"/>
    <mergeCell ref="N11:P11"/>
    <mergeCell ref="E12:I12"/>
    <mergeCell ref="J12:K12"/>
    <mergeCell ref="L12:M12"/>
    <mergeCell ref="N12:P12"/>
    <mergeCell ref="C13:P13"/>
    <mergeCell ref="L24:M24"/>
    <mergeCell ref="L25:M25"/>
    <mergeCell ref="L26:M26"/>
    <mergeCell ref="C32:P32"/>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5"/>
    <mergeCell ref="L77:M77"/>
    <mergeCell ref="L78:M78"/>
    <mergeCell ref="L79:M79"/>
    <mergeCell ref="L80:M80"/>
    <mergeCell ref="L81:M81"/>
    <mergeCell ref="L82:M82"/>
    <mergeCell ref="L83:M83"/>
    <mergeCell ref="L84:M84"/>
    <mergeCell ref="L85:M85"/>
    <mergeCell ref="L86:M86"/>
    <mergeCell ref="L87:M87"/>
    <mergeCell ref="L95:M95"/>
    <mergeCell ref="L96:M96"/>
    <mergeCell ref="L97:M97"/>
    <mergeCell ref="L98:M98"/>
    <mergeCell ref="L99:M99"/>
    <mergeCell ref="L100:M100"/>
    <mergeCell ref="L101:M101"/>
    <mergeCell ref="L102:M102"/>
    <mergeCell ref="L88:M88"/>
    <mergeCell ref="L89:M89"/>
    <mergeCell ref="L90:M90"/>
    <mergeCell ref="L91:M91"/>
    <mergeCell ref="L92:M92"/>
    <mergeCell ref="L93:M93"/>
    <mergeCell ref="L94:M94"/>
    <mergeCell ref="N52:P52"/>
    <mergeCell ref="N53:P53"/>
    <mergeCell ref="N54:P54"/>
    <mergeCell ref="N55:P55"/>
    <mergeCell ref="N56:P56"/>
    <mergeCell ref="N57:P57"/>
    <mergeCell ref="N58:P58"/>
    <mergeCell ref="N59:P59"/>
    <mergeCell ref="N60:P60"/>
    <mergeCell ref="N61:P61"/>
    <mergeCell ref="N62:P62"/>
    <mergeCell ref="N63:P63"/>
    <mergeCell ref="N64:P64"/>
    <mergeCell ref="N65:P65"/>
    <mergeCell ref="N66:P66"/>
    <mergeCell ref="N67:P67"/>
    <mergeCell ref="N68:P68"/>
    <mergeCell ref="N69:P69"/>
    <mergeCell ref="N70:P70"/>
    <mergeCell ref="N71:P71"/>
    <mergeCell ref="N72:P72"/>
    <mergeCell ref="N73:P73"/>
    <mergeCell ref="N74:P74"/>
    <mergeCell ref="N75:P75"/>
    <mergeCell ref="E76:P76"/>
    <mergeCell ref="N77:P77"/>
    <mergeCell ref="N78:P78"/>
    <mergeCell ref="N79:P79"/>
    <mergeCell ref="N80:P80"/>
    <mergeCell ref="N81:P81"/>
    <mergeCell ref="N82:P82"/>
    <mergeCell ref="N83:P83"/>
    <mergeCell ref="N84:P84"/>
    <mergeCell ref="N85:P85"/>
    <mergeCell ref="N86:P86"/>
    <mergeCell ref="N87:P87"/>
    <mergeCell ref="N88:P88"/>
    <mergeCell ref="N89:P89"/>
    <mergeCell ref="N90:P90"/>
    <mergeCell ref="N91:P91"/>
    <mergeCell ref="N92:P92"/>
    <mergeCell ref="N93:P93"/>
    <mergeCell ref="N101:P101"/>
    <mergeCell ref="N102:P102"/>
    <mergeCell ref="C103:P103"/>
    <mergeCell ref="C104:P104"/>
    <mergeCell ref="N94:P94"/>
    <mergeCell ref="N95:P95"/>
    <mergeCell ref="N96:P96"/>
    <mergeCell ref="N97:P97"/>
    <mergeCell ref="N98:P98"/>
    <mergeCell ref="N99:P99"/>
    <mergeCell ref="N100:P100"/>
    <mergeCell ref="L21:M21"/>
    <mergeCell ref="N21:P21"/>
    <mergeCell ref="L22:M22"/>
    <mergeCell ref="N22:P22"/>
    <mergeCell ref="L23:M23"/>
    <mergeCell ref="N23:P23"/>
    <mergeCell ref="N24:P24"/>
    <mergeCell ref="N25:P25"/>
    <mergeCell ref="N26:P26"/>
    <mergeCell ref="L27:M27"/>
    <mergeCell ref="N27:P27"/>
    <mergeCell ref="L28:M28"/>
    <mergeCell ref="N28:P28"/>
    <mergeCell ref="N29:P29"/>
    <mergeCell ref="L29:M29"/>
    <mergeCell ref="L30:M30"/>
    <mergeCell ref="L31:M31"/>
    <mergeCell ref="L33:M33"/>
    <mergeCell ref="L34:M34"/>
    <mergeCell ref="L35:M35"/>
    <mergeCell ref="L36:M36"/>
    <mergeCell ref="N30:P30"/>
    <mergeCell ref="N31:P31"/>
    <mergeCell ref="N33:P33"/>
    <mergeCell ref="N34:P34"/>
    <mergeCell ref="N35:P35"/>
    <mergeCell ref="N36:P36"/>
    <mergeCell ref="N37:P37"/>
    <mergeCell ref="L37:M37"/>
    <mergeCell ref="L38:M38"/>
    <mergeCell ref="L39:M39"/>
    <mergeCell ref="L40:M40"/>
    <mergeCell ref="L41:M41"/>
    <mergeCell ref="L42:M42"/>
    <mergeCell ref="L43:M43"/>
    <mergeCell ref="N38:P38"/>
    <mergeCell ref="N39:P39"/>
    <mergeCell ref="N40:P40"/>
    <mergeCell ref="N41:P41"/>
    <mergeCell ref="N42:P42"/>
    <mergeCell ref="N43:P43"/>
    <mergeCell ref="N44:P44"/>
    <mergeCell ref="N45:P45"/>
    <mergeCell ref="N46:P46"/>
    <mergeCell ref="N47:P47"/>
    <mergeCell ref="N48:P48"/>
    <mergeCell ref="N49:P49"/>
    <mergeCell ref="N50:P50"/>
    <mergeCell ref="N51:P51"/>
    <mergeCell ref="G38:K39"/>
    <mergeCell ref="C40:D51"/>
    <mergeCell ref="E40:F51"/>
    <mergeCell ref="G40:K45"/>
    <mergeCell ref="G46:K51"/>
    <mergeCell ref="B8:B101"/>
    <mergeCell ref="C77:D98"/>
    <mergeCell ref="C99:D100"/>
    <mergeCell ref="C101:D101"/>
    <mergeCell ref="B102:B104"/>
    <mergeCell ref="C102:D102"/>
    <mergeCell ref="G73:K75"/>
    <mergeCell ref="G77:K80"/>
    <mergeCell ref="G81:H92"/>
    <mergeCell ref="I81:K85"/>
    <mergeCell ref="I86:K90"/>
    <mergeCell ref="I91:K92"/>
    <mergeCell ref="G93:H98"/>
    <mergeCell ref="I93:K98"/>
    <mergeCell ref="E99:F100"/>
    <mergeCell ref="G99:K100"/>
    <mergeCell ref="E101:F101"/>
    <mergeCell ref="G101:K101"/>
    <mergeCell ref="E102:F102"/>
    <mergeCell ref="G102:K102"/>
    <mergeCell ref="G6:H7"/>
    <mergeCell ref="I6:K7"/>
    <mergeCell ref="E9:I9"/>
    <mergeCell ref="J9:K9"/>
    <mergeCell ref="J11:K11"/>
    <mergeCell ref="G14:K14"/>
    <mergeCell ref="E77:F98"/>
    <mergeCell ref="G21:K21"/>
    <mergeCell ref="C22:D25"/>
    <mergeCell ref="E22:F22"/>
    <mergeCell ref="G22:K22"/>
    <mergeCell ref="E23:F24"/>
    <mergeCell ref="G23:K24"/>
    <mergeCell ref="E25:F25"/>
    <mergeCell ref="G25:K25"/>
    <mergeCell ref="G26:K31"/>
    <mergeCell ref="C33:D37"/>
    <mergeCell ref="E33:F37"/>
    <mergeCell ref="G33:K37"/>
    <mergeCell ref="C38:D39"/>
    <mergeCell ref="E38:F39"/>
    <mergeCell ref="C52:D72"/>
    <mergeCell ref="E52:F72"/>
    <mergeCell ref="G52:K55"/>
    <mergeCell ref="G56:H67"/>
    <mergeCell ref="I56:K60"/>
    <mergeCell ref="I61:K65"/>
    <mergeCell ref="I66:K67"/>
    <mergeCell ref="G68:H72"/>
    <mergeCell ref="I68:K72"/>
    <mergeCell ref="C73:D76"/>
    <mergeCell ref="E73:F7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13.0"/>
    <col customWidth="1" min="3" max="3" width="16.71"/>
    <col customWidth="1" min="4" max="5" width="13.0"/>
    <col customWidth="1" min="6" max="6" width="4.43"/>
    <col customWidth="1" min="7" max="7" width="13.0"/>
    <col customWidth="1" min="8" max="8" width="12.86"/>
    <col customWidth="1" min="9" max="9" width="23.71"/>
    <col customWidth="1" min="10" max="10" width="48.43"/>
    <col customWidth="1" min="11" max="11" width="8.71"/>
    <col customWidth="1" min="12" max="12" width="12.43"/>
    <col customWidth="1" min="13" max="28" width="13.0"/>
    <col customWidth="1" min="29" max="32" width="8.71"/>
  </cols>
  <sheetData>
    <row r="1" ht="16.5" customHeight="1">
      <c r="A1" s="3"/>
      <c r="C1" s="5"/>
      <c r="D1" s="5"/>
      <c r="H1" s="8"/>
      <c r="I1" s="8"/>
      <c r="J1" s="10"/>
    </row>
    <row r="2" ht="16.5" customHeight="1">
      <c r="B2" s="13" t="s">
        <v>4</v>
      </c>
      <c r="C2" s="16" t="s">
        <v>7</v>
      </c>
      <c r="D2" s="20" t="s">
        <v>8</v>
      </c>
      <c r="E2" s="3"/>
      <c r="G2" s="29" t="s">
        <v>12</v>
      </c>
      <c r="H2" s="34" t="s">
        <v>21</v>
      </c>
      <c r="I2" s="39"/>
      <c r="J2" s="42" t="s">
        <v>24</v>
      </c>
      <c r="K2" s="47" t="s">
        <v>27</v>
      </c>
      <c r="L2" s="51" t="s">
        <v>29</v>
      </c>
      <c r="M2" s="53"/>
      <c r="N2" s="53"/>
      <c r="O2" s="53"/>
      <c r="P2" s="53"/>
      <c r="Q2" s="53"/>
      <c r="R2" s="53"/>
      <c r="S2" s="53"/>
      <c r="T2" s="53"/>
      <c r="U2" s="53"/>
      <c r="V2" s="53"/>
      <c r="W2" s="53"/>
      <c r="X2" s="53"/>
      <c r="Y2" s="53"/>
      <c r="Z2" s="53"/>
      <c r="AA2" s="53"/>
      <c r="AB2" s="39"/>
      <c r="AC2" s="56"/>
      <c r="AD2" s="56"/>
      <c r="AE2" s="56"/>
      <c r="AF2" s="56"/>
    </row>
    <row r="3" ht="16.5" customHeight="1">
      <c r="B3" s="60"/>
      <c r="C3" s="63"/>
      <c r="D3" s="65"/>
      <c r="E3" s="68"/>
      <c r="G3" s="73" t="s">
        <v>45</v>
      </c>
      <c r="H3" s="35" t="s">
        <v>48</v>
      </c>
      <c r="I3" s="77"/>
      <c r="J3" s="79" t="s">
        <v>52</v>
      </c>
      <c r="K3" s="81">
        <v>4.0</v>
      </c>
      <c r="L3" s="83"/>
      <c r="M3" s="3"/>
      <c r="N3" s="3"/>
      <c r="O3" s="3"/>
    </row>
    <row r="4" ht="16.5" customHeight="1">
      <c r="B4" s="85"/>
      <c r="C4" s="87"/>
      <c r="D4" s="88"/>
      <c r="E4" s="68"/>
      <c r="G4" s="90"/>
      <c r="I4" s="77"/>
      <c r="J4" s="79" t="s">
        <v>64</v>
      </c>
      <c r="K4" s="94">
        <v>6.0</v>
      </c>
      <c r="L4" s="83"/>
      <c r="M4" s="3"/>
      <c r="N4" s="3"/>
      <c r="O4" s="3"/>
      <c r="P4" s="3"/>
      <c r="Q4" s="3"/>
    </row>
    <row r="5" ht="16.5" customHeight="1">
      <c r="B5" s="98"/>
      <c r="C5" s="63"/>
      <c r="D5" s="65"/>
      <c r="E5" s="68"/>
      <c r="G5" s="101" t="s">
        <v>76</v>
      </c>
      <c r="H5" s="80"/>
      <c r="I5" s="103"/>
      <c r="J5" s="79" t="s">
        <v>79</v>
      </c>
      <c r="K5" s="106">
        <v>10.0</v>
      </c>
      <c r="L5" s="109"/>
      <c r="M5" s="111"/>
      <c r="N5" s="111"/>
      <c r="O5" s="111"/>
      <c r="P5" s="117"/>
      <c r="Q5" s="120"/>
      <c r="R5" s="122"/>
      <c r="S5" s="122"/>
      <c r="T5" s="122"/>
      <c r="U5" s="122"/>
    </row>
    <row r="6" ht="16.5" customHeight="1">
      <c r="B6" s="126"/>
      <c r="C6" s="88"/>
      <c r="D6" s="131"/>
      <c r="E6" s="68"/>
      <c r="G6" s="73" t="s">
        <v>98</v>
      </c>
      <c r="H6" s="136" t="s">
        <v>99</v>
      </c>
      <c r="I6" s="77"/>
      <c r="J6" s="139" t="s">
        <v>100</v>
      </c>
      <c r="K6" s="81">
        <v>12.0</v>
      </c>
      <c r="L6" s="83"/>
      <c r="M6" s="3"/>
      <c r="N6" s="3"/>
      <c r="O6" s="3"/>
      <c r="P6" s="3"/>
      <c r="Q6" s="3"/>
      <c r="R6" s="3"/>
      <c r="S6" s="3"/>
      <c r="T6" s="5"/>
      <c r="U6" s="3"/>
      <c r="V6" s="3"/>
      <c r="W6" s="3"/>
    </row>
    <row r="7" ht="16.5" customHeight="1">
      <c r="B7" s="145"/>
      <c r="C7" s="146"/>
      <c r="D7" s="148"/>
      <c r="G7" s="149"/>
      <c r="H7" s="150"/>
      <c r="I7" s="77"/>
      <c r="J7" s="79" t="s">
        <v>101</v>
      </c>
      <c r="K7" s="94">
        <v>4.0</v>
      </c>
      <c r="L7" s="83"/>
      <c r="M7" s="5"/>
      <c r="N7" s="3"/>
      <c r="O7" s="3"/>
    </row>
    <row r="8" ht="16.5" customHeight="1">
      <c r="B8" s="145"/>
      <c r="C8" s="153"/>
      <c r="D8" s="154"/>
      <c r="E8" s="68"/>
      <c r="G8" s="149"/>
      <c r="H8" s="150"/>
      <c r="I8" s="77"/>
      <c r="J8" s="79" t="s">
        <v>102</v>
      </c>
      <c r="K8" s="94">
        <v>16.0</v>
      </c>
      <c r="L8" s="83"/>
      <c r="M8" s="3"/>
      <c r="N8" s="5"/>
      <c r="O8" s="5"/>
      <c r="P8" s="3"/>
      <c r="Q8" s="3"/>
      <c r="R8" s="3"/>
      <c r="S8" s="3"/>
      <c r="T8" s="3"/>
      <c r="U8" s="3"/>
      <c r="V8" s="3"/>
      <c r="W8" s="3"/>
      <c r="X8" s="3"/>
      <c r="Y8" s="3"/>
      <c r="Z8" s="3"/>
      <c r="AA8" s="3"/>
      <c r="AC8" s="161"/>
      <c r="AE8" s="163"/>
      <c r="AF8" s="163"/>
    </row>
    <row r="9" ht="16.5" customHeight="1">
      <c r="B9" s="166"/>
      <c r="C9" s="63"/>
      <c r="D9" s="63"/>
      <c r="E9" s="68"/>
      <c r="G9" s="149"/>
      <c r="H9" s="150"/>
      <c r="I9" s="77"/>
      <c r="J9" s="79" t="s">
        <v>106</v>
      </c>
      <c r="K9" s="94">
        <v>1.0</v>
      </c>
      <c r="L9" s="83"/>
      <c r="M9" s="163"/>
      <c r="N9" s="163"/>
    </row>
    <row r="10" ht="16.5" customHeight="1">
      <c r="B10" s="171"/>
      <c r="C10" s="174"/>
      <c r="D10" s="175"/>
      <c r="E10" s="68"/>
      <c r="G10" s="90"/>
      <c r="H10" s="176"/>
      <c r="I10" s="103"/>
      <c r="J10" s="178" t="s">
        <v>109</v>
      </c>
      <c r="K10" s="106">
        <v>2.0</v>
      </c>
      <c r="L10" s="83"/>
      <c r="M10" s="180"/>
      <c r="N10" s="181"/>
    </row>
    <row r="11" ht="16.5" customHeight="1">
      <c r="B11" s="85"/>
      <c r="C11" s="182"/>
      <c r="D11" s="184"/>
      <c r="G11" s="101" t="s">
        <v>112</v>
      </c>
      <c r="H11" s="35" t="s">
        <v>114</v>
      </c>
      <c r="I11" s="77"/>
      <c r="J11" s="139" t="s">
        <v>115</v>
      </c>
      <c r="K11" s="185">
        <v>5.0</v>
      </c>
      <c r="L11" s="163"/>
      <c r="M11" s="3"/>
      <c r="N11" s="3"/>
      <c r="O11" s="3"/>
      <c r="P11" s="3"/>
      <c r="Q11" s="3"/>
    </row>
    <row r="12" ht="16.5" customHeight="1">
      <c r="B12" s="188"/>
      <c r="C12" s="88"/>
      <c r="D12" s="175"/>
      <c r="G12" s="149"/>
      <c r="I12" s="77"/>
      <c r="J12" s="79" t="s">
        <v>117</v>
      </c>
      <c r="K12" s="191">
        <v>1.0</v>
      </c>
      <c r="L12" s="180"/>
      <c r="M12" s="163"/>
      <c r="N12" s="163"/>
    </row>
    <row r="13" ht="16.5" customHeight="1">
      <c r="B13" s="98"/>
      <c r="C13" s="193"/>
      <c r="D13" s="175"/>
      <c r="G13" s="149"/>
      <c r="I13" s="77"/>
      <c r="J13" s="139" t="s">
        <v>121</v>
      </c>
      <c r="K13" s="185">
        <v>7.0</v>
      </c>
      <c r="L13" s="163"/>
      <c r="M13" s="3"/>
      <c r="N13" s="3"/>
      <c r="O13" s="3"/>
      <c r="P13" s="3"/>
      <c r="Q13" s="3"/>
      <c r="R13" s="3"/>
      <c r="S13" s="3"/>
      <c r="T13" s="3"/>
      <c r="V13" s="3"/>
    </row>
    <row r="14" ht="16.5" customHeight="1">
      <c r="B14" s="199"/>
      <c r="C14" s="174"/>
      <c r="D14" s="201"/>
      <c r="G14" s="149"/>
      <c r="I14" s="77"/>
      <c r="J14" s="178" t="s">
        <v>124</v>
      </c>
      <c r="K14" s="191">
        <v>1.0</v>
      </c>
      <c r="L14" s="83"/>
      <c r="N14" s="203"/>
    </row>
    <row r="15" ht="16.5" customHeight="1">
      <c r="B15" s="145"/>
      <c r="C15" s="63"/>
      <c r="D15" s="154"/>
      <c r="E15" s="68"/>
      <c r="G15" s="149"/>
      <c r="I15" s="77"/>
      <c r="J15" s="79" t="s">
        <v>127</v>
      </c>
      <c r="K15" s="185">
        <v>8.0</v>
      </c>
      <c r="L15" s="3"/>
      <c r="M15" s="3"/>
      <c r="N15" s="203"/>
      <c r="O15" s="3"/>
      <c r="P15" s="3"/>
      <c r="Q15" s="3"/>
      <c r="R15" s="3"/>
      <c r="S15" s="3"/>
    </row>
    <row r="16" ht="16.5" customHeight="1">
      <c r="B16" s="98"/>
      <c r="C16" s="212"/>
      <c r="D16" s="214"/>
      <c r="E16" s="68"/>
      <c r="G16" s="149"/>
      <c r="I16" s="77"/>
      <c r="J16" s="178" t="s">
        <v>130</v>
      </c>
      <c r="K16" s="191">
        <v>1.0</v>
      </c>
      <c r="L16" s="83"/>
    </row>
    <row r="17" ht="16.5" customHeight="1">
      <c r="B17" s="126"/>
      <c r="C17" s="219"/>
      <c r="D17" s="220"/>
      <c r="E17" s="68"/>
      <c r="G17" s="149"/>
      <c r="I17" s="77"/>
      <c r="J17" s="79" t="s">
        <v>133</v>
      </c>
      <c r="K17" s="185">
        <v>5.0</v>
      </c>
      <c r="L17" s="3"/>
      <c r="M17" s="3"/>
      <c r="N17" s="3"/>
      <c r="O17" s="3"/>
      <c r="P17" s="3"/>
      <c r="Q17" s="3"/>
      <c r="R17" s="3"/>
      <c r="S17" s="3"/>
      <c r="T17" s="3"/>
      <c r="U17" s="3"/>
      <c r="V17" s="3"/>
      <c r="W17" s="3"/>
    </row>
    <row r="18" ht="16.5" customHeight="1">
      <c r="B18" s="171"/>
      <c r="C18" s="88"/>
      <c r="D18" s="201"/>
      <c r="G18" s="149"/>
      <c r="I18" s="77"/>
      <c r="J18" s="178" t="s">
        <v>140</v>
      </c>
      <c r="K18" s="191">
        <v>1.0</v>
      </c>
      <c r="L18" s="83"/>
    </row>
    <row r="19" ht="16.5" customHeight="1">
      <c r="B19" s="145"/>
      <c r="C19" s="153"/>
      <c r="D19" s="225"/>
      <c r="E19" s="68"/>
      <c r="G19" s="149"/>
      <c r="I19" s="77"/>
      <c r="J19" s="79" t="s">
        <v>144</v>
      </c>
      <c r="K19" s="163">
        <v>4.0</v>
      </c>
      <c r="L19" s="228"/>
      <c r="M19" s="83"/>
      <c r="N19" s="83"/>
      <c r="O19" s="83"/>
    </row>
    <row r="20" ht="16.5" customHeight="1">
      <c r="B20" s="188"/>
      <c r="C20" s="175"/>
      <c r="D20" s="88"/>
      <c r="G20" s="90"/>
      <c r="H20" s="80"/>
      <c r="I20" s="103"/>
      <c r="J20" s="232" t="s">
        <v>152</v>
      </c>
      <c r="K20" s="233">
        <v>2.0</v>
      </c>
      <c r="L20" s="163"/>
      <c r="M20" s="163"/>
      <c r="N20" s="163"/>
      <c r="O20" s="163"/>
      <c r="P20" s="163"/>
      <c r="Q20" s="163"/>
      <c r="R20" s="163"/>
      <c r="S20" s="163"/>
      <c r="T20" s="163"/>
      <c r="U20" s="163"/>
      <c r="V20" s="163"/>
      <c r="W20" s="163"/>
      <c r="X20" s="163"/>
      <c r="Y20" s="163"/>
      <c r="Z20" s="163"/>
      <c r="AA20" s="163"/>
      <c r="AB20" s="163"/>
      <c r="AC20" s="163"/>
      <c r="AD20" s="163"/>
      <c r="AE20" s="163"/>
      <c r="AF20" s="163"/>
    </row>
    <row r="21" ht="15.75" customHeight="1">
      <c r="B21" s="85"/>
      <c r="C21" s="63"/>
      <c r="D21" s="244"/>
      <c r="E21" s="245"/>
      <c r="G21" s="73" t="s">
        <v>171</v>
      </c>
      <c r="H21" s="136" t="s">
        <v>174</v>
      </c>
      <c r="I21" s="77"/>
      <c r="J21" s="246" t="s">
        <v>175</v>
      </c>
      <c r="K21" s="81">
        <v>10.0</v>
      </c>
      <c r="L21" s="247"/>
      <c r="M21" s="163"/>
      <c r="N21" s="163"/>
      <c r="O21" s="163"/>
      <c r="P21" s="247"/>
      <c r="Q21" s="163"/>
      <c r="R21" s="163"/>
      <c r="S21" s="163"/>
      <c r="T21" s="163"/>
      <c r="U21" s="3"/>
    </row>
    <row r="22" ht="15.75" customHeight="1">
      <c r="B22" s="188"/>
      <c r="C22" s="88"/>
      <c r="D22" s="249"/>
      <c r="G22" s="149"/>
      <c r="H22" s="150"/>
      <c r="I22" s="77"/>
      <c r="J22" s="204" t="s">
        <v>182</v>
      </c>
      <c r="K22" s="94">
        <v>2.0</v>
      </c>
      <c r="L22" s="203"/>
      <c r="M22" s="203"/>
      <c r="N22" s="203"/>
      <c r="O22" s="203"/>
      <c r="P22" s="203"/>
      <c r="Q22" s="203"/>
      <c r="R22" s="203"/>
      <c r="S22" s="203"/>
    </row>
    <row r="23" ht="15.75" customHeight="1">
      <c r="B23" s="166"/>
      <c r="C23" s="63"/>
      <c r="D23" s="63"/>
      <c r="G23" s="149"/>
      <c r="H23" s="150"/>
      <c r="I23" s="77"/>
      <c r="J23" s="204" t="s">
        <v>188</v>
      </c>
      <c r="K23" s="94">
        <v>2.0</v>
      </c>
      <c r="L23" s="203"/>
      <c r="M23" s="203"/>
      <c r="N23" s="203"/>
      <c r="O23" s="203"/>
      <c r="P23" s="203"/>
      <c r="Q23" s="203"/>
      <c r="R23" s="203"/>
      <c r="S23" s="203"/>
    </row>
    <row r="24" ht="15.75" customHeight="1">
      <c r="B24" s="126"/>
      <c r="C24" s="251"/>
      <c r="D24" s="88"/>
      <c r="G24" s="149"/>
      <c r="H24" s="150"/>
      <c r="I24" s="77"/>
      <c r="J24" s="204" t="s">
        <v>194</v>
      </c>
      <c r="K24" s="94">
        <v>3.0</v>
      </c>
      <c r="L24" s="203"/>
      <c r="M24" s="203"/>
      <c r="N24" s="203"/>
      <c r="O24" s="203"/>
      <c r="P24" s="203"/>
      <c r="Q24" s="203"/>
      <c r="R24" s="203"/>
      <c r="S24" s="203"/>
    </row>
    <row r="25" ht="15.75" customHeight="1">
      <c r="B25" s="254"/>
      <c r="C25" s="255"/>
      <c r="D25" s="256"/>
      <c r="E25" s="245"/>
      <c r="G25" s="149"/>
      <c r="H25" s="150"/>
      <c r="I25" s="77"/>
      <c r="J25" s="204" t="s">
        <v>201</v>
      </c>
      <c r="K25" s="94">
        <v>3.0</v>
      </c>
      <c r="L25" s="163"/>
      <c r="M25" s="163"/>
      <c r="N25" s="163"/>
      <c r="O25" s="203"/>
      <c r="P25" s="203"/>
      <c r="Q25" s="203"/>
      <c r="R25" s="203"/>
      <c r="S25" s="203"/>
    </row>
    <row r="26" ht="15.75" customHeight="1">
      <c r="B26" s="258"/>
      <c r="C26" s="251"/>
      <c r="D26" s="175"/>
      <c r="E26" s="245"/>
      <c r="G26" s="149"/>
      <c r="H26" s="150"/>
      <c r="I26" s="77"/>
      <c r="J26" s="204" t="s">
        <v>210</v>
      </c>
      <c r="K26" s="94">
        <v>2.0</v>
      </c>
      <c r="L26" s="163"/>
      <c r="M26" s="163"/>
      <c r="N26" s="163"/>
      <c r="O26" s="163"/>
      <c r="P26" s="163"/>
      <c r="Q26" s="163"/>
      <c r="R26" s="163"/>
      <c r="S26" s="163"/>
      <c r="T26" s="163"/>
      <c r="U26" s="163"/>
      <c r="V26" s="163"/>
      <c r="W26" s="163"/>
      <c r="X26" s="163"/>
      <c r="Y26" s="163"/>
      <c r="Z26" s="163"/>
      <c r="AA26" s="163"/>
      <c r="AB26" s="163"/>
      <c r="AC26" s="163"/>
      <c r="AD26" s="163"/>
      <c r="AE26" s="163"/>
      <c r="AF26" s="163"/>
    </row>
    <row r="27" ht="33.75" customHeight="1">
      <c r="B27" s="264"/>
      <c r="C27" s="182"/>
      <c r="D27" s="175"/>
      <c r="E27" s="245"/>
      <c r="G27" s="90"/>
      <c r="H27" s="176"/>
      <c r="I27" s="103"/>
      <c r="J27" s="265" t="s">
        <v>221</v>
      </c>
      <c r="K27" s="106">
        <v>24.0</v>
      </c>
      <c r="L27" s="163"/>
      <c r="M27" s="163"/>
      <c r="N27" s="163"/>
      <c r="O27" s="163"/>
      <c r="P27" s="163"/>
      <c r="Q27" s="3"/>
      <c r="R27" s="3"/>
      <c r="S27" s="3"/>
      <c r="T27" s="3"/>
      <c r="U27" s="3"/>
    </row>
    <row r="28" ht="15.75" customHeight="1">
      <c r="B28" s="268"/>
      <c r="C28" s="212"/>
      <c r="D28" s="175"/>
      <c r="E28" s="245"/>
      <c r="G28" s="73" t="s">
        <v>229</v>
      </c>
      <c r="H28" s="136" t="s">
        <v>230</v>
      </c>
      <c r="I28" s="77"/>
      <c r="J28" s="204" t="s">
        <v>232</v>
      </c>
      <c r="K28" s="272">
        <v>4.0</v>
      </c>
      <c r="L28" s="273"/>
      <c r="M28" s="163"/>
      <c r="N28" s="163"/>
      <c r="O28" s="163"/>
      <c r="P28" s="163"/>
      <c r="Q28" s="163"/>
      <c r="R28" s="163"/>
      <c r="S28" s="163"/>
      <c r="T28" s="163"/>
      <c r="U28" s="163"/>
      <c r="V28" s="163"/>
      <c r="W28" s="3"/>
    </row>
    <row r="29" ht="33.75" customHeight="1">
      <c r="B29" s="277"/>
      <c r="C29" s="219"/>
      <c r="D29" s="63"/>
      <c r="E29" s="245"/>
      <c r="G29" s="149"/>
      <c r="H29" s="150"/>
      <c r="I29" s="77"/>
      <c r="J29" s="278" t="s">
        <v>242</v>
      </c>
      <c r="K29" s="279">
        <v>12.0</v>
      </c>
      <c r="L29" s="280"/>
      <c r="M29" s="282"/>
      <c r="N29" s="283"/>
      <c r="O29" s="283"/>
      <c r="P29" s="285"/>
      <c r="Q29" s="285"/>
      <c r="R29" s="286"/>
      <c r="S29" s="286"/>
      <c r="T29" s="287"/>
      <c r="U29" s="287"/>
      <c r="V29" s="3"/>
      <c r="W29" s="3"/>
    </row>
    <row r="30" ht="15.75" customHeight="1">
      <c r="B30" s="288"/>
      <c r="C30" s="88"/>
      <c r="D30" s="148"/>
      <c r="E30" s="245"/>
      <c r="G30" s="90"/>
      <c r="H30" s="176"/>
      <c r="I30" s="103"/>
      <c r="J30" s="178" t="s">
        <v>262</v>
      </c>
      <c r="K30" s="191">
        <v>33.0</v>
      </c>
      <c r="L30" s="273"/>
      <c r="M30" s="3"/>
      <c r="N30" s="3"/>
      <c r="O30" s="3"/>
      <c r="P30" s="3"/>
      <c r="Q30" s="3"/>
      <c r="R30" s="3"/>
      <c r="S30" s="3"/>
      <c r="T30" s="3"/>
      <c r="U30" s="3"/>
      <c r="V30" s="3"/>
    </row>
    <row r="31" ht="15.75" customHeight="1">
      <c r="B31" s="277"/>
      <c r="C31" s="63"/>
      <c r="D31" s="220"/>
      <c r="E31" s="245"/>
      <c r="G31" s="101" t="s">
        <v>270</v>
      </c>
      <c r="H31" s="239" t="s">
        <v>273</v>
      </c>
      <c r="I31" s="77"/>
      <c r="J31" s="79" t="s">
        <v>274</v>
      </c>
      <c r="K31" s="290">
        <v>2.0</v>
      </c>
      <c r="L31" s="3"/>
      <c r="M31" s="3"/>
    </row>
    <row r="32" ht="15.75" customHeight="1">
      <c r="B32" s="268"/>
      <c r="C32" s="212"/>
      <c r="D32" s="214"/>
      <c r="G32" s="149"/>
      <c r="H32" s="150"/>
      <c r="I32" s="77"/>
      <c r="J32" s="79" t="s">
        <v>278</v>
      </c>
      <c r="K32" s="290">
        <v>2.0</v>
      </c>
      <c r="L32" s="291"/>
      <c r="M32" s="3"/>
      <c r="R32" s="3"/>
    </row>
    <row r="33" ht="15.75" customHeight="1">
      <c r="B33" s="277"/>
      <c r="C33" s="219"/>
      <c r="D33" s="225"/>
      <c r="G33" s="149"/>
      <c r="H33" s="150"/>
      <c r="I33" s="77"/>
      <c r="J33" s="79" t="s">
        <v>281</v>
      </c>
      <c r="K33" s="290">
        <v>5.0</v>
      </c>
      <c r="L33" s="282"/>
      <c r="M33" s="283"/>
      <c r="N33" s="285"/>
      <c r="O33" s="292"/>
      <c r="P33" s="287"/>
      <c r="R33" s="3"/>
    </row>
    <row r="34" ht="33.75" customHeight="1">
      <c r="B34" s="264"/>
      <c r="C34" s="88"/>
      <c r="D34" s="184"/>
      <c r="E34" s="245"/>
      <c r="G34" s="149"/>
      <c r="H34" s="150"/>
      <c r="I34" s="77"/>
      <c r="J34" s="278" t="s">
        <v>290</v>
      </c>
      <c r="K34" s="290">
        <v>2.0</v>
      </c>
      <c r="L34" s="291"/>
      <c r="M34" s="3"/>
      <c r="R34" s="3"/>
      <c r="V34" s="3"/>
    </row>
    <row r="35" ht="15.75" customHeight="1">
      <c r="B35" s="293"/>
      <c r="C35" s="146"/>
      <c r="D35" s="63"/>
      <c r="E35" s="245"/>
      <c r="G35" s="149"/>
      <c r="H35" s="150"/>
      <c r="I35" s="77"/>
      <c r="J35" s="79" t="s">
        <v>296</v>
      </c>
      <c r="K35" s="290">
        <v>2.0</v>
      </c>
      <c r="L35" s="294"/>
      <c r="M35" s="3"/>
      <c r="R35" s="3"/>
      <c r="S35" s="3"/>
      <c r="T35" s="3"/>
      <c r="U35" s="3"/>
      <c r="V35" s="3"/>
      <c r="W35" s="3"/>
    </row>
    <row r="36" ht="15.75" customHeight="1">
      <c r="B36" s="277"/>
      <c r="C36" s="88"/>
      <c r="D36" s="220"/>
      <c r="E36" s="245"/>
      <c r="G36" s="149"/>
      <c r="H36" s="150"/>
      <c r="I36" s="77"/>
      <c r="J36" s="79" t="s">
        <v>304</v>
      </c>
      <c r="K36" s="290">
        <v>5.0</v>
      </c>
      <c r="L36" s="203"/>
      <c r="M36" s="3"/>
      <c r="N36" s="3"/>
      <c r="O36" s="3"/>
      <c r="P36" s="3"/>
      <c r="R36" s="3"/>
      <c r="S36" s="3"/>
      <c r="T36" s="3"/>
      <c r="U36" s="3"/>
      <c r="V36" s="3"/>
      <c r="W36" s="3"/>
    </row>
    <row r="37" ht="15.75" customHeight="1">
      <c r="B37" s="293"/>
      <c r="C37" s="146"/>
      <c r="D37" s="63"/>
      <c r="E37" s="245"/>
      <c r="G37" s="90"/>
      <c r="H37" s="176"/>
      <c r="I37" s="103"/>
      <c r="J37" s="178" t="s">
        <v>310</v>
      </c>
      <c r="K37" s="295">
        <v>29.0</v>
      </c>
      <c r="L37" s="296"/>
      <c r="M37" s="296"/>
      <c r="N37" s="296"/>
      <c r="O37" s="298"/>
      <c r="P37" s="298"/>
      <c r="Q37" s="296"/>
      <c r="R37" s="296"/>
      <c r="S37" s="296"/>
      <c r="T37" s="296"/>
      <c r="U37" s="296"/>
      <c r="V37" s="296"/>
      <c r="W37" s="296"/>
      <c r="X37" s="296"/>
      <c r="Y37" s="296"/>
      <c r="Z37" s="296"/>
      <c r="AA37" s="296"/>
      <c r="AB37" s="296"/>
    </row>
    <row r="38" ht="120.75" customHeight="1">
      <c r="B38" s="268"/>
      <c r="C38" s="212"/>
      <c r="D38" s="88"/>
      <c r="E38" s="245"/>
      <c r="G38" s="136" t="s">
        <v>318</v>
      </c>
      <c r="H38" s="303" t="s">
        <v>320</v>
      </c>
      <c r="I38" s="259"/>
      <c r="J38" s="304" t="s">
        <v>323</v>
      </c>
      <c r="K38" s="103"/>
      <c r="L38" s="296"/>
      <c r="M38" s="296"/>
      <c r="N38" s="296"/>
      <c r="O38" s="296"/>
      <c r="P38" s="296"/>
      <c r="Q38" s="296"/>
      <c r="R38" s="296"/>
      <c r="S38" s="296"/>
      <c r="T38" s="296"/>
      <c r="U38" s="296"/>
      <c r="V38" s="296"/>
      <c r="W38" s="296"/>
      <c r="X38" s="296"/>
      <c r="Y38" s="296"/>
      <c r="Z38" s="296"/>
      <c r="AA38" s="296"/>
      <c r="AB38" s="296"/>
    </row>
    <row r="39" ht="15.75" customHeight="1">
      <c r="B39" s="288"/>
      <c r="C39" s="182"/>
      <c r="D39" s="63"/>
      <c r="E39" s="305"/>
      <c r="G39" s="150"/>
      <c r="H39" s="150"/>
      <c r="I39" s="77"/>
      <c r="J39" s="306" t="s">
        <v>333</v>
      </c>
      <c r="K39" s="307">
        <v>2.0</v>
      </c>
      <c r="L39" s="3"/>
      <c r="M39" s="3"/>
    </row>
    <row r="40" ht="15.75" customHeight="1">
      <c r="B40" s="308"/>
      <c r="C40" s="255"/>
      <c r="D40" s="256"/>
      <c r="E40" s="245"/>
      <c r="G40" s="150"/>
      <c r="H40" s="150"/>
      <c r="I40" s="77"/>
      <c r="J40" s="79" t="s">
        <v>337</v>
      </c>
      <c r="K40" s="307">
        <v>3.0</v>
      </c>
      <c r="L40" s="3"/>
      <c r="M40" s="3"/>
      <c r="N40" s="3"/>
    </row>
    <row r="41" ht="15.75" customHeight="1">
      <c r="B41" s="308"/>
      <c r="C41" s="255"/>
      <c r="D41" s="256"/>
      <c r="E41" s="245"/>
      <c r="G41" s="150"/>
      <c r="H41" s="150"/>
      <c r="I41" s="77"/>
      <c r="J41" s="79" t="s">
        <v>339</v>
      </c>
      <c r="K41" s="307">
        <v>2.0</v>
      </c>
      <c r="L41" s="3"/>
      <c r="M41" s="3"/>
      <c r="O41" s="3"/>
      <c r="P41" s="3"/>
      <c r="Q41" s="3"/>
      <c r="R41" s="3"/>
    </row>
    <row r="42" ht="15.75" customHeight="1">
      <c r="B42" s="308"/>
      <c r="C42" s="88"/>
      <c r="D42" s="256"/>
      <c r="E42" s="245"/>
      <c r="G42" s="150"/>
      <c r="H42" s="176"/>
      <c r="I42" s="103"/>
      <c r="J42" s="311" t="s">
        <v>342</v>
      </c>
      <c r="K42" s="312">
        <v>2.0</v>
      </c>
      <c r="L42" s="296"/>
      <c r="M42" s="313"/>
      <c r="N42" s="314"/>
      <c r="O42" s="296"/>
      <c r="P42" s="296"/>
      <c r="Q42" s="296"/>
      <c r="R42" s="296"/>
      <c r="S42" s="296"/>
      <c r="T42" s="296"/>
      <c r="U42" s="296"/>
      <c r="V42" s="296"/>
      <c r="W42" s="296"/>
      <c r="X42" s="296"/>
      <c r="Y42" s="296"/>
      <c r="Z42" s="296"/>
      <c r="AA42" s="296"/>
      <c r="AB42" s="296"/>
    </row>
    <row r="43" ht="18.0" customHeight="1">
      <c r="B43" s="264"/>
      <c r="C43" s="63"/>
      <c r="D43" s="184"/>
      <c r="E43" s="245"/>
      <c r="G43" s="150"/>
      <c r="H43" s="317" t="s">
        <v>348</v>
      </c>
      <c r="I43" s="320" t="s">
        <v>351</v>
      </c>
      <c r="J43" s="79" t="s">
        <v>353</v>
      </c>
      <c r="K43" s="290">
        <v>1.0</v>
      </c>
      <c r="L43" s="163"/>
      <c r="M43" s="3"/>
      <c r="N43" s="324"/>
    </row>
    <row r="44" ht="15.75" customHeight="1">
      <c r="B44" s="293"/>
      <c r="C44" s="88"/>
      <c r="D44" s="148"/>
      <c r="E44" s="245"/>
      <c r="G44" s="150"/>
      <c r="H44" s="326"/>
      <c r="I44" s="149"/>
      <c r="J44" s="79" t="s">
        <v>362</v>
      </c>
      <c r="K44" s="290">
        <v>6.0</v>
      </c>
      <c r="L44" s="282"/>
      <c r="M44" s="283"/>
      <c r="N44" s="285"/>
      <c r="O44" s="292"/>
      <c r="P44" s="287"/>
    </row>
    <row r="45" ht="15.75" customHeight="1">
      <c r="B45" s="293"/>
      <c r="C45" s="63"/>
      <c r="D45" s="148"/>
      <c r="E45" s="245"/>
      <c r="G45" s="150"/>
      <c r="H45" s="326"/>
      <c r="I45" s="149"/>
      <c r="J45" s="79" t="s">
        <v>368</v>
      </c>
      <c r="K45" s="290">
        <v>2.0</v>
      </c>
      <c r="L45" s="3"/>
      <c r="M45" s="3"/>
    </row>
    <row r="46" ht="15.75" customHeight="1">
      <c r="B46" s="268"/>
      <c r="C46" s="88"/>
      <c r="D46" s="214"/>
      <c r="E46" s="245"/>
      <c r="G46" s="150"/>
      <c r="H46" s="326"/>
      <c r="I46" s="149"/>
      <c r="J46" s="79" t="s">
        <v>372</v>
      </c>
      <c r="K46" s="290">
        <v>2.0</v>
      </c>
      <c r="L46" s="180"/>
      <c r="M46" s="3"/>
      <c r="N46" s="3"/>
      <c r="O46" s="3"/>
    </row>
    <row r="47" ht="15.75" customHeight="1">
      <c r="B47" s="277"/>
      <c r="C47" s="63"/>
      <c r="D47" s="220"/>
      <c r="E47" s="305"/>
      <c r="G47" s="150"/>
      <c r="H47" s="326"/>
      <c r="I47" s="90"/>
      <c r="J47" s="178" t="s">
        <v>332</v>
      </c>
      <c r="K47" s="295">
        <v>4.0</v>
      </c>
      <c r="L47" s="328"/>
      <c r="M47" s="296"/>
      <c r="N47" s="296"/>
      <c r="O47" s="298"/>
      <c r="P47" s="296"/>
      <c r="Q47" s="296"/>
      <c r="R47" s="296"/>
      <c r="S47" s="296"/>
      <c r="T47" s="296"/>
      <c r="U47" s="296"/>
      <c r="V47" s="296"/>
      <c r="W47" s="296"/>
      <c r="X47" s="296"/>
      <c r="Y47" s="296"/>
      <c r="Z47" s="296"/>
      <c r="AA47" s="296"/>
      <c r="AB47" s="296"/>
    </row>
    <row r="48" ht="15.75" customHeight="1">
      <c r="B48" s="264"/>
      <c r="C48" s="88"/>
      <c r="D48" s="184"/>
      <c r="E48" s="245"/>
      <c r="G48" s="150"/>
      <c r="H48" s="326"/>
      <c r="I48" s="320" t="s">
        <v>378</v>
      </c>
      <c r="J48" s="79" t="s">
        <v>353</v>
      </c>
      <c r="K48" s="290">
        <v>1.0</v>
      </c>
      <c r="L48" s="3"/>
      <c r="M48" s="3"/>
    </row>
    <row r="49" ht="15.75" customHeight="1">
      <c r="B49" s="264"/>
      <c r="C49" s="63"/>
      <c r="D49" s="184"/>
      <c r="E49" s="245"/>
      <c r="G49" s="150"/>
      <c r="H49" s="326"/>
      <c r="I49" s="149"/>
      <c r="J49" s="79" t="s">
        <v>362</v>
      </c>
      <c r="K49" s="290">
        <v>6.0</v>
      </c>
      <c r="L49" s="282"/>
      <c r="M49" s="283"/>
      <c r="N49" s="285"/>
      <c r="O49" s="292"/>
      <c r="P49" s="287"/>
    </row>
    <row r="50" ht="15.75" customHeight="1">
      <c r="B50" s="268"/>
      <c r="C50" s="88"/>
      <c r="D50" s="214"/>
      <c r="E50" s="68"/>
      <c r="G50" s="150"/>
      <c r="H50" s="326"/>
      <c r="I50" s="149"/>
      <c r="J50" s="79" t="s">
        <v>368</v>
      </c>
      <c r="K50" s="290">
        <v>2.0</v>
      </c>
      <c r="L50" s="3"/>
      <c r="M50" s="3"/>
    </row>
    <row r="51" ht="15.75" customHeight="1">
      <c r="B51" s="264"/>
      <c r="C51" s="182"/>
      <c r="D51" s="63"/>
      <c r="E51" s="245"/>
      <c r="G51" s="150"/>
      <c r="H51" s="326"/>
      <c r="I51" s="149"/>
      <c r="J51" s="79" t="s">
        <v>372</v>
      </c>
      <c r="K51" s="290">
        <v>5.0</v>
      </c>
      <c r="L51" s="180"/>
      <c r="M51" s="3"/>
      <c r="N51" s="3"/>
    </row>
    <row r="52" ht="15.75" customHeight="1">
      <c r="B52" s="277"/>
      <c r="C52" s="219"/>
      <c r="D52" s="88"/>
      <c r="E52" s="332"/>
      <c r="G52" s="150"/>
      <c r="H52" s="326"/>
      <c r="I52" s="90"/>
      <c r="J52" s="178" t="s">
        <v>332</v>
      </c>
      <c r="K52" s="295">
        <v>2.0</v>
      </c>
      <c r="L52" s="328"/>
      <c r="M52" s="296"/>
      <c r="N52" s="296"/>
      <c r="O52" s="296"/>
      <c r="P52" s="296"/>
      <c r="Q52" s="296"/>
    </row>
    <row r="53" ht="18.0" customHeight="1">
      <c r="B53" s="86" t="s">
        <v>386</v>
      </c>
      <c r="C53" s="5"/>
      <c r="D53" s="5"/>
      <c r="G53" s="150"/>
      <c r="H53" s="326"/>
      <c r="I53" s="336" t="s">
        <v>387</v>
      </c>
      <c r="J53" s="204" t="s">
        <v>390</v>
      </c>
      <c r="K53" s="339"/>
      <c r="L53" s="3"/>
      <c r="M53" s="3"/>
      <c r="N53" s="3"/>
      <c r="O53" s="3"/>
    </row>
    <row r="54" ht="15.75" customHeight="1">
      <c r="B54" s="203"/>
      <c r="C54" s="341"/>
      <c r="D54" s="341"/>
      <c r="E54" s="203"/>
      <c r="G54" s="150"/>
      <c r="H54" s="326"/>
      <c r="I54" s="149"/>
      <c r="J54" s="79" t="s">
        <v>372</v>
      </c>
      <c r="K54" s="290">
        <v>2.0</v>
      </c>
      <c r="L54" s="83"/>
      <c r="M54" s="3"/>
    </row>
    <row r="55" ht="15.75" customHeight="1">
      <c r="E55" s="203"/>
      <c r="G55" s="150"/>
      <c r="H55" s="326"/>
      <c r="I55" s="149"/>
      <c r="J55" s="343" t="s">
        <v>396</v>
      </c>
      <c r="K55" s="290">
        <v>1.0</v>
      </c>
      <c r="L55" s="83"/>
      <c r="M55" s="3"/>
    </row>
    <row r="56" ht="15.75" customHeight="1">
      <c r="E56" s="203"/>
      <c r="G56" s="150"/>
      <c r="H56" s="326"/>
      <c r="I56" s="149"/>
      <c r="J56" s="79" t="s">
        <v>401</v>
      </c>
      <c r="K56" s="290"/>
      <c r="L56" s="3"/>
      <c r="M56" s="3"/>
      <c r="O56" s="3"/>
      <c r="Q56" s="3"/>
    </row>
    <row r="57" ht="15.75" customHeight="1">
      <c r="B57" s="346" t="s">
        <v>402</v>
      </c>
      <c r="C57" s="348" t="s">
        <v>405</v>
      </c>
      <c r="D57" s="350" t="s">
        <v>407</v>
      </c>
      <c r="E57" s="203"/>
      <c r="G57" s="150"/>
      <c r="H57" s="326"/>
      <c r="I57" s="149"/>
      <c r="J57" s="79" t="s">
        <v>372</v>
      </c>
      <c r="K57" s="290">
        <v>1.0</v>
      </c>
      <c r="L57" s="83"/>
      <c r="M57" s="3"/>
    </row>
    <row r="58" ht="15.75" customHeight="1">
      <c r="B58" s="353"/>
      <c r="C58" s="153"/>
      <c r="D58" s="154"/>
      <c r="E58" s="203"/>
      <c r="G58" s="150"/>
      <c r="H58" s="326"/>
      <c r="I58" s="149"/>
      <c r="J58" s="354" t="s">
        <v>396</v>
      </c>
      <c r="K58" s="290">
        <v>1.0</v>
      </c>
      <c r="L58" s="83"/>
      <c r="M58" s="3"/>
      <c r="N58" s="3"/>
      <c r="O58" s="3"/>
      <c r="P58" s="3"/>
      <c r="Q58" s="3"/>
    </row>
    <row r="59" ht="15.75" customHeight="1">
      <c r="B59" s="355"/>
      <c r="C59" s="356"/>
      <c r="D59" s="148"/>
      <c r="E59" s="203"/>
      <c r="F59" s="203"/>
      <c r="G59" s="150"/>
      <c r="H59" s="326"/>
      <c r="I59" s="149"/>
      <c r="J59" s="139" t="s">
        <v>414</v>
      </c>
      <c r="K59" s="290"/>
      <c r="L59" s="3"/>
      <c r="M59" s="3"/>
    </row>
    <row r="60" ht="15.75" customHeight="1">
      <c r="B60" s="364"/>
      <c r="C60" s="356"/>
      <c r="D60" s="148"/>
      <c r="E60" s="203"/>
      <c r="F60" s="203"/>
      <c r="G60" s="150"/>
      <c r="H60" s="326"/>
      <c r="I60" s="149"/>
      <c r="J60" s="79" t="s">
        <v>372</v>
      </c>
      <c r="K60" s="290">
        <v>2.0</v>
      </c>
      <c r="L60" s="83"/>
      <c r="M60" s="3"/>
    </row>
    <row r="61" ht="15.75" customHeight="1">
      <c r="B61" s="355"/>
      <c r="C61" s="372"/>
      <c r="D61" s="373"/>
      <c r="E61" s="203"/>
      <c r="F61" s="203"/>
      <c r="G61" s="150"/>
      <c r="H61" s="326"/>
      <c r="I61" s="149"/>
      <c r="J61" s="343" t="s">
        <v>422</v>
      </c>
      <c r="K61" s="290">
        <v>1.0</v>
      </c>
      <c r="L61" s="83"/>
      <c r="M61" s="3"/>
    </row>
    <row r="62" ht="15.75" customHeight="1">
      <c r="B62" s="364"/>
      <c r="C62" s="375"/>
      <c r="D62" s="376"/>
      <c r="E62" s="203"/>
      <c r="F62" s="203"/>
      <c r="G62" s="150"/>
      <c r="H62" s="379"/>
      <c r="I62" s="90"/>
      <c r="J62" s="343" t="s">
        <v>396</v>
      </c>
      <c r="K62" s="295">
        <v>2.0</v>
      </c>
      <c r="L62" s="3"/>
      <c r="M62" s="3"/>
    </row>
    <row r="63" ht="15.75" customHeight="1">
      <c r="B63" s="353"/>
      <c r="C63" s="193"/>
      <c r="D63" s="65"/>
      <c r="E63" s="203"/>
      <c r="F63" s="203"/>
      <c r="G63" s="150"/>
      <c r="H63" s="384" t="s">
        <v>430</v>
      </c>
      <c r="I63" s="320" t="s">
        <v>433</v>
      </c>
      <c r="J63" s="79" t="s">
        <v>353</v>
      </c>
      <c r="K63" s="290">
        <v>1.0</v>
      </c>
      <c r="L63" s="3"/>
      <c r="M63" s="3"/>
    </row>
    <row r="64" ht="15.75" customHeight="1">
      <c r="B64" s="364"/>
      <c r="C64" s="375"/>
      <c r="D64" s="214"/>
      <c r="E64" s="203"/>
      <c r="F64" s="203"/>
      <c r="G64" s="150"/>
      <c r="H64" s="326"/>
      <c r="I64" s="149"/>
      <c r="J64" s="79" t="s">
        <v>362</v>
      </c>
      <c r="K64" s="290">
        <v>6.0</v>
      </c>
      <c r="L64" s="282"/>
      <c r="M64" s="283"/>
      <c r="N64" s="285"/>
      <c r="O64" s="292"/>
      <c r="P64" s="287"/>
    </row>
    <row r="65" ht="15.75" customHeight="1">
      <c r="B65" s="355"/>
      <c r="C65" s="372"/>
      <c r="D65" s="214"/>
      <c r="E65" s="203"/>
      <c r="F65" s="203"/>
      <c r="G65" s="150"/>
      <c r="H65" s="326"/>
      <c r="I65" s="149"/>
      <c r="J65" s="79" t="s">
        <v>368</v>
      </c>
      <c r="K65" s="290">
        <v>2.0</v>
      </c>
      <c r="L65" s="3"/>
      <c r="M65" s="3"/>
    </row>
    <row r="66" ht="15.75" customHeight="1">
      <c r="B66" s="364"/>
      <c r="C66" s="375"/>
      <c r="D66" s="8"/>
      <c r="E66" s="203"/>
      <c r="F66" s="203"/>
      <c r="G66" s="150"/>
      <c r="H66" s="326"/>
      <c r="I66" s="149"/>
      <c r="J66" s="79" t="s">
        <v>372</v>
      </c>
      <c r="K66" s="290">
        <v>4.0</v>
      </c>
      <c r="L66" s="83"/>
      <c r="M66" s="3"/>
      <c r="N66" s="3"/>
      <c r="O66" s="3"/>
      <c r="P66" s="3"/>
      <c r="Q66" s="3"/>
      <c r="R66" s="3"/>
      <c r="S66" s="3"/>
      <c r="T66" s="3"/>
      <c r="U66" s="3"/>
    </row>
    <row r="67" ht="15.75" customHeight="1">
      <c r="B67" s="355"/>
      <c r="C67" s="372"/>
      <c r="D67" s="393"/>
      <c r="E67" s="203"/>
      <c r="F67" s="203"/>
      <c r="G67" s="176"/>
      <c r="H67" s="379"/>
      <c r="I67" s="90"/>
      <c r="J67" s="79" t="s">
        <v>332</v>
      </c>
      <c r="K67" s="295">
        <v>1.0</v>
      </c>
      <c r="L67" s="328"/>
      <c r="M67" s="296"/>
      <c r="N67" s="296"/>
      <c r="O67" s="296"/>
      <c r="P67" s="296"/>
      <c r="Q67" s="296"/>
      <c r="R67" s="296"/>
      <c r="S67" s="296"/>
      <c r="T67" s="296"/>
      <c r="U67" s="296"/>
      <c r="V67" s="296"/>
      <c r="W67" s="296"/>
      <c r="X67" s="296"/>
      <c r="Y67" s="296"/>
      <c r="Z67" s="296"/>
      <c r="AA67" s="296"/>
      <c r="AB67" s="296"/>
    </row>
    <row r="68" ht="24.75" customHeight="1">
      <c r="B68" s="353"/>
      <c r="C68" s="174"/>
      <c r="D68" s="201"/>
      <c r="E68" s="203"/>
      <c r="F68" s="203"/>
      <c r="G68" s="101" t="s">
        <v>450</v>
      </c>
      <c r="H68" s="395" t="s">
        <v>451</v>
      </c>
      <c r="I68" s="93"/>
      <c r="J68" s="396" t="s">
        <v>413</v>
      </c>
      <c r="K68" s="396">
        <v>2.0</v>
      </c>
      <c r="L68" s="3"/>
      <c r="M68" s="3"/>
    </row>
    <row r="69" ht="24.75" customHeight="1">
      <c r="B69" s="355"/>
      <c r="C69" s="372"/>
      <c r="D69" s="201"/>
      <c r="E69" s="203"/>
      <c r="F69" s="203"/>
      <c r="G69" s="90"/>
      <c r="H69" s="176"/>
      <c r="I69" s="103"/>
      <c r="J69" s="397" t="s">
        <v>418</v>
      </c>
      <c r="K69" s="397">
        <v>2.0</v>
      </c>
      <c r="L69" s="3"/>
      <c r="M69" s="3"/>
    </row>
    <row r="70" ht="39.75" customHeight="1">
      <c r="B70" s="364"/>
      <c r="C70" s="375"/>
      <c r="D70" s="256"/>
      <c r="E70" s="203"/>
      <c r="F70" s="203"/>
      <c r="G70" s="136" t="s">
        <v>463</v>
      </c>
      <c r="H70" s="303" t="s">
        <v>431</v>
      </c>
      <c r="I70" s="259"/>
      <c r="J70" s="399" t="s">
        <v>467</v>
      </c>
      <c r="K70" s="77"/>
    </row>
    <row r="71" ht="20.25" customHeight="1">
      <c r="B71" s="355"/>
      <c r="C71" s="372"/>
      <c r="D71" s="256"/>
      <c r="E71" s="203"/>
      <c r="F71" s="203"/>
      <c r="G71" s="150"/>
      <c r="H71" s="150"/>
      <c r="I71" s="77"/>
      <c r="J71" s="150"/>
      <c r="K71" s="77"/>
    </row>
    <row r="72" ht="28.5" customHeight="1">
      <c r="B72" s="364"/>
      <c r="C72" s="375"/>
      <c r="D72" s="393"/>
      <c r="E72" s="203"/>
      <c r="F72" s="203"/>
      <c r="G72" s="150"/>
      <c r="H72" s="150"/>
      <c r="I72" s="77"/>
      <c r="J72" s="176"/>
      <c r="K72" s="103"/>
      <c r="L72" s="296"/>
      <c r="M72" s="296"/>
      <c r="N72" s="296"/>
      <c r="O72" s="296"/>
      <c r="P72" s="296"/>
      <c r="Q72" s="296"/>
      <c r="R72" s="296"/>
      <c r="S72" s="296"/>
      <c r="T72" s="296"/>
      <c r="U72" s="296"/>
      <c r="V72" s="296"/>
      <c r="W72" s="296"/>
      <c r="X72" s="296"/>
      <c r="Y72" s="296"/>
      <c r="Z72" s="296"/>
      <c r="AA72" s="296"/>
      <c r="AB72" s="296"/>
    </row>
    <row r="73" ht="15.75" customHeight="1">
      <c r="B73" s="353"/>
      <c r="C73" s="87"/>
      <c r="D73" s="244"/>
      <c r="E73" s="203"/>
      <c r="F73" s="203"/>
      <c r="G73" s="150"/>
      <c r="H73" s="150"/>
      <c r="I73" s="77"/>
      <c r="J73" s="306" t="s">
        <v>333</v>
      </c>
      <c r="K73" s="290">
        <v>2.0</v>
      </c>
      <c r="L73" s="3"/>
      <c r="M73" s="3"/>
    </row>
    <row r="74" ht="15.75" customHeight="1">
      <c r="B74" s="364"/>
      <c r="C74" s="375"/>
      <c r="D74" s="184"/>
      <c r="E74" s="203"/>
      <c r="F74" s="203"/>
      <c r="G74" s="150"/>
      <c r="H74" s="150"/>
      <c r="I74" s="77"/>
      <c r="J74" s="79" t="s">
        <v>337</v>
      </c>
      <c r="K74" s="290">
        <v>2.0</v>
      </c>
      <c r="L74" s="3"/>
      <c r="M74" s="3"/>
    </row>
    <row r="75" ht="15.75" customHeight="1">
      <c r="B75" s="355"/>
      <c r="C75" s="372"/>
      <c r="D75" s="184"/>
      <c r="E75" s="203"/>
      <c r="F75" s="203"/>
      <c r="G75" s="150"/>
      <c r="H75" s="150"/>
      <c r="I75" s="77"/>
      <c r="J75" s="79" t="s">
        <v>339</v>
      </c>
      <c r="K75" s="290">
        <v>2.0</v>
      </c>
      <c r="L75" s="3"/>
      <c r="M75" s="3"/>
      <c r="N75" s="3"/>
    </row>
    <row r="76" ht="15.75" customHeight="1">
      <c r="B76" s="364"/>
      <c r="C76" s="375"/>
      <c r="D76" s="393"/>
      <c r="E76" s="203"/>
      <c r="F76" s="203"/>
      <c r="G76" s="150"/>
      <c r="H76" s="176"/>
      <c r="I76" s="103"/>
      <c r="J76" s="343" t="s">
        <v>490</v>
      </c>
      <c r="K76" s="295">
        <v>2.0</v>
      </c>
      <c r="L76" s="296"/>
      <c r="M76" s="296"/>
      <c r="N76" s="298"/>
      <c r="O76" s="296"/>
      <c r="P76" s="296"/>
      <c r="Q76" s="296"/>
      <c r="R76" s="296"/>
    </row>
    <row r="77" ht="15.75" customHeight="1">
      <c r="B77" s="355"/>
      <c r="C77" s="372"/>
      <c r="D77" s="249"/>
      <c r="E77" s="203"/>
      <c r="F77" s="203"/>
      <c r="G77" s="150"/>
      <c r="H77" s="317" t="s">
        <v>495</v>
      </c>
      <c r="I77" s="320" t="s">
        <v>497</v>
      </c>
      <c r="J77" s="79" t="s">
        <v>353</v>
      </c>
      <c r="K77" s="290">
        <v>1.0</v>
      </c>
      <c r="L77" s="324"/>
      <c r="M77" s="324"/>
      <c r="N77" s="324"/>
      <c r="O77" s="324"/>
      <c r="P77" s="324"/>
      <c r="Q77" s="324"/>
    </row>
    <row r="78" ht="15.75" customHeight="1">
      <c r="B78" s="353"/>
      <c r="C78" s="251"/>
      <c r="D78" s="131"/>
      <c r="E78" s="203"/>
      <c r="F78" s="203"/>
      <c r="G78" s="150"/>
      <c r="H78" s="326"/>
      <c r="I78" s="149"/>
      <c r="J78" s="79" t="s">
        <v>362</v>
      </c>
      <c r="K78" s="290">
        <v>6.0</v>
      </c>
      <c r="L78" s="282"/>
      <c r="M78" s="283"/>
      <c r="N78" s="285"/>
      <c r="O78" s="292"/>
      <c r="P78" s="287"/>
    </row>
    <row r="79" ht="15.75" customHeight="1">
      <c r="B79" s="355"/>
      <c r="C79" s="372"/>
      <c r="D79" s="131"/>
      <c r="E79" s="203"/>
      <c r="F79" s="203"/>
      <c r="G79" s="150"/>
      <c r="H79" s="326"/>
      <c r="I79" s="149"/>
      <c r="J79" s="79" t="s">
        <v>368</v>
      </c>
      <c r="K79" s="290">
        <v>2.0</v>
      </c>
      <c r="L79" s="3"/>
      <c r="M79" s="3"/>
    </row>
    <row r="80" ht="15.75" customHeight="1">
      <c r="B80" s="364"/>
      <c r="C80" s="375"/>
      <c r="D80" s="220"/>
      <c r="E80" s="203"/>
      <c r="F80" s="203"/>
      <c r="G80" s="150"/>
      <c r="H80" s="326"/>
      <c r="I80" s="149"/>
      <c r="J80" s="79" t="s">
        <v>372</v>
      </c>
      <c r="K80" s="290">
        <v>3.0</v>
      </c>
      <c r="L80" s="5"/>
      <c r="M80" s="415"/>
      <c r="N80" s="3"/>
      <c r="O80" s="3"/>
    </row>
    <row r="81" ht="15.75" customHeight="1">
      <c r="B81" s="355"/>
      <c r="C81" s="372"/>
      <c r="D81" s="220"/>
      <c r="E81" s="203"/>
      <c r="F81" s="203"/>
      <c r="G81" s="150"/>
      <c r="H81" s="326"/>
      <c r="I81" s="90"/>
      <c r="J81" s="178" t="s">
        <v>332</v>
      </c>
      <c r="K81" s="295">
        <v>2.0</v>
      </c>
      <c r="L81" s="418"/>
      <c r="M81" s="296"/>
      <c r="N81" s="298"/>
      <c r="O81" s="296"/>
      <c r="P81" s="296"/>
      <c r="Q81" s="296"/>
      <c r="R81" s="296"/>
      <c r="S81" s="296"/>
      <c r="T81" s="296"/>
      <c r="U81" s="296"/>
      <c r="V81" s="296"/>
      <c r="W81" s="296"/>
      <c r="X81" s="296"/>
      <c r="Y81" s="296"/>
      <c r="Z81" s="296"/>
      <c r="AA81" s="296"/>
      <c r="AB81" s="296"/>
    </row>
    <row r="82" ht="15.75" customHeight="1">
      <c r="B82" s="422"/>
      <c r="C82" s="424"/>
      <c r="D82" s="426"/>
      <c r="E82" s="203"/>
      <c r="F82" s="203"/>
      <c r="G82" s="150"/>
      <c r="H82" s="326"/>
      <c r="I82" s="320" t="s">
        <v>513</v>
      </c>
      <c r="J82" s="79" t="s">
        <v>353</v>
      </c>
      <c r="K82" s="290">
        <v>1.0</v>
      </c>
      <c r="L82" s="427"/>
      <c r="M82" s="324"/>
      <c r="N82" s="324"/>
      <c r="O82" s="324"/>
      <c r="P82" s="324"/>
      <c r="Q82" s="324"/>
    </row>
    <row r="83" ht="15.75" customHeight="1">
      <c r="C83" s="5"/>
      <c r="D83" s="5"/>
      <c r="E83" s="203"/>
      <c r="F83" s="203"/>
      <c r="G83" s="150"/>
      <c r="H83" s="326"/>
      <c r="I83" s="149"/>
      <c r="J83" s="79" t="s">
        <v>362</v>
      </c>
      <c r="K83" s="290">
        <v>6.0</v>
      </c>
      <c r="L83" s="429"/>
      <c r="M83" s="283"/>
      <c r="N83" s="285"/>
      <c r="O83" s="292"/>
      <c r="P83" s="287"/>
    </row>
    <row r="84" ht="15.75" customHeight="1">
      <c r="B84" s="346" t="s">
        <v>515</v>
      </c>
      <c r="C84" s="348" t="s">
        <v>405</v>
      </c>
      <c r="D84" s="350" t="s">
        <v>407</v>
      </c>
      <c r="E84" s="203"/>
      <c r="F84" s="203"/>
      <c r="G84" s="150"/>
      <c r="H84" s="326"/>
      <c r="I84" s="149"/>
      <c r="J84" s="79" t="s">
        <v>368</v>
      </c>
      <c r="K84" s="290">
        <v>2.0</v>
      </c>
      <c r="L84" s="5"/>
      <c r="M84" s="3"/>
    </row>
    <row r="85" ht="15.75" customHeight="1">
      <c r="B85" s="353"/>
      <c r="C85" s="153"/>
      <c r="D85" s="154"/>
      <c r="E85" s="203"/>
      <c r="F85" s="203"/>
      <c r="G85" s="150"/>
      <c r="H85" s="326"/>
      <c r="I85" s="149"/>
      <c r="J85" s="79" t="s">
        <v>372</v>
      </c>
      <c r="K85" s="290">
        <v>3.0</v>
      </c>
      <c r="L85" s="5"/>
      <c r="M85" s="3"/>
      <c r="N85" s="3"/>
    </row>
    <row r="86" ht="15.75" customHeight="1">
      <c r="B86" s="355"/>
      <c r="C86" s="356"/>
      <c r="D86" s="148"/>
      <c r="E86" s="203"/>
      <c r="F86" s="203"/>
      <c r="G86" s="150"/>
      <c r="H86" s="326"/>
      <c r="I86" s="90"/>
      <c r="J86" s="433" t="s">
        <v>332</v>
      </c>
      <c r="K86" s="434">
        <v>2.0</v>
      </c>
      <c r="L86" s="418"/>
      <c r="M86" s="296"/>
      <c r="N86" s="296"/>
      <c r="O86" s="296"/>
      <c r="P86" s="296"/>
      <c r="Q86" s="296"/>
      <c r="R86" s="3"/>
      <c r="S86" s="3"/>
      <c r="T86" s="3"/>
      <c r="U86" s="3"/>
      <c r="V86" s="3"/>
      <c r="W86" s="3"/>
      <c r="Z86" s="3"/>
      <c r="AA86" s="3"/>
    </row>
    <row r="87" ht="15.75" customHeight="1">
      <c r="B87" s="364"/>
      <c r="C87" s="356"/>
      <c r="D87" s="148"/>
      <c r="E87" s="203"/>
      <c r="F87" s="203"/>
      <c r="G87" s="150"/>
      <c r="H87" s="326"/>
      <c r="I87" s="437" t="s">
        <v>521</v>
      </c>
      <c r="J87" s="79" t="s">
        <v>522</v>
      </c>
      <c r="K87" s="290"/>
      <c r="L87" s="427"/>
      <c r="M87" s="324"/>
      <c r="N87" s="324"/>
      <c r="O87" s="324"/>
      <c r="P87" s="324"/>
    </row>
    <row r="88" ht="15.75" customHeight="1">
      <c r="B88" s="355"/>
      <c r="C88" s="356"/>
      <c r="D88" s="438"/>
      <c r="E88" s="203"/>
      <c r="F88" s="203"/>
      <c r="G88" s="150"/>
      <c r="H88" s="326"/>
      <c r="I88" s="149"/>
      <c r="J88" s="79" t="s">
        <v>459</v>
      </c>
      <c r="K88" s="290">
        <v>1.0</v>
      </c>
      <c r="L88" s="5"/>
      <c r="N88" s="3"/>
    </row>
    <row r="89" ht="15.75" customHeight="1">
      <c r="B89" s="364"/>
      <c r="C89" s="375"/>
      <c r="D89" s="439"/>
      <c r="E89" s="203"/>
      <c r="F89" s="203"/>
      <c r="G89" s="150"/>
      <c r="H89" s="326"/>
      <c r="I89" s="149"/>
      <c r="J89" s="343" t="s">
        <v>372</v>
      </c>
      <c r="K89" s="295">
        <v>1.0</v>
      </c>
      <c r="L89" s="418"/>
      <c r="M89" s="296"/>
      <c r="N89" s="296"/>
      <c r="O89" s="296"/>
      <c r="P89" s="296"/>
      <c r="Q89" s="296"/>
      <c r="R89" s="296"/>
      <c r="S89" s="296"/>
      <c r="T89" s="296"/>
      <c r="U89" s="296"/>
      <c r="V89" s="296"/>
      <c r="W89" s="296"/>
      <c r="X89" s="296"/>
      <c r="Y89" s="296"/>
      <c r="Z89" s="296"/>
      <c r="AA89" s="296"/>
      <c r="AB89" s="296"/>
      <c r="AC89" s="3"/>
    </row>
    <row r="90" ht="15.75" customHeight="1">
      <c r="B90" s="355"/>
      <c r="C90" s="372"/>
      <c r="D90" s="249"/>
      <c r="E90" s="203"/>
      <c r="F90" s="203"/>
      <c r="G90" s="150"/>
      <c r="H90" s="326"/>
      <c r="I90" s="149"/>
      <c r="J90" s="79" t="s">
        <v>532</v>
      </c>
      <c r="K90" s="290"/>
      <c r="L90" s="5"/>
      <c r="M90" s="3"/>
      <c r="N90" s="3"/>
    </row>
    <row r="91" ht="15.75" customHeight="1">
      <c r="B91" s="353"/>
      <c r="C91" s="193"/>
      <c r="D91" s="65"/>
      <c r="E91" s="203"/>
      <c r="F91" s="203"/>
      <c r="G91" s="150"/>
      <c r="H91" s="326"/>
      <c r="I91" s="149"/>
      <c r="J91" s="79" t="s">
        <v>533</v>
      </c>
      <c r="K91" s="290">
        <v>1.0</v>
      </c>
      <c r="L91" s="5"/>
      <c r="M91" s="3"/>
    </row>
    <row r="92" ht="15.75" customHeight="1">
      <c r="B92" s="355"/>
      <c r="C92" s="372"/>
      <c r="D92" s="214"/>
      <c r="E92" s="203"/>
      <c r="F92" s="203"/>
      <c r="G92" s="150"/>
      <c r="H92" s="326"/>
      <c r="I92" s="149"/>
      <c r="J92" s="343" t="s">
        <v>536</v>
      </c>
      <c r="K92" s="295">
        <v>1.0</v>
      </c>
      <c r="L92" s="418"/>
      <c r="M92" s="296"/>
      <c r="N92" s="296"/>
      <c r="O92" s="296"/>
      <c r="P92" s="296"/>
      <c r="Q92" s="296"/>
      <c r="R92" s="296"/>
      <c r="S92" s="296"/>
      <c r="T92" s="296"/>
      <c r="U92" s="296"/>
      <c r="V92" s="296"/>
      <c r="W92" s="296"/>
      <c r="X92" s="296"/>
      <c r="Y92" s="296"/>
      <c r="Z92" s="296"/>
      <c r="AA92" s="296"/>
      <c r="AB92" s="296"/>
      <c r="AC92" s="3"/>
    </row>
    <row r="93" ht="15.75" customHeight="1">
      <c r="B93" s="364"/>
      <c r="C93" s="375"/>
      <c r="D93" s="214"/>
      <c r="E93" s="203"/>
      <c r="F93" s="203"/>
      <c r="G93" s="150"/>
      <c r="H93" s="326"/>
      <c r="I93" s="149"/>
      <c r="J93" s="79" t="s">
        <v>540</v>
      </c>
      <c r="K93" s="290"/>
      <c r="L93" s="5"/>
      <c r="M93" s="3"/>
      <c r="N93" s="3"/>
    </row>
    <row r="94" ht="15.75" customHeight="1">
      <c r="B94" s="355"/>
      <c r="C94" s="372"/>
      <c r="D94" s="8"/>
      <c r="E94" s="203"/>
      <c r="F94" s="203"/>
      <c r="G94" s="150"/>
      <c r="H94" s="326"/>
      <c r="I94" s="149"/>
      <c r="J94" s="79" t="s">
        <v>533</v>
      </c>
      <c r="K94" s="290">
        <v>1.0</v>
      </c>
      <c r="L94" s="418"/>
      <c r="M94" s="296"/>
    </row>
    <row r="95" ht="15.75" customHeight="1">
      <c r="B95" s="364"/>
      <c r="C95" s="375"/>
      <c r="D95" s="393"/>
      <c r="E95" s="203"/>
      <c r="F95" s="203"/>
      <c r="G95" s="150"/>
      <c r="H95" s="379"/>
      <c r="I95" s="90"/>
      <c r="J95" s="343" t="s">
        <v>536</v>
      </c>
      <c r="K95" s="295">
        <v>1.0</v>
      </c>
      <c r="L95" s="418"/>
      <c r="M95" s="296"/>
      <c r="N95" s="296"/>
      <c r="O95" s="296"/>
      <c r="P95" s="296"/>
      <c r="Q95" s="296"/>
      <c r="R95" s="296"/>
      <c r="S95" s="296"/>
      <c r="T95" s="296"/>
      <c r="U95" s="296"/>
      <c r="V95" s="296"/>
      <c r="W95" s="296"/>
      <c r="X95" s="296"/>
      <c r="Y95" s="296"/>
      <c r="Z95" s="296"/>
      <c r="AA95" s="296"/>
      <c r="AB95" s="296"/>
      <c r="AC95" s="3"/>
    </row>
    <row r="96" ht="15.75" customHeight="1">
      <c r="B96" s="355"/>
      <c r="C96" s="372"/>
      <c r="D96" s="249"/>
      <c r="E96" s="447"/>
      <c r="F96" s="447"/>
      <c r="G96" s="150"/>
      <c r="H96" s="317" t="s">
        <v>545</v>
      </c>
      <c r="I96" s="448" t="s">
        <v>547</v>
      </c>
      <c r="J96" s="79" t="s">
        <v>353</v>
      </c>
      <c r="K96" s="290">
        <v>3.0</v>
      </c>
      <c r="L96" s="427"/>
      <c r="M96" s="324"/>
      <c r="N96" s="324"/>
      <c r="O96" s="324"/>
      <c r="P96" s="324"/>
      <c r="Q96" s="324"/>
    </row>
    <row r="97" ht="16.5" customHeight="1">
      <c r="B97" s="353"/>
      <c r="C97" s="174"/>
      <c r="D97" s="201"/>
      <c r="E97" s="447"/>
      <c r="F97" s="447"/>
      <c r="G97" s="150"/>
      <c r="H97" s="326"/>
      <c r="I97" s="149"/>
      <c r="J97" s="79" t="s">
        <v>362</v>
      </c>
      <c r="K97" s="290">
        <v>6.0</v>
      </c>
      <c r="L97" s="429"/>
      <c r="M97" s="283"/>
      <c r="N97" s="285"/>
      <c r="O97" s="292"/>
      <c r="P97" s="287"/>
    </row>
    <row r="98" ht="15.75" customHeight="1">
      <c r="B98" s="355"/>
      <c r="C98" s="372"/>
      <c r="D98" s="201"/>
      <c r="E98" s="447"/>
      <c r="F98" s="447"/>
      <c r="G98" s="150"/>
      <c r="H98" s="326"/>
      <c r="I98" s="149"/>
      <c r="J98" s="79" t="s">
        <v>368</v>
      </c>
      <c r="K98" s="290">
        <v>2.0</v>
      </c>
      <c r="L98" s="5"/>
      <c r="M98" s="3"/>
    </row>
    <row r="99" ht="15.75" customHeight="1">
      <c r="B99" s="364"/>
      <c r="C99" s="375"/>
      <c r="D99" s="256"/>
      <c r="E99" s="447"/>
      <c r="F99" s="447"/>
      <c r="G99" s="150"/>
      <c r="H99" s="326"/>
      <c r="I99" s="149"/>
      <c r="J99" s="79" t="s">
        <v>372</v>
      </c>
      <c r="K99" s="290">
        <v>4.0</v>
      </c>
      <c r="L99" s="5"/>
      <c r="M99" s="3"/>
      <c r="N99" s="3"/>
      <c r="O99" s="3"/>
      <c r="P99" s="3"/>
    </row>
    <row r="100" ht="15.75" customHeight="1">
      <c r="B100" s="355"/>
      <c r="C100" s="372"/>
      <c r="D100" s="256"/>
      <c r="E100" s="203"/>
      <c r="F100" s="203"/>
      <c r="G100" s="176"/>
      <c r="H100" s="379"/>
      <c r="I100" s="90"/>
      <c r="J100" s="178" t="s">
        <v>332</v>
      </c>
      <c r="K100" s="295">
        <v>2.0</v>
      </c>
      <c r="L100" s="418"/>
      <c r="M100" s="296"/>
      <c r="N100" s="296"/>
      <c r="O100" s="296"/>
      <c r="P100" s="296"/>
      <c r="Q100" s="296"/>
      <c r="R100" s="296"/>
      <c r="S100" s="296"/>
      <c r="T100" s="296"/>
      <c r="U100" s="296"/>
      <c r="V100" s="296"/>
      <c r="W100" s="296"/>
      <c r="X100" s="296"/>
      <c r="Y100" s="296"/>
      <c r="Z100" s="296"/>
      <c r="AA100" s="296"/>
      <c r="AB100" s="296"/>
    </row>
    <row r="101" ht="15.75" customHeight="1">
      <c r="B101" s="364"/>
      <c r="C101" s="375"/>
      <c r="D101" s="256"/>
      <c r="E101" s="203"/>
      <c r="F101" s="203"/>
      <c r="G101" s="136" t="s">
        <v>552</v>
      </c>
      <c r="H101" s="239" t="s">
        <v>491</v>
      </c>
      <c r="I101" s="77"/>
      <c r="J101" s="79" t="s">
        <v>493</v>
      </c>
      <c r="K101" s="290">
        <v>2.0</v>
      </c>
      <c r="L101" s="3"/>
      <c r="M101" s="3"/>
      <c r="N101" s="324"/>
      <c r="O101" s="324"/>
      <c r="P101" s="324"/>
      <c r="Q101" s="324"/>
    </row>
    <row r="102" ht="15.75" customHeight="1">
      <c r="B102" s="355"/>
      <c r="C102" s="372"/>
      <c r="D102" s="393"/>
      <c r="E102" s="203"/>
      <c r="F102" s="203"/>
      <c r="G102" s="176"/>
      <c r="H102" s="176"/>
      <c r="I102" s="103"/>
      <c r="J102" s="178" t="s">
        <v>496</v>
      </c>
      <c r="K102" s="295">
        <v>2.0</v>
      </c>
      <c r="L102" s="3"/>
      <c r="M102" s="3"/>
      <c r="N102" s="296"/>
      <c r="O102" s="296"/>
      <c r="P102" s="296"/>
      <c r="Q102" s="296"/>
      <c r="R102" s="296"/>
      <c r="S102" s="296"/>
      <c r="T102" s="296"/>
      <c r="U102" s="296"/>
      <c r="V102" s="296"/>
      <c r="W102" s="296"/>
      <c r="X102" s="296"/>
      <c r="Y102" s="296"/>
      <c r="Z102" s="296"/>
      <c r="AA102" s="296"/>
      <c r="AB102" s="296"/>
    </row>
    <row r="103" ht="16.5" customHeight="1">
      <c r="B103" s="353"/>
      <c r="C103" s="87"/>
      <c r="D103" s="244"/>
      <c r="E103" s="203"/>
      <c r="F103" s="203"/>
      <c r="G103" s="136" t="s">
        <v>554</v>
      </c>
      <c r="H103" s="136" t="s">
        <v>501</v>
      </c>
      <c r="I103" s="77"/>
      <c r="J103" s="459" t="s">
        <v>555</v>
      </c>
      <c r="K103" s="462" t="s">
        <v>556</v>
      </c>
      <c r="L103" s="324" t="s">
        <v>557</v>
      </c>
      <c r="M103" s="324"/>
      <c r="N103" s="324"/>
      <c r="O103" s="324"/>
      <c r="P103" s="324"/>
      <c r="Q103" s="324"/>
    </row>
    <row r="104" ht="15.75" customHeight="1">
      <c r="B104" s="355"/>
      <c r="C104" s="372"/>
      <c r="D104" s="184"/>
      <c r="E104" s="203"/>
      <c r="F104" s="203"/>
      <c r="G104" s="176"/>
      <c r="H104" s="176"/>
      <c r="I104" s="103"/>
      <c r="J104" s="90"/>
      <c r="K104" s="103"/>
      <c r="L104" s="3" t="s">
        <v>558</v>
      </c>
    </row>
    <row r="105" ht="15.75" customHeight="1">
      <c r="B105" s="364"/>
      <c r="C105" s="375"/>
      <c r="D105" s="184"/>
      <c r="E105" s="203"/>
      <c r="F105" s="203"/>
      <c r="G105" s="73" t="s">
        <v>559</v>
      </c>
      <c r="H105" s="95" t="s">
        <v>560</v>
      </c>
      <c r="I105" s="93"/>
      <c r="J105" s="139" t="s">
        <v>561</v>
      </c>
      <c r="K105" s="467">
        <v>4.0</v>
      </c>
      <c r="L105" s="468"/>
      <c r="M105" s="469"/>
      <c r="N105" s="470"/>
      <c r="O105" s="470"/>
      <c r="P105" s="471"/>
      <c r="Q105" s="471"/>
      <c r="R105" s="471"/>
      <c r="S105" s="472"/>
      <c r="T105" s="472"/>
      <c r="U105" s="472"/>
      <c r="V105" s="472"/>
      <c r="W105" s="472"/>
      <c r="X105" s="472"/>
      <c r="Y105" s="472"/>
      <c r="Z105" s="472"/>
      <c r="AA105" s="472"/>
      <c r="AB105" s="472"/>
      <c r="AC105" s="35"/>
      <c r="AD105" s="35"/>
      <c r="AE105" s="35"/>
    </row>
    <row r="106" ht="15.75" customHeight="1">
      <c r="B106" s="355"/>
      <c r="C106" s="372"/>
      <c r="D106" s="184"/>
      <c r="E106" s="203"/>
      <c r="F106" s="203"/>
      <c r="G106" s="90"/>
      <c r="H106" s="176"/>
      <c r="I106" s="103"/>
      <c r="J106" s="178" t="s">
        <v>64</v>
      </c>
      <c r="K106" s="473">
        <v>3.0</v>
      </c>
      <c r="L106" s="474"/>
      <c r="M106" s="475"/>
      <c r="N106" s="475"/>
      <c r="O106" s="476"/>
      <c r="P106" s="476"/>
      <c r="Q106" s="476"/>
      <c r="R106" s="476"/>
      <c r="S106" s="296"/>
    </row>
    <row r="107" ht="15.75" customHeight="1">
      <c r="B107" s="364"/>
      <c r="C107" s="375"/>
      <c r="D107" s="184"/>
      <c r="E107" s="203"/>
      <c r="F107" s="203"/>
      <c r="G107" s="477">
        <v>0.7708333333333334</v>
      </c>
      <c r="H107" s="95" t="s">
        <v>506</v>
      </c>
      <c r="I107" s="93"/>
      <c r="J107" s="8"/>
    </row>
    <row r="108" ht="15.75" customHeight="1">
      <c r="B108" s="355"/>
      <c r="C108" s="372"/>
      <c r="D108" s="249"/>
      <c r="E108" s="203"/>
      <c r="F108" s="203"/>
      <c r="G108" s="90"/>
      <c r="H108" s="176"/>
      <c r="I108" s="103"/>
    </row>
    <row r="109" ht="15.75" customHeight="1">
      <c r="B109" s="353"/>
      <c r="C109" s="251"/>
      <c r="D109" s="131"/>
      <c r="E109" s="203"/>
      <c r="F109" s="203"/>
    </row>
    <row r="110" ht="15.75" customHeight="1">
      <c r="B110" s="355"/>
      <c r="C110" s="372"/>
      <c r="D110" s="220"/>
      <c r="E110" s="203"/>
      <c r="F110" s="203"/>
      <c r="G110" s="86" t="s">
        <v>562</v>
      </c>
      <c r="H110" s="232" t="s">
        <v>563</v>
      </c>
      <c r="I110" s="53"/>
      <c r="J110" s="39"/>
      <c r="K110" s="478">
        <v>1.0</v>
      </c>
      <c r="L110" s="478"/>
    </row>
    <row r="111" ht="15.75" customHeight="1">
      <c r="B111" s="364"/>
      <c r="C111" s="375"/>
      <c r="D111" s="220"/>
      <c r="E111" s="203"/>
      <c r="F111" s="203"/>
      <c r="H111" s="8"/>
      <c r="I111" s="8"/>
      <c r="J111" s="8"/>
    </row>
    <row r="112" ht="15.75" customHeight="1">
      <c r="B112" s="479"/>
      <c r="C112" s="480"/>
      <c r="D112" s="426"/>
      <c r="E112" s="203"/>
      <c r="F112" s="203"/>
      <c r="H112" s="8"/>
      <c r="I112" s="8"/>
      <c r="J112" s="8"/>
    </row>
    <row r="113" ht="15.75" customHeight="1">
      <c r="C113" s="5"/>
      <c r="D113" s="5"/>
      <c r="E113" s="203"/>
      <c r="F113" s="203"/>
      <c r="H113" s="8"/>
      <c r="I113" s="8"/>
      <c r="J113" s="8"/>
    </row>
    <row r="114" ht="15.75" customHeight="1">
      <c r="B114" s="203"/>
      <c r="C114" s="341"/>
      <c r="D114" s="341"/>
      <c r="E114" s="203"/>
      <c r="F114" s="203"/>
      <c r="H114" s="8"/>
      <c r="I114" s="8"/>
      <c r="J114" s="8"/>
    </row>
    <row r="115" ht="15.75" customHeight="1">
      <c r="B115" s="203"/>
      <c r="C115" s="341"/>
      <c r="D115" s="341"/>
      <c r="E115" s="203"/>
      <c r="F115" s="203"/>
      <c r="H115" s="8"/>
      <c r="I115" s="8"/>
      <c r="J115" s="8"/>
    </row>
    <row r="116" ht="15.75" customHeight="1">
      <c r="B116" s="203"/>
      <c r="C116" s="341"/>
      <c r="D116" s="341"/>
      <c r="E116" s="203"/>
      <c r="F116" s="203"/>
      <c r="H116" s="8"/>
      <c r="I116" s="8"/>
      <c r="J116" s="8"/>
    </row>
    <row r="117" ht="15.75" customHeight="1">
      <c r="C117" s="5"/>
      <c r="D117" s="5"/>
      <c r="E117" s="203"/>
      <c r="F117" s="203"/>
      <c r="H117" s="8"/>
      <c r="I117" s="8"/>
      <c r="J117" s="8"/>
    </row>
    <row r="118" ht="15.75" customHeight="1">
      <c r="C118" s="5"/>
      <c r="D118" s="5"/>
      <c r="E118" s="203"/>
      <c r="F118" s="203"/>
      <c r="H118" s="8"/>
      <c r="I118" s="8"/>
      <c r="J118" s="8"/>
    </row>
    <row r="119" ht="15.75" customHeight="1">
      <c r="B119" s="203"/>
      <c r="C119" s="341"/>
      <c r="D119" s="341"/>
      <c r="E119" s="203"/>
      <c r="F119" s="203"/>
      <c r="H119" s="8"/>
      <c r="I119" s="8"/>
      <c r="J119" s="8"/>
    </row>
    <row r="120" ht="15.75" customHeight="1">
      <c r="B120" s="203"/>
      <c r="C120" s="341"/>
      <c r="D120" s="341"/>
      <c r="E120" s="203"/>
      <c r="F120" s="203"/>
      <c r="H120" s="8"/>
      <c r="I120" s="8"/>
      <c r="J120" s="8"/>
    </row>
    <row r="121" ht="15.75" customHeight="1">
      <c r="B121" s="203"/>
      <c r="C121" s="341"/>
      <c r="D121" s="341"/>
      <c r="E121" s="203"/>
      <c r="F121" s="203"/>
      <c r="H121" s="8"/>
      <c r="I121" s="8"/>
      <c r="J121" s="8"/>
    </row>
    <row r="122" ht="15.75" customHeight="1">
      <c r="B122" s="203"/>
      <c r="C122" s="341"/>
      <c r="D122" s="341"/>
      <c r="E122" s="203"/>
      <c r="F122" s="203"/>
      <c r="H122" s="8"/>
      <c r="I122" s="8"/>
      <c r="J122" s="8"/>
    </row>
    <row r="123" ht="15.75" customHeight="1">
      <c r="B123" s="203"/>
      <c r="C123" s="341"/>
      <c r="D123" s="341"/>
      <c r="E123" s="203"/>
      <c r="F123" s="203"/>
      <c r="H123" s="8"/>
      <c r="I123" s="8"/>
      <c r="J123" s="8"/>
    </row>
    <row r="124" ht="15.75" customHeight="1">
      <c r="B124" s="203"/>
      <c r="C124" s="341"/>
      <c r="D124" s="341"/>
      <c r="E124" s="203"/>
      <c r="F124" s="203"/>
      <c r="H124" s="8"/>
      <c r="I124" s="8"/>
      <c r="J124" s="8"/>
    </row>
    <row r="125" ht="15.75" customHeight="1">
      <c r="B125" s="203"/>
      <c r="C125" s="341"/>
      <c r="D125" s="341"/>
      <c r="E125" s="203"/>
      <c r="F125" s="203"/>
      <c r="H125" s="8"/>
      <c r="I125" s="8"/>
      <c r="J125" s="8"/>
    </row>
    <row r="126" ht="15.75" customHeight="1">
      <c r="B126" s="203"/>
      <c r="C126" s="341"/>
      <c r="D126" s="341"/>
      <c r="E126" s="203"/>
      <c r="F126" s="203"/>
      <c r="H126" s="8"/>
      <c r="I126" s="8"/>
      <c r="J126" s="8"/>
    </row>
    <row r="127" ht="15.75" customHeight="1">
      <c r="B127" s="203"/>
      <c r="C127" s="341"/>
      <c r="D127" s="341"/>
      <c r="E127" s="203"/>
      <c r="F127" s="203"/>
      <c r="H127" s="8"/>
      <c r="I127" s="8"/>
      <c r="J127" s="8"/>
    </row>
    <row r="128" ht="15.75" customHeight="1">
      <c r="B128" s="203"/>
      <c r="C128" s="341"/>
      <c r="D128" s="341"/>
      <c r="E128" s="203"/>
      <c r="F128" s="203"/>
      <c r="H128" s="8"/>
      <c r="I128" s="8"/>
      <c r="J128" s="8"/>
    </row>
    <row r="129" ht="15.75" customHeight="1">
      <c r="B129" s="203"/>
      <c r="C129" s="341"/>
      <c r="D129" s="341"/>
      <c r="E129" s="203"/>
      <c r="F129" s="203"/>
      <c r="H129" s="8"/>
      <c r="I129" s="8"/>
      <c r="J129" s="8"/>
    </row>
    <row r="130" ht="15.75" customHeight="1">
      <c r="B130" s="203"/>
      <c r="C130" s="341"/>
      <c r="D130" s="341"/>
      <c r="E130" s="203"/>
      <c r="F130" s="203"/>
      <c r="H130" s="8"/>
      <c r="I130" s="8"/>
      <c r="J130" s="8"/>
    </row>
    <row r="131" ht="15.75" customHeight="1">
      <c r="B131" s="203"/>
      <c r="C131" s="341"/>
      <c r="D131" s="341"/>
      <c r="E131" s="203"/>
      <c r="F131" s="203"/>
      <c r="H131" s="8"/>
      <c r="I131" s="8"/>
      <c r="J131" s="8"/>
    </row>
    <row r="132" ht="15.75" customHeight="1">
      <c r="B132" s="203"/>
      <c r="C132" s="341"/>
      <c r="D132" s="341"/>
      <c r="E132" s="203"/>
      <c r="F132" s="203"/>
      <c r="H132" s="8"/>
      <c r="I132" s="8"/>
      <c r="J132" s="8"/>
    </row>
    <row r="133" ht="15.75" customHeight="1">
      <c r="B133" s="203"/>
      <c r="C133" s="341"/>
      <c r="D133" s="341"/>
      <c r="E133" s="203"/>
      <c r="F133" s="203"/>
      <c r="H133" s="8"/>
      <c r="I133" s="8"/>
      <c r="J133" s="8"/>
    </row>
    <row r="134" ht="15.75" customHeight="1">
      <c r="B134" s="203"/>
      <c r="C134" s="341"/>
      <c r="D134" s="341"/>
      <c r="E134" s="203"/>
      <c r="F134" s="203"/>
      <c r="H134" s="8"/>
      <c r="I134" s="8"/>
      <c r="J134" s="8"/>
    </row>
    <row r="135" ht="15.75" customHeight="1">
      <c r="B135" s="203"/>
      <c r="C135" s="341"/>
      <c r="D135" s="341"/>
      <c r="E135" s="203"/>
      <c r="F135" s="203"/>
      <c r="H135" s="8"/>
      <c r="I135" s="8"/>
      <c r="J135" s="8"/>
    </row>
    <row r="136" ht="15.75" customHeight="1">
      <c r="B136" s="203"/>
      <c r="C136" s="341"/>
      <c r="D136" s="341"/>
      <c r="E136" s="203"/>
      <c r="F136" s="203"/>
      <c r="H136" s="8"/>
      <c r="I136" s="8"/>
      <c r="J136" s="8"/>
    </row>
    <row r="137" ht="15.75" customHeight="1">
      <c r="B137" s="203"/>
      <c r="C137" s="341"/>
      <c r="D137" s="341"/>
      <c r="E137" s="203"/>
      <c r="F137" s="203"/>
      <c r="H137" s="8"/>
      <c r="I137" s="8"/>
      <c r="J137" s="8"/>
    </row>
    <row r="138" ht="15.75" customHeight="1">
      <c r="B138" s="203"/>
      <c r="C138" s="341"/>
      <c r="D138" s="341"/>
      <c r="E138" s="481"/>
      <c r="F138" s="402"/>
      <c r="H138" s="8"/>
      <c r="I138" s="8"/>
      <c r="J138" s="8"/>
    </row>
    <row r="139" ht="15.75" customHeight="1">
      <c r="B139" s="203"/>
      <c r="C139" s="341"/>
      <c r="D139" s="341"/>
      <c r="E139" s="262"/>
      <c r="F139" s="403"/>
      <c r="H139" s="8"/>
      <c r="I139" s="8"/>
      <c r="J139" s="8"/>
    </row>
    <row r="140" ht="15.75" customHeight="1">
      <c r="B140" s="203"/>
      <c r="C140" s="341"/>
      <c r="D140" s="341"/>
      <c r="E140" s="262"/>
      <c r="F140" s="403"/>
      <c r="H140" s="8"/>
      <c r="I140" s="8"/>
      <c r="J140" s="8"/>
    </row>
    <row r="141" ht="15.75" customHeight="1">
      <c r="B141" s="203"/>
      <c r="C141" s="341"/>
      <c r="D141" s="341"/>
      <c r="E141" s="482"/>
      <c r="F141" s="483"/>
      <c r="H141" s="8"/>
      <c r="I141" s="8"/>
      <c r="J141" s="8"/>
    </row>
    <row r="142" ht="15.75" customHeight="1">
      <c r="B142" s="203"/>
      <c r="C142" s="341"/>
      <c r="D142" s="341"/>
      <c r="E142" s="203"/>
      <c r="F142" s="203"/>
      <c r="H142" s="8"/>
      <c r="I142" s="8"/>
      <c r="J142" s="8"/>
    </row>
    <row r="143" ht="15.75" customHeight="1">
      <c r="B143" s="203"/>
      <c r="C143" s="341"/>
      <c r="D143" s="341"/>
      <c r="E143" s="203"/>
      <c r="F143" s="203"/>
      <c r="H143" s="8"/>
      <c r="I143" s="8"/>
      <c r="J143" s="8"/>
    </row>
    <row r="144" ht="15.75" customHeight="1">
      <c r="B144" s="203"/>
      <c r="C144" s="341"/>
      <c r="D144" s="341"/>
      <c r="E144" s="203"/>
      <c r="F144" s="203"/>
      <c r="H144" s="8"/>
      <c r="I144" s="8"/>
      <c r="J144" s="8"/>
    </row>
    <row r="145" ht="15.75" customHeight="1">
      <c r="B145" s="203"/>
      <c r="C145" s="341"/>
      <c r="D145" s="341"/>
      <c r="E145" s="203"/>
      <c r="F145" s="203"/>
      <c r="H145" s="8"/>
      <c r="I145" s="8"/>
      <c r="J145" s="8"/>
    </row>
    <row r="146" ht="15.75" customHeight="1">
      <c r="B146" s="203"/>
      <c r="C146" s="341"/>
      <c r="D146" s="341"/>
      <c r="E146" s="203"/>
      <c r="F146" s="203"/>
      <c r="H146" s="8"/>
      <c r="I146" s="8"/>
      <c r="J146" s="8"/>
    </row>
    <row r="147" ht="15.75" customHeight="1">
      <c r="B147" s="203"/>
      <c r="C147" s="341"/>
      <c r="D147" s="341"/>
      <c r="E147" s="203"/>
      <c r="F147" s="203"/>
      <c r="H147" s="8"/>
      <c r="I147" s="8"/>
      <c r="J147" s="8"/>
    </row>
    <row r="148" ht="15.75" customHeight="1">
      <c r="B148" s="203"/>
      <c r="C148" s="341"/>
      <c r="D148" s="341"/>
      <c r="E148" s="203"/>
      <c r="F148" s="203"/>
      <c r="H148" s="8"/>
      <c r="I148" s="8"/>
      <c r="J148" s="8"/>
    </row>
    <row r="149" ht="15.75" customHeight="1">
      <c r="B149" s="203"/>
      <c r="C149" s="341"/>
      <c r="D149" s="341"/>
      <c r="E149" s="203"/>
      <c r="F149" s="203"/>
      <c r="H149" s="8"/>
      <c r="I149" s="8"/>
      <c r="J149" s="8"/>
    </row>
    <row r="150" ht="15.75" customHeight="1">
      <c r="B150" s="203"/>
      <c r="C150" s="341"/>
      <c r="D150" s="341"/>
      <c r="E150" s="203"/>
      <c r="F150" s="203"/>
      <c r="H150" s="8"/>
      <c r="I150" s="8"/>
      <c r="J150" s="8"/>
    </row>
    <row r="151" ht="15.75" customHeight="1">
      <c r="B151" s="203"/>
      <c r="C151" s="341"/>
      <c r="D151" s="341"/>
      <c r="E151" s="203"/>
      <c r="F151" s="203"/>
      <c r="H151" s="8"/>
      <c r="I151" s="8"/>
      <c r="J151" s="8"/>
    </row>
    <row r="152" ht="15.75" customHeight="1">
      <c r="B152" s="203"/>
      <c r="C152" s="341"/>
      <c r="D152" s="341"/>
      <c r="E152" s="203"/>
      <c r="F152" s="203"/>
      <c r="H152" s="8"/>
      <c r="I152" s="8"/>
      <c r="J152" s="8"/>
    </row>
    <row r="153" ht="15.75" customHeight="1">
      <c r="B153" s="203"/>
      <c r="C153" s="341"/>
      <c r="D153" s="341"/>
      <c r="E153" s="203"/>
      <c r="F153" s="203"/>
      <c r="H153" s="8"/>
      <c r="I153" s="8"/>
      <c r="J153" s="8"/>
    </row>
    <row r="154" ht="15.75" customHeight="1">
      <c r="B154" s="203"/>
      <c r="C154" s="341"/>
      <c r="D154" s="341"/>
      <c r="E154" s="203"/>
      <c r="F154" s="203"/>
      <c r="H154" s="8"/>
      <c r="I154" s="8"/>
      <c r="J154" s="8"/>
    </row>
    <row r="155" ht="15.75" customHeight="1">
      <c r="C155" s="5"/>
      <c r="D155" s="5"/>
      <c r="H155" s="8"/>
      <c r="I155" s="8"/>
      <c r="J155" s="8"/>
    </row>
    <row r="156" ht="15.75" customHeight="1">
      <c r="C156" s="5"/>
      <c r="D156" s="5"/>
      <c r="H156" s="8"/>
      <c r="I156" s="8"/>
      <c r="J156" s="8"/>
    </row>
    <row r="157" ht="15.75" customHeight="1">
      <c r="C157" s="5"/>
      <c r="D157" s="5"/>
      <c r="H157" s="8"/>
      <c r="I157" s="8"/>
      <c r="J157" s="8"/>
    </row>
    <row r="158" ht="15.75" customHeight="1">
      <c r="C158" s="5"/>
      <c r="D158" s="5"/>
      <c r="H158" s="8"/>
      <c r="I158" s="8"/>
      <c r="J158" s="8"/>
    </row>
    <row r="159" ht="15.75" customHeight="1">
      <c r="C159" s="5"/>
      <c r="D159" s="5"/>
      <c r="H159" s="8"/>
      <c r="I159" s="8"/>
      <c r="J159" s="8"/>
    </row>
    <row r="160" ht="15.75" customHeight="1">
      <c r="C160" s="5"/>
      <c r="D160" s="5"/>
      <c r="H160" s="8"/>
      <c r="I160" s="8"/>
      <c r="J160" s="8"/>
    </row>
    <row r="161" ht="15.75" customHeight="1">
      <c r="C161" s="5"/>
      <c r="D161" s="5"/>
      <c r="H161" s="8"/>
      <c r="I161" s="8"/>
      <c r="J161" s="8"/>
    </row>
    <row r="162" ht="15.75" customHeight="1">
      <c r="C162" s="5"/>
      <c r="D162" s="5"/>
      <c r="H162" s="8"/>
      <c r="I162" s="8"/>
      <c r="J162" s="8"/>
    </row>
    <row r="163" ht="15.75" customHeight="1">
      <c r="C163" s="5"/>
      <c r="D163" s="5"/>
      <c r="H163" s="8"/>
      <c r="I163" s="8"/>
      <c r="J163" s="8"/>
    </row>
    <row r="164" ht="15.75" customHeight="1">
      <c r="C164" s="5"/>
      <c r="D164" s="5"/>
      <c r="H164" s="8"/>
      <c r="I164" s="8"/>
      <c r="J164" s="8"/>
    </row>
    <row r="165" ht="15.75" customHeight="1">
      <c r="C165" s="5"/>
      <c r="D165" s="5"/>
      <c r="H165" s="8"/>
      <c r="I165" s="8"/>
      <c r="J165" s="8"/>
    </row>
    <row r="166" ht="15.75" customHeight="1">
      <c r="C166" s="5"/>
      <c r="D166" s="5"/>
      <c r="H166" s="8"/>
      <c r="I166" s="8"/>
      <c r="J166" s="8"/>
    </row>
    <row r="167" ht="15.75" customHeight="1">
      <c r="C167" s="5"/>
      <c r="D167" s="5"/>
      <c r="H167" s="8"/>
      <c r="I167" s="8"/>
      <c r="J167" s="8"/>
    </row>
    <row r="168" ht="15.75" customHeight="1">
      <c r="C168" s="5"/>
      <c r="D168" s="5"/>
      <c r="H168" s="8"/>
      <c r="I168" s="8"/>
      <c r="J168" s="8"/>
    </row>
    <row r="169" ht="15.75" customHeight="1">
      <c r="C169" s="5"/>
      <c r="D169" s="5"/>
      <c r="H169" s="8"/>
      <c r="I169" s="8"/>
      <c r="J169" s="8"/>
    </row>
    <row r="170" ht="15.75" customHeight="1">
      <c r="C170" s="5"/>
      <c r="D170" s="5"/>
      <c r="H170" s="8"/>
      <c r="I170" s="8"/>
      <c r="J170" s="8"/>
    </row>
    <row r="171" ht="15.75" customHeight="1">
      <c r="C171" s="5"/>
      <c r="D171" s="5"/>
      <c r="H171" s="8"/>
      <c r="I171" s="8"/>
      <c r="J171" s="8"/>
    </row>
    <row r="172" ht="15.75" customHeight="1">
      <c r="C172" s="5"/>
      <c r="D172" s="5"/>
      <c r="H172" s="8"/>
      <c r="I172" s="8"/>
      <c r="J172" s="8"/>
    </row>
    <row r="173" ht="15.75" customHeight="1">
      <c r="C173" s="5"/>
      <c r="D173" s="5"/>
      <c r="H173" s="8"/>
      <c r="I173" s="8"/>
      <c r="J173" s="8"/>
    </row>
    <row r="174" ht="15.75" customHeight="1">
      <c r="C174" s="5"/>
      <c r="D174" s="5"/>
      <c r="H174" s="8"/>
      <c r="I174" s="8"/>
      <c r="J174" s="8"/>
    </row>
    <row r="175" ht="15.75" customHeight="1">
      <c r="C175" s="5"/>
      <c r="D175" s="5"/>
      <c r="H175" s="8"/>
      <c r="I175" s="8"/>
      <c r="J175" s="8"/>
    </row>
    <row r="176" ht="15.75" customHeight="1">
      <c r="C176" s="5"/>
      <c r="D176" s="5"/>
      <c r="H176" s="8"/>
      <c r="I176" s="8"/>
      <c r="J176" s="8"/>
    </row>
    <row r="177" ht="15.75" customHeight="1">
      <c r="C177" s="5"/>
      <c r="D177" s="5"/>
      <c r="H177" s="8"/>
      <c r="I177" s="8"/>
      <c r="J177" s="8"/>
    </row>
    <row r="178" ht="15.75" customHeight="1">
      <c r="C178" s="5"/>
      <c r="D178" s="5"/>
      <c r="H178" s="8"/>
      <c r="I178" s="8"/>
      <c r="J178" s="8"/>
    </row>
    <row r="179" ht="15.75" customHeight="1">
      <c r="C179" s="5"/>
      <c r="D179" s="5"/>
      <c r="H179" s="8"/>
      <c r="I179" s="8"/>
      <c r="J179" s="8"/>
    </row>
    <row r="180" ht="15.75" customHeight="1">
      <c r="C180" s="5"/>
      <c r="D180" s="5"/>
      <c r="H180" s="8"/>
      <c r="I180" s="8"/>
      <c r="J180" s="8"/>
    </row>
    <row r="181" ht="15.75" customHeight="1">
      <c r="C181" s="5"/>
      <c r="D181" s="5"/>
      <c r="H181" s="8"/>
      <c r="I181" s="8"/>
      <c r="J181" s="8"/>
    </row>
    <row r="182" ht="15.75" customHeight="1">
      <c r="C182" s="5"/>
      <c r="D182" s="5"/>
      <c r="H182" s="8"/>
      <c r="I182" s="8"/>
      <c r="J182" s="8"/>
    </row>
    <row r="183" ht="15.75" customHeight="1">
      <c r="C183" s="5"/>
      <c r="D183" s="5"/>
      <c r="H183" s="8"/>
      <c r="I183" s="8"/>
      <c r="J183" s="8"/>
    </row>
    <row r="184" ht="15.75" customHeight="1">
      <c r="C184" s="5"/>
      <c r="D184" s="5"/>
      <c r="H184" s="8"/>
      <c r="I184" s="8"/>
      <c r="J184" s="8"/>
    </row>
    <row r="185" ht="15.75" customHeight="1">
      <c r="C185" s="5"/>
      <c r="D185" s="5"/>
      <c r="H185" s="8"/>
      <c r="I185" s="8"/>
      <c r="J185" s="8"/>
    </row>
    <row r="186" ht="15.75" customHeight="1">
      <c r="C186" s="5"/>
      <c r="D186" s="5"/>
      <c r="H186" s="8"/>
      <c r="I186" s="8"/>
      <c r="J186" s="8"/>
    </row>
    <row r="187" ht="15.75" customHeight="1">
      <c r="C187" s="5"/>
      <c r="D187" s="5"/>
      <c r="H187" s="8"/>
      <c r="I187" s="8"/>
      <c r="J187" s="8"/>
    </row>
    <row r="188" ht="15.75" customHeight="1">
      <c r="C188" s="5"/>
      <c r="D188" s="5"/>
      <c r="H188" s="8"/>
      <c r="I188" s="8"/>
      <c r="J188" s="8"/>
    </row>
    <row r="189" ht="15.75" customHeight="1">
      <c r="C189" s="5"/>
      <c r="D189" s="5"/>
      <c r="H189" s="8"/>
      <c r="I189" s="8"/>
      <c r="J189" s="8"/>
    </row>
    <row r="190" ht="15.75" customHeight="1">
      <c r="C190" s="5"/>
      <c r="D190" s="5"/>
      <c r="H190" s="8"/>
      <c r="I190" s="8"/>
      <c r="J190" s="8"/>
    </row>
    <row r="191" ht="15.75" customHeight="1">
      <c r="C191" s="5"/>
      <c r="D191" s="5"/>
      <c r="H191" s="8"/>
      <c r="I191" s="8"/>
      <c r="J191" s="8"/>
    </row>
    <row r="192" ht="15.75" customHeight="1">
      <c r="C192" s="5"/>
      <c r="D192" s="5"/>
      <c r="H192" s="8"/>
      <c r="I192" s="8"/>
      <c r="J192" s="8"/>
    </row>
    <row r="193" ht="15.75" customHeight="1">
      <c r="C193" s="5"/>
      <c r="D193" s="5"/>
      <c r="H193" s="8"/>
      <c r="I193" s="8"/>
      <c r="J193" s="8"/>
    </row>
    <row r="194" ht="15.75" customHeight="1">
      <c r="C194" s="5"/>
      <c r="D194" s="5"/>
      <c r="H194" s="8"/>
      <c r="I194" s="8"/>
      <c r="J194" s="8"/>
    </row>
    <row r="195" ht="15.75" customHeight="1">
      <c r="C195" s="5"/>
      <c r="D195" s="5"/>
      <c r="H195" s="8"/>
      <c r="I195" s="8"/>
      <c r="J195" s="8"/>
    </row>
    <row r="196" ht="15.75" customHeight="1">
      <c r="C196" s="5"/>
      <c r="D196" s="5"/>
      <c r="H196" s="8"/>
      <c r="I196" s="8"/>
      <c r="J196" s="8"/>
    </row>
    <row r="197" ht="15.75" customHeight="1">
      <c r="C197" s="5"/>
      <c r="D197" s="5"/>
      <c r="H197" s="8"/>
      <c r="I197" s="8"/>
      <c r="J197" s="8"/>
    </row>
    <row r="198" ht="15.75" customHeight="1">
      <c r="C198" s="5"/>
      <c r="D198" s="5"/>
      <c r="H198" s="8"/>
      <c r="I198" s="8"/>
      <c r="J198" s="8"/>
    </row>
    <row r="199" ht="15.75" customHeight="1">
      <c r="C199" s="5"/>
      <c r="D199" s="5"/>
      <c r="H199" s="8"/>
      <c r="I199" s="8"/>
      <c r="J199" s="8"/>
    </row>
    <row r="200" ht="15.75" customHeight="1">
      <c r="C200" s="5"/>
      <c r="D200" s="5"/>
      <c r="H200" s="8"/>
      <c r="I200" s="8"/>
      <c r="J200" s="8"/>
    </row>
    <row r="201" ht="15.75" customHeight="1">
      <c r="C201" s="5"/>
      <c r="D201" s="5"/>
      <c r="H201" s="8"/>
      <c r="I201" s="8"/>
      <c r="J201" s="8"/>
    </row>
    <row r="202" ht="15.75" customHeight="1">
      <c r="C202" s="5"/>
      <c r="D202" s="5"/>
      <c r="H202" s="8"/>
      <c r="I202" s="8"/>
      <c r="J202" s="8"/>
    </row>
    <row r="203" ht="15.75" customHeight="1">
      <c r="C203" s="5"/>
      <c r="D203" s="5"/>
      <c r="H203" s="8"/>
      <c r="I203" s="8"/>
      <c r="J203" s="8"/>
    </row>
    <row r="204" ht="15.75" customHeight="1">
      <c r="C204" s="5"/>
      <c r="D204" s="5"/>
      <c r="H204" s="8"/>
      <c r="I204" s="8"/>
      <c r="J204" s="8"/>
    </row>
    <row r="205" ht="15.75" customHeight="1">
      <c r="C205" s="5"/>
      <c r="D205" s="5"/>
      <c r="H205" s="8"/>
      <c r="I205" s="8"/>
      <c r="J205" s="8"/>
    </row>
    <row r="206" ht="15.75" customHeight="1">
      <c r="C206" s="5"/>
      <c r="D206" s="5"/>
      <c r="H206" s="8"/>
      <c r="I206" s="8"/>
      <c r="J206" s="8"/>
    </row>
    <row r="207" ht="15.75" customHeight="1">
      <c r="C207" s="5"/>
      <c r="D207" s="5"/>
      <c r="H207" s="8"/>
      <c r="I207" s="8"/>
      <c r="J207" s="8"/>
    </row>
    <row r="208" ht="15.75" customHeight="1">
      <c r="C208" s="5"/>
      <c r="D208" s="5"/>
      <c r="H208" s="8"/>
      <c r="I208" s="8"/>
      <c r="J208" s="8"/>
    </row>
    <row r="209" ht="15.75" customHeight="1">
      <c r="C209" s="5"/>
      <c r="D209" s="5"/>
      <c r="H209" s="8"/>
      <c r="I209" s="8"/>
      <c r="J209" s="8"/>
    </row>
    <row r="210" ht="15.75" customHeight="1">
      <c r="C210" s="5"/>
      <c r="D210" s="5"/>
      <c r="H210" s="8"/>
      <c r="I210" s="8"/>
      <c r="J210" s="8"/>
    </row>
    <row r="211" ht="15.75" customHeight="1">
      <c r="C211" s="5"/>
      <c r="D211" s="5"/>
      <c r="H211" s="8"/>
      <c r="I211" s="8"/>
      <c r="J211" s="8"/>
    </row>
    <row r="212" ht="15.75" customHeight="1">
      <c r="C212" s="5"/>
      <c r="D212" s="5"/>
      <c r="H212" s="8"/>
      <c r="I212" s="8"/>
      <c r="J212" s="8"/>
    </row>
    <row r="213" ht="15.75" customHeight="1">
      <c r="C213" s="5"/>
      <c r="D213" s="5"/>
      <c r="H213" s="8"/>
      <c r="I213" s="8"/>
      <c r="J213" s="8"/>
    </row>
    <row r="214" ht="15.75" customHeight="1">
      <c r="C214" s="5"/>
      <c r="D214" s="5"/>
      <c r="H214" s="8"/>
      <c r="I214" s="8"/>
      <c r="J214" s="8"/>
    </row>
    <row r="215" ht="15.75" customHeight="1">
      <c r="C215" s="5"/>
      <c r="D215" s="5"/>
      <c r="H215" s="8"/>
      <c r="I215" s="8"/>
      <c r="J215" s="8"/>
    </row>
    <row r="216" ht="15.75" customHeight="1">
      <c r="C216" s="5"/>
      <c r="D216" s="5"/>
      <c r="H216" s="8"/>
      <c r="I216" s="8"/>
      <c r="J216" s="8"/>
    </row>
    <row r="217" ht="15.75" customHeight="1">
      <c r="C217" s="5"/>
      <c r="D217" s="5"/>
      <c r="H217" s="8"/>
      <c r="I217" s="8"/>
      <c r="J217" s="8"/>
    </row>
    <row r="218" ht="15.75" customHeight="1">
      <c r="C218" s="5"/>
      <c r="D218" s="5"/>
      <c r="H218" s="8"/>
      <c r="I218" s="8"/>
      <c r="J218" s="8"/>
    </row>
    <row r="219" ht="15.75" customHeight="1">
      <c r="C219" s="5"/>
      <c r="D219" s="5"/>
      <c r="H219" s="8"/>
      <c r="I219" s="8"/>
      <c r="J219" s="8"/>
    </row>
    <row r="220" ht="15.75" customHeight="1">
      <c r="C220" s="5"/>
      <c r="D220" s="5"/>
      <c r="H220" s="8"/>
      <c r="I220" s="8"/>
      <c r="J220" s="8"/>
    </row>
    <row r="221" ht="15.75" customHeight="1">
      <c r="C221" s="5"/>
      <c r="D221" s="5"/>
      <c r="H221" s="8"/>
      <c r="I221" s="8"/>
      <c r="J221" s="8"/>
    </row>
    <row r="222" ht="15.75" customHeight="1">
      <c r="C222" s="5"/>
      <c r="D222" s="5"/>
      <c r="H222" s="8"/>
      <c r="I222" s="8"/>
      <c r="J222" s="8"/>
    </row>
    <row r="223" ht="15.75" customHeight="1">
      <c r="C223" s="5"/>
      <c r="D223" s="5"/>
      <c r="H223" s="8"/>
      <c r="I223" s="8"/>
      <c r="J223" s="8"/>
    </row>
    <row r="224" ht="15.75" customHeight="1">
      <c r="C224" s="5"/>
      <c r="D224" s="5"/>
      <c r="H224" s="8"/>
      <c r="I224" s="8"/>
      <c r="J224" s="8"/>
    </row>
    <row r="225" ht="15.75" customHeight="1">
      <c r="C225" s="5"/>
      <c r="D225" s="5"/>
      <c r="H225" s="8"/>
      <c r="I225" s="8"/>
      <c r="J225" s="8"/>
    </row>
    <row r="226" ht="15.75" customHeight="1">
      <c r="C226" s="5"/>
      <c r="D226" s="5"/>
      <c r="H226" s="8"/>
      <c r="I226" s="8"/>
      <c r="J226" s="8"/>
    </row>
    <row r="227" ht="15.75" customHeight="1">
      <c r="C227" s="5"/>
      <c r="D227" s="5"/>
      <c r="H227" s="8"/>
      <c r="I227" s="8"/>
      <c r="J227" s="8"/>
    </row>
    <row r="228" ht="15.75" customHeight="1">
      <c r="C228" s="5"/>
      <c r="D228" s="5"/>
      <c r="H228" s="8"/>
      <c r="I228" s="8"/>
      <c r="J228" s="8"/>
    </row>
    <row r="229" ht="15.75" customHeight="1">
      <c r="C229" s="5"/>
      <c r="D229" s="5"/>
      <c r="H229" s="8"/>
      <c r="I229" s="8"/>
      <c r="J229" s="8"/>
    </row>
    <row r="230" ht="15.75" customHeight="1">
      <c r="C230" s="5"/>
      <c r="D230" s="5"/>
      <c r="H230" s="8"/>
      <c r="I230" s="8"/>
      <c r="J230" s="8"/>
    </row>
    <row r="231" ht="15.75" customHeight="1">
      <c r="C231" s="5"/>
      <c r="D231" s="5"/>
      <c r="H231" s="8"/>
      <c r="I231" s="8"/>
      <c r="J231" s="8"/>
    </row>
    <row r="232" ht="15.75" customHeight="1">
      <c r="C232" s="5"/>
      <c r="D232" s="5"/>
      <c r="H232" s="8"/>
      <c r="I232" s="8"/>
      <c r="J232" s="8"/>
    </row>
    <row r="233" ht="15.75" customHeight="1">
      <c r="C233" s="5"/>
      <c r="D233" s="5"/>
      <c r="H233" s="8"/>
      <c r="I233" s="8"/>
      <c r="J233" s="8"/>
    </row>
    <row r="234" ht="15.75" customHeight="1">
      <c r="C234" s="5"/>
      <c r="D234" s="5"/>
      <c r="H234" s="8"/>
      <c r="I234" s="8"/>
      <c r="J234" s="8"/>
    </row>
    <row r="235" ht="15.75" customHeight="1">
      <c r="C235" s="5"/>
      <c r="D235" s="5"/>
      <c r="H235" s="8"/>
      <c r="I235" s="8"/>
      <c r="J235" s="8"/>
    </row>
    <row r="236" ht="15.75" customHeight="1">
      <c r="C236" s="5"/>
      <c r="D236" s="5"/>
      <c r="H236" s="8"/>
      <c r="I236" s="8"/>
      <c r="J236" s="8"/>
    </row>
    <row r="237" ht="15.75" customHeight="1">
      <c r="C237" s="5"/>
      <c r="D237" s="5"/>
      <c r="H237" s="8"/>
      <c r="I237" s="8"/>
      <c r="J237" s="8"/>
    </row>
    <row r="238" ht="15.75" customHeight="1">
      <c r="C238" s="5"/>
      <c r="D238" s="5"/>
      <c r="H238" s="8"/>
      <c r="I238" s="8"/>
      <c r="J238" s="8"/>
    </row>
    <row r="239" ht="15.75" customHeight="1">
      <c r="C239" s="5"/>
      <c r="D239" s="5"/>
      <c r="H239" s="8"/>
      <c r="I239" s="8"/>
      <c r="J239" s="8"/>
    </row>
    <row r="240" ht="15.75" customHeight="1">
      <c r="C240" s="5"/>
      <c r="D240" s="5"/>
      <c r="H240" s="8"/>
      <c r="I240" s="8"/>
      <c r="J240" s="8"/>
    </row>
    <row r="241" ht="15.75" customHeight="1">
      <c r="C241" s="5"/>
      <c r="D241" s="5"/>
      <c r="H241" s="8"/>
      <c r="I241" s="8"/>
      <c r="J241" s="8"/>
    </row>
    <row r="242" ht="15.75" customHeight="1">
      <c r="C242" s="5"/>
      <c r="D242" s="5"/>
      <c r="H242" s="8"/>
      <c r="I242" s="8"/>
      <c r="J242" s="8"/>
    </row>
    <row r="243" ht="15.75" customHeight="1">
      <c r="C243" s="5"/>
      <c r="D243" s="5"/>
      <c r="H243" s="8"/>
      <c r="I243" s="8"/>
      <c r="J243" s="8"/>
    </row>
    <row r="244" ht="15.75" customHeight="1">
      <c r="C244" s="5"/>
      <c r="D244" s="5"/>
      <c r="H244" s="8"/>
      <c r="I244" s="8"/>
      <c r="J244" s="8"/>
    </row>
    <row r="245" ht="15.75" customHeight="1">
      <c r="C245" s="5"/>
      <c r="D245" s="5"/>
      <c r="H245" s="8"/>
      <c r="I245" s="8"/>
      <c r="J245" s="8"/>
    </row>
    <row r="246" ht="15.75" customHeight="1">
      <c r="C246" s="5"/>
      <c r="D246" s="5"/>
      <c r="H246" s="8"/>
      <c r="I246" s="8"/>
      <c r="J246" s="8"/>
    </row>
    <row r="247" ht="15.75" customHeight="1">
      <c r="C247" s="5"/>
      <c r="D247" s="5"/>
      <c r="H247" s="8"/>
      <c r="I247" s="8"/>
      <c r="J247" s="8"/>
    </row>
    <row r="248" ht="15.75" customHeight="1">
      <c r="C248" s="5"/>
      <c r="D248" s="5"/>
      <c r="H248" s="8"/>
      <c r="I248" s="8"/>
      <c r="J248" s="8"/>
    </row>
    <row r="249" ht="15.75" customHeight="1">
      <c r="C249" s="5"/>
      <c r="D249" s="5"/>
      <c r="H249" s="8"/>
      <c r="I249" s="8"/>
      <c r="J249" s="8"/>
    </row>
    <row r="250" ht="15.75" customHeight="1">
      <c r="C250" s="5"/>
      <c r="D250" s="5"/>
      <c r="H250" s="8"/>
      <c r="I250" s="8"/>
      <c r="J250" s="8"/>
    </row>
    <row r="251" ht="15.75" customHeight="1">
      <c r="C251" s="5"/>
      <c r="D251" s="5"/>
      <c r="H251" s="8"/>
      <c r="I251" s="8"/>
      <c r="J251" s="8"/>
    </row>
    <row r="252" ht="15.75" customHeight="1">
      <c r="C252" s="5"/>
      <c r="D252" s="5"/>
      <c r="H252" s="8"/>
      <c r="I252" s="8"/>
      <c r="J252" s="8"/>
    </row>
    <row r="253" ht="15.75" customHeight="1">
      <c r="C253" s="5"/>
      <c r="D253" s="5"/>
      <c r="H253" s="8"/>
      <c r="I253" s="8"/>
      <c r="J253" s="8"/>
    </row>
    <row r="254" ht="15.75" customHeight="1">
      <c r="C254" s="5"/>
      <c r="D254" s="5"/>
      <c r="H254" s="8"/>
      <c r="I254" s="8"/>
      <c r="J254" s="8"/>
    </row>
    <row r="255" ht="15.75" customHeight="1">
      <c r="C255" s="5"/>
      <c r="D255" s="5"/>
      <c r="H255" s="8"/>
      <c r="I255" s="8"/>
      <c r="J255" s="8"/>
    </row>
    <row r="256" ht="15.75" customHeight="1">
      <c r="C256" s="5"/>
      <c r="D256" s="5"/>
      <c r="H256" s="8"/>
      <c r="I256" s="8"/>
      <c r="J256" s="8"/>
    </row>
    <row r="257" ht="15.75" customHeight="1">
      <c r="C257" s="5"/>
      <c r="D257" s="5"/>
      <c r="H257" s="8"/>
      <c r="I257" s="8"/>
      <c r="J257" s="8"/>
    </row>
    <row r="258" ht="15.75" customHeight="1">
      <c r="C258" s="5"/>
      <c r="D258" s="5"/>
      <c r="H258" s="8"/>
      <c r="I258" s="8"/>
      <c r="J258" s="8"/>
    </row>
    <row r="259" ht="15.75" customHeight="1">
      <c r="C259" s="5"/>
      <c r="D259" s="5"/>
      <c r="H259" s="8"/>
      <c r="I259" s="8"/>
      <c r="J259" s="8"/>
    </row>
    <row r="260" ht="15.75" customHeight="1">
      <c r="C260" s="5"/>
      <c r="D260" s="5"/>
      <c r="H260" s="8"/>
      <c r="I260" s="8"/>
      <c r="J260" s="8"/>
    </row>
    <row r="261" ht="15.75" customHeight="1">
      <c r="C261" s="5"/>
      <c r="D261" s="5"/>
      <c r="H261" s="8"/>
      <c r="I261" s="8"/>
      <c r="J261" s="8"/>
    </row>
    <row r="262" ht="15.75" customHeight="1">
      <c r="C262" s="5"/>
      <c r="D262" s="5"/>
      <c r="H262" s="8"/>
      <c r="I262" s="8"/>
      <c r="J262" s="8"/>
    </row>
    <row r="263" ht="15.75" customHeight="1">
      <c r="C263" s="5"/>
      <c r="D263" s="5"/>
      <c r="H263" s="8"/>
      <c r="I263" s="8"/>
      <c r="J263" s="8"/>
    </row>
    <row r="264" ht="15.75" customHeight="1">
      <c r="C264" s="5"/>
      <c r="D264" s="5"/>
      <c r="H264" s="8"/>
      <c r="I264" s="8"/>
      <c r="J264" s="8"/>
    </row>
    <row r="265" ht="15.75" customHeight="1">
      <c r="C265" s="5"/>
      <c r="D265" s="5"/>
      <c r="H265" s="8"/>
      <c r="I265" s="8"/>
      <c r="J265" s="8"/>
    </row>
    <row r="266" ht="15.75" customHeight="1">
      <c r="C266" s="5"/>
      <c r="D266" s="5"/>
      <c r="H266" s="8"/>
      <c r="I266" s="8"/>
      <c r="J266" s="8"/>
    </row>
    <row r="267" ht="15.75" customHeight="1">
      <c r="C267" s="5"/>
      <c r="D267" s="5"/>
      <c r="H267" s="8"/>
      <c r="I267" s="8"/>
      <c r="J267" s="8"/>
    </row>
    <row r="268" ht="15.75" customHeight="1">
      <c r="C268" s="5"/>
      <c r="D268" s="5"/>
      <c r="H268" s="8"/>
      <c r="I268" s="8"/>
      <c r="J268" s="8"/>
    </row>
    <row r="269" ht="15.75" customHeight="1">
      <c r="C269" s="5"/>
      <c r="D269" s="5"/>
      <c r="H269" s="8"/>
      <c r="I269" s="8"/>
      <c r="J269" s="8"/>
    </row>
    <row r="270" ht="15.75" customHeight="1">
      <c r="C270" s="5"/>
      <c r="D270" s="5"/>
      <c r="H270" s="8"/>
      <c r="I270" s="8"/>
      <c r="J270" s="8"/>
    </row>
    <row r="271" ht="15.75" customHeight="1">
      <c r="C271" s="5"/>
      <c r="D271" s="5"/>
      <c r="H271" s="8"/>
      <c r="I271" s="8"/>
      <c r="J271" s="8"/>
    </row>
    <row r="272" ht="15.75" customHeight="1">
      <c r="C272" s="5"/>
      <c r="D272" s="5"/>
      <c r="H272" s="8"/>
      <c r="I272" s="8"/>
      <c r="J272" s="8"/>
    </row>
    <row r="273" ht="15.75" customHeight="1">
      <c r="C273" s="5"/>
      <c r="D273" s="5"/>
      <c r="H273" s="8"/>
      <c r="I273" s="8"/>
      <c r="J273" s="8"/>
    </row>
    <row r="274" ht="15.75" customHeight="1">
      <c r="C274" s="5"/>
      <c r="D274" s="5"/>
      <c r="H274" s="8"/>
      <c r="I274" s="8"/>
      <c r="J274" s="8"/>
    </row>
    <row r="275" ht="15.75" customHeight="1">
      <c r="C275" s="5"/>
      <c r="D275" s="5"/>
      <c r="H275" s="8"/>
      <c r="I275" s="8"/>
      <c r="J275" s="8"/>
    </row>
    <row r="276" ht="15.75" customHeight="1">
      <c r="C276" s="5"/>
      <c r="D276" s="5"/>
      <c r="H276" s="8"/>
      <c r="I276" s="8"/>
      <c r="J276" s="8"/>
    </row>
    <row r="277" ht="15.75" customHeight="1">
      <c r="C277" s="5"/>
      <c r="D277" s="5"/>
      <c r="H277" s="8"/>
      <c r="I277" s="8"/>
      <c r="J277" s="8"/>
    </row>
    <row r="278" ht="15.75" customHeight="1">
      <c r="C278" s="5"/>
      <c r="D278" s="5"/>
      <c r="H278" s="8"/>
      <c r="I278" s="8"/>
      <c r="J278" s="8"/>
    </row>
    <row r="279" ht="15.75" customHeight="1">
      <c r="C279" s="5"/>
      <c r="D279" s="5"/>
      <c r="H279" s="8"/>
      <c r="I279" s="8"/>
      <c r="J279" s="8"/>
    </row>
    <row r="280" ht="15.75" customHeight="1">
      <c r="C280" s="5"/>
      <c r="D280" s="5"/>
      <c r="H280" s="8"/>
      <c r="I280" s="8"/>
      <c r="J280" s="8"/>
    </row>
    <row r="281" ht="15.75" customHeight="1">
      <c r="C281" s="5"/>
      <c r="D281" s="5"/>
      <c r="H281" s="8"/>
      <c r="I281" s="8"/>
      <c r="J281" s="8"/>
    </row>
    <row r="282" ht="15.75" customHeight="1">
      <c r="C282" s="5"/>
      <c r="D282" s="5"/>
      <c r="H282" s="8"/>
      <c r="I282" s="8"/>
      <c r="J282" s="8"/>
    </row>
    <row r="283" ht="15.75" customHeight="1">
      <c r="C283" s="5"/>
      <c r="D283" s="5"/>
      <c r="H283" s="8"/>
      <c r="I283" s="8"/>
      <c r="J283" s="8"/>
    </row>
    <row r="284" ht="15.75" customHeight="1">
      <c r="C284" s="5"/>
      <c r="D284" s="5"/>
      <c r="H284" s="8"/>
      <c r="I284" s="8"/>
      <c r="J284" s="8"/>
    </row>
    <row r="285" ht="15.75" customHeight="1">
      <c r="C285" s="5"/>
      <c r="D285" s="5"/>
      <c r="H285" s="8"/>
      <c r="I285" s="8"/>
      <c r="J285" s="8"/>
    </row>
    <row r="286" ht="15.75" customHeight="1">
      <c r="C286" s="5"/>
      <c r="D286" s="5"/>
      <c r="H286" s="8"/>
      <c r="I286" s="8"/>
      <c r="J286" s="8"/>
    </row>
    <row r="287" ht="15.75" customHeight="1">
      <c r="C287" s="5"/>
      <c r="D287" s="5"/>
      <c r="H287" s="8"/>
      <c r="I287" s="8"/>
      <c r="J287" s="8"/>
    </row>
    <row r="288" ht="15.75" customHeight="1">
      <c r="C288" s="5"/>
      <c r="D288" s="5"/>
      <c r="H288" s="8"/>
      <c r="I288" s="8"/>
      <c r="J288" s="8"/>
    </row>
    <row r="289" ht="15.75" customHeight="1">
      <c r="C289" s="5"/>
      <c r="D289" s="5"/>
      <c r="H289" s="8"/>
      <c r="I289" s="8"/>
      <c r="J289" s="8"/>
    </row>
    <row r="290" ht="15.75" customHeight="1">
      <c r="C290" s="5"/>
      <c r="D290" s="5"/>
      <c r="H290" s="8"/>
      <c r="I290" s="8"/>
      <c r="J290" s="8"/>
    </row>
    <row r="291" ht="15.75" customHeight="1">
      <c r="C291" s="5"/>
      <c r="D291" s="5"/>
      <c r="H291" s="8"/>
      <c r="I291" s="8"/>
      <c r="J291" s="8"/>
    </row>
    <row r="292" ht="15.75" customHeight="1">
      <c r="C292" s="5"/>
      <c r="D292" s="5"/>
      <c r="H292" s="8"/>
      <c r="I292" s="8"/>
      <c r="J292" s="8"/>
    </row>
    <row r="293" ht="15.75" customHeight="1">
      <c r="C293" s="5"/>
      <c r="D293" s="5"/>
      <c r="H293" s="8"/>
      <c r="I293" s="8"/>
      <c r="J293" s="8"/>
    </row>
    <row r="294" ht="15.75" customHeight="1">
      <c r="C294" s="5"/>
      <c r="D294" s="5"/>
      <c r="H294" s="8"/>
      <c r="I294" s="8"/>
      <c r="J294" s="8"/>
    </row>
    <row r="295" ht="15.75" customHeight="1">
      <c r="C295" s="5"/>
      <c r="D295" s="5"/>
      <c r="H295" s="8"/>
      <c r="I295" s="8"/>
      <c r="J295" s="8"/>
    </row>
    <row r="296" ht="15.75" customHeight="1">
      <c r="C296" s="5"/>
      <c r="D296" s="5"/>
      <c r="H296" s="8"/>
      <c r="I296" s="8"/>
      <c r="J296" s="8"/>
    </row>
    <row r="297" ht="15.75" customHeight="1">
      <c r="C297" s="5"/>
      <c r="D297" s="5"/>
      <c r="H297" s="8"/>
      <c r="I297" s="8"/>
      <c r="J297" s="8"/>
    </row>
    <row r="298" ht="15.75" customHeight="1">
      <c r="C298" s="5"/>
      <c r="D298" s="5"/>
      <c r="H298" s="8"/>
      <c r="I298" s="8"/>
      <c r="J298" s="8"/>
    </row>
    <row r="299" ht="15.75" customHeight="1">
      <c r="C299" s="5"/>
      <c r="D299" s="5"/>
      <c r="H299" s="8"/>
      <c r="I299" s="8"/>
      <c r="J299" s="8"/>
    </row>
    <row r="300" ht="15.75" customHeight="1">
      <c r="C300" s="5"/>
      <c r="D300" s="5"/>
      <c r="H300" s="8"/>
      <c r="I300" s="8"/>
      <c r="J300" s="8"/>
    </row>
    <row r="301" ht="15.75" customHeight="1">
      <c r="C301" s="5"/>
      <c r="D301" s="5"/>
      <c r="H301" s="8"/>
      <c r="I301" s="8"/>
      <c r="J301" s="8"/>
    </row>
    <row r="302" ht="15.75" customHeight="1">
      <c r="C302" s="5"/>
      <c r="D302" s="5"/>
      <c r="H302" s="8"/>
      <c r="I302" s="8"/>
      <c r="J302" s="8"/>
    </row>
    <row r="303" ht="15.75" customHeight="1">
      <c r="C303" s="5"/>
      <c r="D303" s="5"/>
      <c r="H303" s="8"/>
      <c r="I303" s="8"/>
      <c r="J303" s="8"/>
    </row>
    <row r="304" ht="15.75" customHeight="1">
      <c r="C304" s="5"/>
      <c r="D304" s="5"/>
      <c r="H304" s="8"/>
      <c r="I304" s="8"/>
      <c r="J304" s="8"/>
    </row>
    <row r="305" ht="15.75" customHeight="1">
      <c r="C305" s="5"/>
      <c r="D305" s="5"/>
      <c r="H305" s="8"/>
      <c r="I305" s="8"/>
      <c r="J305" s="8"/>
    </row>
    <row r="306" ht="15.75" customHeight="1">
      <c r="C306" s="5"/>
      <c r="D306" s="5"/>
      <c r="H306" s="8"/>
      <c r="I306" s="8"/>
      <c r="J306" s="8"/>
    </row>
    <row r="307" ht="15.75" customHeight="1">
      <c r="C307" s="5"/>
      <c r="D307" s="5"/>
    </row>
    <row r="308" ht="15.75" customHeight="1">
      <c r="C308" s="5"/>
      <c r="D308" s="5"/>
    </row>
    <row r="309" ht="15.75" customHeight="1">
      <c r="C309" s="5"/>
      <c r="D309" s="5"/>
    </row>
    <row r="310" ht="15.75" customHeight="1">
      <c r="C310" s="5"/>
      <c r="D310" s="5"/>
    </row>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46">
    <mergeCell ref="H77:H95"/>
    <mergeCell ref="H96:H100"/>
    <mergeCell ref="G105:G106"/>
    <mergeCell ref="H105:I106"/>
    <mergeCell ref="G107:G108"/>
    <mergeCell ref="H107:I108"/>
    <mergeCell ref="H110:J110"/>
    <mergeCell ref="E138:F141"/>
    <mergeCell ref="G68:G69"/>
    <mergeCell ref="H68:I69"/>
    <mergeCell ref="H70:I76"/>
    <mergeCell ref="I77:I81"/>
    <mergeCell ref="I82:I86"/>
    <mergeCell ref="I87:I95"/>
    <mergeCell ref="I96:I100"/>
    <mergeCell ref="H2:I2"/>
    <mergeCell ref="L2:AB2"/>
    <mergeCell ref="G3:G4"/>
    <mergeCell ref="H3:I5"/>
    <mergeCell ref="G6:G10"/>
    <mergeCell ref="H6:I10"/>
    <mergeCell ref="H11:I20"/>
    <mergeCell ref="H31:I37"/>
    <mergeCell ref="H38:I42"/>
    <mergeCell ref="J38:K38"/>
    <mergeCell ref="H43:H62"/>
    <mergeCell ref="I43:I47"/>
    <mergeCell ref="I48:I52"/>
    <mergeCell ref="I53:I62"/>
    <mergeCell ref="H63:H67"/>
    <mergeCell ref="I63:I67"/>
    <mergeCell ref="J70:K72"/>
    <mergeCell ref="G11:G20"/>
    <mergeCell ref="G21:G27"/>
    <mergeCell ref="H21:I27"/>
    <mergeCell ref="G28:G30"/>
    <mergeCell ref="H28:I30"/>
    <mergeCell ref="G31:G37"/>
    <mergeCell ref="G38:G67"/>
    <mergeCell ref="G70:G100"/>
    <mergeCell ref="G101:G102"/>
    <mergeCell ref="G103:G104"/>
    <mergeCell ref="H101:I102"/>
    <mergeCell ref="H103:I104"/>
    <mergeCell ref="J103:J104"/>
    <mergeCell ref="K103:K104"/>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3.0"/>
    <col customWidth="1" min="3" max="3" width="15.14"/>
    <col customWidth="1" min="4" max="12" width="13.0"/>
    <col customWidth="1" min="13" max="13" width="15.14"/>
    <col customWidth="1" min="14" max="14" width="13.0"/>
    <col customWidth="1" min="15" max="26" width="8.71"/>
  </cols>
  <sheetData>
    <row r="1" ht="16.5" customHeight="1">
      <c r="A1" s="1" t="s">
        <v>0</v>
      </c>
    </row>
    <row r="2" ht="16.5" customHeight="1">
      <c r="B2" s="9"/>
      <c r="C2" s="12" t="s">
        <v>3</v>
      </c>
      <c r="D2" s="6"/>
      <c r="E2" s="18" t="s">
        <v>6</v>
      </c>
      <c r="F2" s="6"/>
      <c r="G2" s="21" t="s">
        <v>10</v>
      </c>
      <c r="H2" s="6"/>
      <c r="I2" s="24" t="s">
        <v>13</v>
      </c>
      <c r="J2" s="6"/>
      <c r="K2" s="26" t="s">
        <v>15</v>
      </c>
      <c r="L2" s="6"/>
      <c r="M2" s="31" t="s">
        <v>18</v>
      </c>
      <c r="N2" s="6"/>
    </row>
    <row r="3" ht="16.5" customHeight="1">
      <c r="A3" s="35"/>
      <c r="B3" s="38" t="s">
        <v>22</v>
      </c>
      <c r="C3" s="41" t="s">
        <v>23</v>
      </c>
      <c r="D3" s="45" t="s">
        <v>26</v>
      </c>
      <c r="E3" s="41" t="s">
        <v>23</v>
      </c>
      <c r="F3" s="45" t="s">
        <v>26</v>
      </c>
      <c r="G3" s="49" t="s">
        <v>23</v>
      </c>
      <c r="H3" s="52" t="s">
        <v>26</v>
      </c>
      <c r="I3" s="49" t="s">
        <v>23</v>
      </c>
      <c r="J3" s="52" t="s">
        <v>26</v>
      </c>
      <c r="K3" s="49" t="s">
        <v>23</v>
      </c>
      <c r="L3" s="52" t="s">
        <v>26</v>
      </c>
      <c r="M3" s="49" t="s">
        <v>23</v>
      </c>
      <c r="N3" s="52" t="s">
        <v>26</v>
      </c>
      <c r="O3" s="35"/>
      <c r="P3" s="35"/>
      <c r="Q3" s="35"/>
      <c r="R3" s="35"/>
      <c r="S3" s="35"/>
      <c r="T3" s="35"/>
      <c r="U3" s="35"/>
      <c r="V3" s="35"/>
      <c r="W3" s="35"/>
      <c r="X3" s="35"/>
      <c r="Y3" s="35"/>
      <c r="Z3" s="35"/>
    </row>
    <row r="4" ht="16.5" customHeight="1">
      <c r="B4" s="62"/>
      <c r="C4" s="64"/>
      <c r="D4" s="67"/>
      <c r="E4" s="69"/>
      <c r="F4" s="71"/>
      <c r="G4" s="69"/>
      <c r="H4" s="71"/>
      <c r="I4" s="69"/>
      <c r="J4" s="75"/>
      <c r="K4" s="76"/>
      <c r="L4" s="8"/>
      <c r="M4" s="64"/>
      <c r="N4" s="71"/>
    </row>
    <row r="5" ht="16.5" customHeight="1">
      <c r="B5" s="62"/>
      <c r="C5" s="64"/>
      <c r="D5" s="67"/>
      <c r="E5" s="69"/>
      <c r="F5" s="71"/>
      <c r="G5" s="69"/>
      <c r="H5" s="71"/>
      <c r="I5" s="69"/>
      <c r="J5" s="75"/>
      <c r="K5" s="76"/>
      <c r="L5" s="8"/>
      <c r="M5" s="64"/>
      <c r="N5" s="71"/>
    </row>
    <row r="6" ht="16.5" customHeight="1">
      <c r="B6" s="62"/>
      <c r="C6" s="64"/>
      <c r="D6" s="67"/>
      <c r="E6" s="69"/>
      <c r="F6" s="71"/>
      <c r="G6" s="69"/>
      <c r="H6" s="71"/>
      <c r="I6" s="69"/>
      <c r="J6" s="75"/>
      <c r="K6" s="76"/>
      <c r="L6" s="8"/>
      <c r="M6" s="64"/>
      <c r="N6" s="71"/>
    </row>
    <row r="7" ht="16.5" customHeight="1">
      <c r="B7" s="62" t="s">
        <v>61</v>
      </c>
      <c r="C7" s="91"/>
      <c r="D7" s="75"/>
      <c r="E7" s="69"/>
      <c r="F7" s="71"/>
      <c r="G7" s="69"/>
      <c r="H7" s="71"/>
      <c r="I7" s="69"/>
      <c r="J7" s="75"/>
      <c r="K7" s="76"/>
      <c r="L7" s="8"/>
      <c r="M7" s="64"/>
      <c r="N7" s="71"/>
    </row>
    <row r="8" ht="16.5" customHeight="1">
      <c r="B8" s="96"/>
      <c r="C8" s="91"/>
      <c r="D8" s="75"/>
      <c r="E8" s="69"/>
      <c r="F8" s="71"/>
      <c r="G8" s="69"/>
      <c r="H8" s="99"/>
      <c r="I8" s="69"/>
      <c r="J8" s="100"/>
      <c r="K8" s="69"/>
      <c r="L8" s="8"/>
      <c r="M8" s="64"/>
      <c r="N8" s="71"/>
    </row>
    <row r="9" ht="16.5" customHeight="1">
      <c r="B9" s="33"/>
      <c r="C9" s="91"/>
      <c r="D9" s="71"/>
      <c r="E9" s="69"/>
      <c r="F9" s="71"/>
      <c r="G9" s="76"/>
      <c r="H9" s="108"/>
      <c r="I9" s="69"/>
      <c r="J9" s="108"/>
      <c r="K9" s="69"/>
      <c r="L9" s="112"/>
      <c r="M9" s="114"/>
      <c r="N9" s="116"/>
    </row>
    <row r="10" ht="16.5" customHeight="1">
      <c r="B10" s="121" t="s">
        <v>88</v>
      </c>
      <c r="C10" s="123"/>
      <c r="D10" s="124"/>
      <c r="E10" s="123"/>
      <c r="F10" s="125"/>
      <c r="G10" s="127"/>
      <c r="H10" s="130"/>
      <c r="I10" s="132"/>
      <c r="J10" s="133"/>
      <c r="K10" s="127"/>
      <c r="L10" s="134"/>
      <c r="M10" s="64"/>
      <c r="N10" s="71"/>
    </row>
    <row r="11" ht="16.5" customHeight="1">
      <c r="B11" s="36"/>
      <c r="C11" s="64"/>
      <c r="D11" s="135"/>
      <c r="E11" s="69"/>
      <c r="F11" s="137"/>
      <c r="G11" s="138"/>
      <c r="H11" s="71"/>
      <c r="I11" s="140"/>
      <c r="J11" s="71"/>
      <c r="K11" s="76"/>
      <c r="L11" s="142"/>
      <c r="M11" s="64"/>
      <c r="N11" s="71"/>
    </row>
    <row r="12" ht="16.5" customHeight="1">
      <c r="B12" s="36"/>
      <c r="C12" s="8"/>
      <c r="D12" s="135"/>
      <c r="E12" s="138"/>
      <c r="F12" s="135"/>
      <c r="G12" s="152"/>
      <c r="H12" s="71"/>
      <c r="I12" s="155"/>
      <c r="J12" s="71"/>
      <c r="K12" s="138"/>
      <c r="L12" s="156"/>
      <c r="M12" s="64"/>
      <c r="N12" s="71"/>
    </row>
    <row r="13" ht="16.5" customHeight="1">
      <c r="B13" s="36"/>
      <c r="C13" s="8"/>
      <c r="D13" s="135"/>
      <c r="E13" s="158"/>
      <c r="F13" s="137"/>
      <c r="G13" s="159"/>
      <c r="H13" s="162"/>
      <c r="I13" s="164"/>
      <c r="J13" s="71"/>
      <c r="K13" s="158"/>
      <c r="L13" s="156"/>
      <c r="M13" s="64"/>
      <c r="N13" s="71"/>
    </row>
    <row r="14" ht="16.5" customHeight="1">
      <c r="B14" s="36"/>
      <c r="C14" s="167"/>
      <c r="D14" s="168"/>
      <c r="E14" s="158"/>
      <c r="F14" s="137"/>
      <c r="G14" s="76"/>
      <c r="H14" s="99"/>
      <c r="I14" s="91"/>
      <c r="J14" s="71"/>
      <c r="K14" s="170"/>
      <c r="L14" s="173"/>
      <c r="M14" s="64"/>
      <c r="N14" s="71"/>
    </row>
    <row r="15" ht="16.5" customHeight="1">
      <c r="B15" s="36"/>
      <c r="C15" s="156"/>
      <c r="D15" s="135"/>
      <c r="E15" s="158"/>
      <c r="F15" s="177"/>
      <c r="G15" s="76"/>
      <c r="H15" s="137"/>
      <c r="I15" s="91"/>
      <c r="J15" s="71"/>
      <c r="K15" s="69"/>
      <c r="L15" s="156"/>
      <c r="M15" s="64"/>
      <c r="N15" s="71"/>
    </row>
    <row r="16" ht="16.5" customHeight="1">
      <c r="B16" s="36"/>
      <c r="C16" s="156"/>
      <c r="D16" s="135"/>
      <c r="E16" s="158"/>
      <c r="F16" s="183"/>
      <c r="G16" s="69"/>
      <c r="H16" s="137"/>
      <c r="I16" s="91"/>
      <c r="J16" s="71"/>
      <c r="K16" s="69"/>
      <c r="L16" s="173"/>
      <c r="M16" s="64"/>
      <c r="N16" s="71"/>
    </row>
    <row r="17" ht="16.5" customHeight="1">
      <c r="B17" s="36"/>
      <c r="C17" s="156"/>
      <c r="D17" s="135"/>
      <c r="E17" s="158"/>
      <c r="F17" s="183"/>
      <c r="G17" s="69"/>
      <c r="H17" s="137"/>
      <c r="I17" s="91"/>
      <c r="J17" s="100"/>
      <c r="K17" s="69"/>
      <c r="L17" s="173"/>
      <c r="M17" s="64"/>
      <c r="N17" s="71"/>
    </row>
    <row r="18" ht="16.5" customHeight="1">
      <c r="B18" s="36"/>
      <c r="C18" s="170"/>
      <c r="D18" s="168"/>
      <c r="E18" s="158"/>
      <c r="F18" s="190"/>
      <c r="G18" s="69"/>
      <c r="H18" s="137"/>
      <c r="I18" s="91"/>
      <c r="J18" s="137"/>
      <c r="K18" s="69"/>
      <c r="L18" s="156"/>
      <c r="M18" s="64"/>
      <c r="N18" s="71"/>
    </row>
    <row r="19" ht="16.5" customHeight="1">
      <c r="B19" s="36"/>
      <c r="C19" s="8"/>
      <c r="D19" s="168"/>
      <c r="E19" s="192"/>
      <c r="F19" s="195"/>
      <c r="G19" s="69"/>
      <c r="H19" s="137"/>
      <c r="I19" s="91"/>
      <c r="J19" s="183"/>
      <c r="K19" s="69"/>
      <c r="L19" s="156"/>
      <c r="M19" s="64"/>
      <c r="N19" s="71"/>
    </row>
    <row r="20" ht="16.5" customHeight="1">
      <c r="B20" s="36"/>
      <c r="C20" s="8"/>
      <c r="D20" s="198"/>
      <c r="E20" s="200"/>
      <c r="F20" s="137"/>
      <c r="G20" s="69"/>
      <c r="H20" s="137"/>
      <c r="I20" s="91"/>
      <c r="J20" s="183"/>
      <c r="K20" s="69"/>
      <c r="L20" s="156"/>
      <c r="M20" s="64"/>
      <c r="N20" s="71"/>
    </row>
    <row r="21" ht="16.5" customHeight="1">
      <c r="B21" s="36"/>
      <c r="C21" s="8"/>
      <c r="D21" s="204"/>
      <c r="E21" s="206"/>
      <c r="F21" s="207"/>
      <c r="G21" s="69"/>
      <c r="H21" s="207"/>
      <c r="I21" s="91"/>
      <c r="J21" s="208"/>
      <c r="K21" s="69"/>
      <c r="L21" s="209"/>
      <c r="M21" s="64"/>
      <c r="N21" s="71"/>
    </row>
    <row r="22" ht="16.5" customHeight="1">
      <c r="B22" s="128"/>
      <c r="C22" s="112"/>
      <c r="D22" s="213"/>
      <c r="E22" s="215"/>
      <c r="F22" s="216"/>
      <c r="G22" s="217"/>
      <c r="H22" s="216"/>
      <c r="I22" s="218"/>
      <c r="J22" s="216"/>
      <c r="K22" s="217"/>
      <c r="L22" s="221"/>
      <c r="M22" s="114"/>
      <c r="N22" s="116"/>
    </row>
    <row r="23" ht="16.5" customHeight="1"/>
    <row r="24" ht="16.5" customHeight="1">
      <c r="C24" s="222"/>
    </row>
    <row r="25" ht="16.5" customHeight="1"/>
    <row r="26" ht="16.5" customHeight="1"/>
    <row r="27" ht="15.75" customHeight="1">
      <c r="C27" s="8"/>
    </row>
    <row r="28" ht="15.75" customHeight="1">
      <c r="C28" s="8"/>
    </row>
    <row r="29" ht="15.75" customHeight="1">
      <c r="C29" s="8"/>
    </row>
    <row r="30" ht="15.75" customHeight="1">
      <c r="C30" s="8"/>
    </row>
    <row r="31" ht="15.75" customHeight="1">
      <c r="C31" s="134"/>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sheetData>
  <mergeCells count="8">
    <mergeCell ref="C2:D2"/>
    <mergeCell ref="E2:F2"/>
    <mergeCell ref="G2:H2"/>
    <mergeCell ref="I2:J2"/>
    <mergeCell ref="K2:L2"/>
    <mergeCell ref="M2:N2"/>
    <mergeCell ref="B7:B9"/>
    <mergeCell ref="B10:B2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43"/>
    <col customWidth="1" min="2" max="2" width="41.14"/>
    <col customWidth="1" min="3" max="3" width="9.0"/>
    <col customWidth="1" min="4" max="4" width="16.0"/>
    <col customWidth="1" min="5" max="6" width="26.29"/>
    <col customWidth="1" min="7" max="7" width="10.0"/>
    <col customWidth="1" min="8" max="9" width="7.0"/>
    <col customWidth="1" min="10" max="10" width="44.0"/>
    <col customWidth="1" min="11" max="27" width="8.71"/>
  </cols>
  <sheetData>
    <row r="1" ht="16.5" customHeight="1">
      <c r="B1" s="223" t="s">
        <v>136</v>
      </c>
    </row>
    <row r="2" ht="16.5" customHeight="1">
      <c r="B2" s="224" t="s">
        <v>139</v>
      </c>
    </row>
    <row r="3" ht="16.5" customHeight="1">
      <c r="B3" s="8"/>
      <c r="C3" s="8"/>
      <c r="D3" s="8"/>
      <c r="E3" s="8"/>
      <c r="F3" s="8"/>
      <c r="G3" s="8"/>
      <c r="H3" s="8"/>
      <c r="I3" s="8"/>
      <c r="J3" s="8"/>
    </row>
    <row r="4" ht="19.5" customHeight="1">
      <c r="B4" s="227" t="s">
        <v>143</v>
      </c>
      <c r="C4" s="227" t="s">
        <v>145</v>
      </c>
      <c r="D4" s="227" t="s">
        <v>146</v>
      </c>
      <c r="E4" s="227" t="s">
        <v>147</v>
      </c>
      <c r="F4" s="229" t="s">
        <v>148</v>
      </c>
      <c r="G4" s="227" t="s">
        <v>149</v>
      </c>
      <c r="H4" s="227" t="s">
        <v>150</v>
      </c>
      <c r="I4" s="227" t="s">
        <v>153</v>
      </c>
      <c r="J4" s="227" t="s">
        <v>154</v>
      </c>
    </row>
    <row r="5" ht="18.0" customHeight="1">
      <c r="B5" s="234" t="s">
        <v>156</v>
      </c>
      <c r="C5" s="235"/>
      <c r="D5" s="235"/>
      <c r="E5" s="235"/>
      <c r="F5" s="235"/>
      <c r="G5" s="235"/>
      <c r="H5" s="235"/>
      <c r="I5" s="235"/>
      <c r="J5" s="237"/>
    </row>
    <row r="6" ht="18.75" customHeight="1">
      <c r="B6" s="238" t="s">
        <v>159</v>
      </c>
      <c r="C6" s="240">
        <v>35.0</v>
      </c>
      <c r="D6" s="240" t="s">
        <v>161</v>
      </c>
      <c r="E6" s="240" t="s">
        <v>162</v>
      </c>
      <c r="F6" s="241" t="s">
        <v>164</v>
      </c>
      <c r="G6" s="240" t="s">
        <v>165</v>
      </c>
      <c r="H6" s="240" t="s">
        <v>165</v>
      </c>
      <c r="I6" s="240"/>
      <c r="J6" s="243" t="s">
        <v>167</v>
      </c>
    </row>
    <row r="7" ht="18.75" customHeight="1">
      <c r="B7" s="238" t="s">
        <v>168</v>
      </c>
      <c r="C7" s="240">
        <v>1.0</v>
      </c>
      <c r="D7" s="240" t="s">
        <v>161</v>
      </c>
      <c r="E7" s="240" t="s">
        <v>169</v>
      </c>
      <c r="F7" s="241" t="s">
        <v>170</v>
      </c>
      <c r="G7" s="240" t="s">
        <v>165</v>
      </c>
      <c r="H7" s="240" t="s">
        <v>165</v>
      </c>
      <c r="I7" s="240"/>
      <c r="J7" s="238" t="s">
        <v>172</v>
      </c>
    </row>
    <row r="8" ht="18.75" customHeight="1">
      <c r="B8" s="238" t="s">
        <v>173</v>
      </c>
      <c r="C8" s="240">
        <v>2.0</v>
      </c>
      <c r="D8" s="240" t="s">
        <v>161</v>
      </c>
      <c r="E8" s="240" t="s">
        <v>169</v>
      </c>
      <c r="F8" s="241" t="s">
        <v>170</v>
      </c>
      <c r="G8" s="240" t="s">
        <v>165</v>
      </c>
      <c r="H8" s="240" t="s">
        <v>165</v>
      </c>
      <c r="I8" s="240"/>
      <c r="J8" s="238" t="s">
        <v>176</v>
      </c>
    </row>
    <row r="9" ht="18.75" customHeight="1">
      <c r="B9" s="238" t="s">
        <v>177</v>
      </c>
      <c r="C9" s="240" t="s">
        <v>105</v>
      </c>
      <c r="D9" s="240" t="s">
        <v>178</v>
      </c>
      <c r="E9" s="240" t="s">
        <v>179</v>
      </c>
      <c r="F9" s="241" t="s">
        <v>170</v>
      </c>
      <c r="G9" s="240" t="s">
        <v>165</v>
      </c>
      <c r="H9" s="240" t="s">
        <v>165</v>
      </c>
      <c r="I9" s="240"/>
      <c r="J9" s="248" t="s">
        <v>180</v>
      </c>
    </row>
    <row r="10" ht="18.0" customHeight="1">
      <c r="B10" s="234" t="s">
        <v>181</v>
      </c>
      <c r="C10" s="235"/>
      <c r="D10" s="235"/>
      <c r="E10" s="235"/>
      <c r="F10" s="235"/>
      <c r="G10" s="235"/>
      <c r="H10" s="235"/>
      <c r="I10" s="235"/>
      <c r="J10" s="237"/>
    </row>
    <row r="11" ht="18.75" customHeight="1">
      <c r="B11" s="238" t="s">
        <v>184</v>
      </c>
      <c r="C11" s="240">
        <v>6.0</v>
      </c>
      <c r="D11" s="240" t="s">
        <v>161</v>
      </c>
      <c r="E11" s="240" t="s">
        <v>162</v>
      </c>
      <c r="F11" s="241" t="s">
        <v>170</v>
      </c>
      <c r="G11" s="240" t="s">
        <v>165</v>
      </c>
      <c r="H11" s="240" t="s">
        <v>165</v>
      </c>
      <c r="I11" s="240"/>
      <c r="J11" s="248" t="s">
        <v>187</v>
      </c>
    </row>
    <row r="12" ht="18.75" customHeight="1">
      <c r="B12" s="238" t="s">
        <v>189</v>
      </c>
      <c r="C12" s="240" t="s">
        <v>105</v>
      </c>
      <c r="D12" s="240" t="s">
        <v>161</v>
      </c>
      <c r="E12" s="241" t="s">
        <v>190</v>
      </c>
      <c r="F12" s="241" t="s">
        <v>191</v>
      </c>
      <c r="G12" s="240" t="s">
        <v>165</v>
      </c>
      <c r="H12" s="240" t="s">
        <v>165</v>
      </c>
      <c r="I12" s="240"/>
      <c r="J12" s="243" t="s">
        <v>167</v>
      </c>
    </row>
    <row r="13" ht="18.75" customHeight="1">
      <c r="B13" s="238" t="s">
        <v>192</v>
      </c>
      <c r="C13" s="240">
        <v>2.0</v>
      </c>
      <c r="D13" s="240" t="s">
        <v>161</v>
      </c>
      <c r="E13" s="240" t="s">
        <v>162</v>
      </c>
      <c r="F13" s="241" t="s">
        <v>195</v>
      </c>
      <c r="G13" s="240" t="s">
        <v>165</v>
      </c>
      <c r="H13" s="240" t="s">
        <v>165</v>
      </c>
      <c r="I13" s="240"/>
      <c r="J13" s="243"/>
    </row>
    <row r="14" ht="18.75" customHeight="1">
      <c r="B14" s="238" t="s">
        <v>196</v>
      </c>
      <c r="C14" s="240">
        <v>1.0</v>
      </c>
      <c r="D14" s="240" t="s">
        <v>161</v>
      </c>
      <c r="E14" s="240" t="s">
        <v>198</v>
      </c>
      <c r="F14" s="241" t="s">
        <v>170</v>
      </c>
      <c r="G14" s="240" t="s">
        <v>165</v>
      </c>
      <c r="H14" s="240" t="s">
        <v>105</v>
      </c>
      <c r="I14" s="240"/>
      <c r="J14" s="238" t="s">
        <v>200</v>
      </c>
    </row>
    <row r="15" ht="18.75" customHeight="1">
      <c r="B15" s="238" t="s">
        <v>202</v>
      </c>
      <c r="C15" s="240" t="s">
        <v>105</v>
      </c>
      <c r="D15" s="240" t="s">
        <v>161</v>
      </c>
      <c r="E15" s="240" t="s">
        <v>204</v>
      </c>
      <c r="F15" s="241" t="s">
        <v>170</v>
      </c>
      <c r="G15" s="240" t="s">
        <v>165</v>
      </c>
      <c r="H15" s="240" t="s">
        <v>165</v>
      </c>
      <c r="I15" s="240"/>
      <c r="J15" s="243" t="s">
        <v>206</v>
      </c>
    </row>
    <row r="16" ht="18.75" customHeight="1">
      <c r="B16" s="238" t="s">
        <v>207</v>
      </c>
      <c r="C16" s="240">
        <v>7.0</v>
      </c>
      <c r="D16" s="240" t="s">
        <v>161</v>
      </c>
      <c r="E16" s="240" t="s">
        <v>198</v>
      </c>
      <c r="F16" s="241" t="s">
        <v>209</v>
      </c>
      <c r="G16" s="240" t="s">
        <v>165</v>
      </c>
      <c r="H16" s="240" t="s">
        <v>165</v>
      </c>
      <c r="I16" s="240"/>
      <c r="J16" s="238" t="s">
        <v>212</v>
      </c>
    </row>
    <row r="17" ht="18.75" customHeight="1">
      <c r="B17" s="238" t="s">
        <v>213</v>
      </c>
      <c r="C17" s="240">
        <v>1.0</v>
      </c>
      <c r="D17" s="240" t="s">
        <v>161</v>
      </c>
      <c r="E17" s="241" t="s">
        <v>162</v>
      </c>
      <c r="F17" s="241" t="s">
        <v>165</v>
      </c>
      <c r="G17" s="240" t="s">
        <v>165</v>
      </c>
      <c r="H17" s="240" t="s">
        <v>165</v>
      </c>
      <c r="I17" s="240"/>
      <c r="J17" s="243" t="s">
        <v>167</v>
      </c>
    </row>
    <row r="18" ht="18.75" customHeight="1">
      <c r="B18" s="238" t="s">
        <v>216</v>
      </c>
      <c r="C18" s="240">
        <v>30.0</v>
      </c>
      <c r="D18" s="240" t="s">
        <v>161</v>
      </c>
      <c r="E18" s="241" t="s">
        <v>218</v>
      </c>
      <c r="F18" s="241" t="s">
        <v>170</v>
      </c>
      <c r="G18" s="240" t="s">
        <v>165</v>
      </c>
      <c r="H18" s="240" t="s">
        <v>165</v>
      </c>
      <c r="I18" s="240"/>
      <c r="J18" s="263" t="s">
        <v>187</v>
      </c>
    </row>
    <row r="19" ht="18.0" customHeight="1">
      <c r="B19" s="234" t="s">
        <v>219</v>
      </c>
      <c r="C19" s="235"/>
      <c r="D19" s="235"/>
      <c r="E19" s="235"/>
      <c r="F19" s="235"/>
      <c r="G19" s="235"/>
      <c r="H19" s="235"/>
      <c r="I19" s="235"/>
      <c r="J19" s="237"/>
    </row>
    <row r="20" ht="18.75" customHeight="1">
      <c r="B20" s="238" t="s">
        <v>222</v>
      </c>
      <c r="C20" s="240">
        <v>2.0</v>
      </c>
      <c r="D20" s="240" t="s">
        <v>223</v>
      </c>
      <c r="E20" s="240" t="s">
        <v>169</v>
      </c>
      <c r="F20" s="241" t="s">
        <v>225</v>
      </c>
      <c r="G20" s="240" t="s">
        <v>165</v>
      </c>
      <c r="H20" s="240" t="s">
        <v>165</v>
      </c>
      <c r="I20" s="240"/>
      <c r="J20" s="238"/>
    </row>
    <row r="21" ht="18.75" customHeight="1">
      <c r="B21" s="238" t="s">
        <v>226</v>
      </c>
      <c r="C21" s="240">
        <v>1.0</v>
      </c>
      <c r="D21" s="240" t="s">
        <v>223</v>
      </c>
      <c r="E21" s="240" t="s">
        <v>169</v>
      </c>
      <c r="F21" s="241" t="s">
        <v>228</v>
      </c>
      <c r="G21" s="240" t="s">
        <v>165</v>
      </c>
      <c r="H21" s="240" t="s">
        <v>165</v>
      </c>
      <c r="I21" s="240"/>
      <c r="J21" s="238"/>
    </row>
    <row r="22" ht="18.75" customHeight="1">
      <c r="B22" s="238" t="s">
        <v>231</v>
      </c>
      <c r="C22" s="240" t="s">
        <v>105</v>
      </c>
      <c r="D22" s="240" t="s">
        <v>223</v>
      </c>
      <c r="E22" s="241" t="s">
        <v>234</v>
      </c>
      <c r="F22" s="241" t="s">
        <v>235</v>
      </c>
      <c r="G22" s="240" t="s">
        <v>165</v>
      </c>
      <c r="H22" s="240" t="s">
        <v>165</v>
      </c>
      <c r="I22" s="240"/>
      <c r="J22" s="243" t="s">
        <v>167</v>
      </c>
    </row>
    <row r="23" ht="18.75" customHeight="1">
      <c r="B23" s="238" t="s">
        <v>237</v>
      </c>
      <c r="C23" s="240" t="s">
        <v>105</v>
      </c>
      <c r="D23" s="240" t="s">
        <v>238</v>
      </c>
      <c r="E23" s="240" t="s">
        <v>239</v>
      </c>
      <c r="F23" s="241" t="s">
        <v>170</v>
      </c>
      <c r="G23" s="240" t="s">
        <v>165</v>
      </c>
      <c r="H23" s="240" t="s">
        <v>165</v>
      </c>
      <c r="I23" s="240"/>
      <c r="J23" s="238"/>
    </row>
    <row r="24" ht="18.75" customHeight="1">
      <c r="B24" s="238" t="s">
        <v>241</v>
      </c>
      <c r="C24" s="240" t="s">
        <v>105</v>
      </c>
      <c r="D24" s="240" t="s">
        <v>238</v>
      </c>
      <c r="E24" s="240" t="s">
        <v>243</v>
      </c>
      <c r="F24" s="241" t="s">
        <v>170</v>
      </c>
      <c r="G24" s="240" t="s">
        <v>165</v>
      </c>
      <c r="H24" s="240" t="s">
        <v>165</v>
      </c>
      <c r="I24" s="240"/>
      <c r="J24" s="243" t="s">
        <v>167</v>
      </c>
    </row>
    <row r="25" ht="18.75" customHeight="1">
      <c r="B25" s="238" t="s">
        <v>246</v>
      </c>
      <c r="C25" s="240" t="s">
        <v>248</v>
      </c>
      <c r="D25" s="240" t="s">
        <v>238</v>
      </c>
      <c r="E25" s="240" t="s">
        <v>249</v>
      </c>
      <c r="F25" s="241" t="s">
        <v>170</v>
      </c>
      <c r="G25" s="240" t="s">
        <v>165</v>
      </c>
      <c r="H25" s="240" t="s">
        <v>165</v>
      </c>
      <c r="I25" s="240"/>
      <c r="J25" s="238" t="s">
        <v>250</v>
      </c>
    </row>
    <row r="26" ht="18.75" customHeight="1">
      <c r="B26" s="238" t="s">
        <v>252</v>
      </c>
      <c r="C26" s="240" t="s">
        <v>253</v>
      </c>
      <c r="D26" s="240" t="s">
        <v>254</v>
      </c>
      <c r="E26" s="240" t="s">
        <v>255</v>
      </c>
      <c r="F26" s="241" t="s">
        <v>257</v>
      </c>
      <c r="G26" s="240" t="s">
        <v>165</v>
      </c>
      <c r="H26" s="240" t="s">
        <v>105</v>
      </c>
      <c r="I26" s="240"/>
      <c r="J26" s="238" t="s">
        <v>259</v>
      </c>
    </row>
    <row r="27" ht="45.75" customHeight="1">
      <c r="B27" s="238" t="s">
        <v>260</v>
      </c>
      <c r="C27" s="240" t="s">
        <v>261</v>
      </c>
      <c r="D27" s="240" t="s">
        <v>264</v>
      </c>
      <c r="E27" s="240" t="s">
        <v>198</v>
      </c>
      <c r="F27" s="241" t="s">
        <v>170</v>
      </c>
      <c r="G27" s="240" t="s">
        <v>165</v>
      </c>
      <c r="H27" s="240" t="s">
        <v>105</v>
      </c>
      <c r="I27" s="240"/>
      <c r="J27" s="238" t="s">
        <v>266</v>
      </c>
    </row>
    <row r="28" ht="18.0" customHeight="1">
      <c r="B28" s="234" t="s">
        <v>267</v>
      </c>
      <c r="C28" s="235"/>
      <c r="D28" s="235"/>
      <c r="E28" s="235"/>
      <c r="F28" s="235"/>
      <c r="G28" s="235"/>
      <c r="H28" s="235"/>
      <c r="I28" s="235"/>
      <c r="J28" s="237"/>
    </row>
    <row r="29" ht="18.75" customHeight="1">
      <c r="B29" s="238" t="s">
        <v>271</v>
      </c>
      <c r="C29" s="240">
        <v>1.0</v>
      </c>
      <c r="D29" s="240" t="s">
        <v>178</v>
      </c>
      <c r="E29" s="240" t="s">
        <v>198</v>
      </c>
      <c r="F29" s="241" t="s">
        <v>170</v>
      </c>
      <c r="G29" s="240" t="s">
        <v>165</v>
      </c>
      <c r="H29" s="240" t="s">
        <v>105</v>
      </c>
      <c r="I29" s="240"/>
      <c r="J29" s="238" t="s">
        <v>266</v>
      </c>
    </row>
    <row r="30" ht="18.75" customHeight="1">
      <c r="B30" s="238" t="s">
        <v>276</v>
      </c>
      <c r="C30" s="240">
        <v>13.0</v>
      </c>
      <c r="D30" s="240" t="s">
        <v>178</v>
      </c>
      <c r="E30" s="240" t="s">
        <v>198</v>
      </c>
      <c r="F30" s="241" t="s">
        <v>170</v>
      </c>
      <c r="G30" s="240" t="s">
        <v>165</v>
      </c>
      <c r="H30" s="240" t="s">
        <v>105</v>
      </c>
      <c r="I30" s="240"/>
      <c r="J30" s="238" t="s">
        <v>266</v>
      </c>
    </row>
    <row r="31" ht="18.0" customHeight="1">
      <c r="B31" s="234" t="s">
        <v>178</v>
      </c>
      <c r="C31" s="235"/>
      <c r="D31" s="235"/>
      <c r="E31" s="235"/>
      <c r="F31" s="235"/>
      <c r="G31" s="235"/>
      <c r="H31" s="235"/>
      <c r="I31" s="235"/>
      <c r="J31" s="237"/>
    </row>
    <row r="32" ht="18.75" customHeight="1">
      <c r="B32" s="238" t="s">
        <v>282</v>
      </c>
      <c r="C32" s="240">
        <v>1.0</v>
      </c>
      <c r="D32" s="240" t="s">
        <v>178</v>
      </c>
      <c r="E32" s="240" t="s">
        <v>198</v>
      </c>
      <c r="F32" s="241" t="s">
        <v>284</v>
      </c>
      <c r="G32" s="240" t="s">
        <v>165</v>
      </c>
      <c r="H32" s="240" t="s">
        <v>165</v>
      </c>
      <c r="I32" s="240"/>
      <c r="J32" s="238" t="s">
        <v>266</v>
      </c>
    </row>
    <row r="33" ht="18.75" customHeight="1">
      <c r="B33" s="238" t="s">
        <v>287</v>
      </c>
      <c r="C33" s="240">
        <v>1.0</v>
      </c>
      <c r="D33" s="240" t="s">
        <v>178</v>
      </c>
      <c r="E33" s="240" t="s">
        <v>169</v>
      </c>
      <c r="F33" s="241" t="s">
        <v>288</v>
      </c>
      <c r="G33" s="240" t="s">
        <v>165</v>
      </c>
      <c r="H33" s="240" t="s">
        <v>165</v>
      </c>
      <c r="I33" s="240"/>
      <c r="J33" s="238" t="s">
        <v>291</v>
      </c>
    </row>
    <row r="34" ht="18.75" customHeight="1">
      <c r="B34" s="238" t="s">
        <v>292</v>
      </c>
      <c r="C34" s="240">
        <v>6.0</v>
      </c>
      <c r="D34" s="240" t="s">
        <v>293</v>
      </c>
      <c r="E34" s="240" t="s">
        <v>294</v>
      </c>
      <c r="F34" s="241" t="s">
        <v>170</v>
      </c>
      <c r="G34" s="240" t="s">
        <v>165</v>
      </c>
      <c r="H34" s="240" t="s">
        <v>105</v>
      </c>
      <c r="I34" s="240"/>
      <c r="J34" s="238" t="s">
        <v>297</v>
      </c>
    </row>
    <row r="35" ht="18.75" customHeight="1">
      <c r="B35" s="238" t="s">
        <v>299</v>
      </c>
      <c r="C35" s="240" t="s">
        <v>105</v>
      </c>
      <c r="D35" s="240" t="s">
        <v>178</v>
      </c>
      <c r="E35" s="240" t="s">
        <v>301</v>
      </c>
      <c r="F35" s="241" t="s">
        <v>170</v>
      </c>
      <c r="G35" s="240" t="s">
        <v>165</v>
      </c>
      <c r="H35" s="240" t="s">
        <v>105</v>
      </c>
      <c r="I35" s="240"/>
      <c r="J35" s="238"/>
    </row>
    <row r="36" ht="18.0" customHeight="1">
      <c r="B36" s="234" t="s">
        <v>302</v>
      </c>
      <c r="C36" s="235"/>
      <c r="D36" s="235"/>
      <c r="E36" s="235"/>
      <c r="F36" s="235"/>
      <c r="G36" s="235"/>
      <c r="H36" s="235"/>
      <c r="I36" s="235"/>
      <c r="J36" s="237"/>
    </row>
    <row r="37" ht="18.75" customHeight="1">
      <c r="B37" s="238" t="s">
        <v>305</v>
      </c>
      <c r="C37" s="240">
        <v>13.0</v>
      </c>
      <c r="D37" s="240" t="s">
        <v>306</v>
      </c>
      <c r="E37" s="240" t="s">
        <v>308</v>
      </c>
      <c r="F37" s="241" t="s">
        <v>170</v>
      </c>
      <c r="G37" s="240" t="s">
        <v>165</v>
      </c>
      <c r="H37" s="240" t="s">
        <v>165</v>
      </c>
      <c r="I37" s="240"/>
      <c r="J37" s="238" t="s">
        <v>311</v>
      </c>
    </row>
    <row r="38" ht="18.75" customHeight="1">
      <c r="B38" s="238" t="s">
        <v>312</v>
      </c>
      <c r="C38" s="240" t="s">
        <v>105</v>
      </c>
      <c r="D38" s="240" t="s">
        <v>313</v>
      </c>
      <c r="E38" s="240" t="s">
        <v>308</v>
      </c>
      <c r="F38" s="241" t="s">
        <v>170</v>
      </c>
      <c r="G38" s="240" t="s">
        <v>165</v>
      </c>
      <c r="H38" s="240" t="s">
        <v>165</v>
      </c>
      <c r="I38" s="240"/>
      <c r="J38" s="238" t="s">
        <v>315</v>
      </c>
    </row>
    <row r="39" ht="18.75" customHeight="1">
      <c r="B39" s="238" t="s">
        <v>316</v>
      </c>
      <c r="C39" s="240" t="s">
        <v>105</v>
      </c>
      <c r="D39" s="240" t="s">
        <v>178</v>
      </c>
      <c r="E39" s="240" t="s">
        <v>308</v>
      </c>
      <c r="F39" s="241" t="s">
        <v>170</v>
      </c>
      <c r="G39" s="240" t="s">
        <v>165</v>
      </c>
      <c r="H39" s="240" t="s">
        <v>165</v>
      </c>
      <c r="I39" s="240"/>
      <c r="J39" s="238"/>
    </row>
    <row r="40" ht="34.5" customHeight="1">
      <c r="B40" s="238" t="s">
        <v>319</v>
      </c>
      <c r="C40" s="240" t="s">
        <v>105</v>
      </c>
      <c r="D40" s="240" t="s">
        <v>321</v>
      </c>
      <c r="E40" s="240" t="s">
        <v>255</v>
      </c>
      <c r="F40" s="241" t="s">
        <v>170</v>
      </c>
      <c r="G40" s="240" t="s">
        <v>165</v>
      </c>
      <c r="H40" s="240" t="s">
        <v>105</v>
      </c>
      <c r="I40" s="240"/>
      <c r="J40" s="243" t="s">
        <v>167</v>
      </c>
    </row>
    <row r="41" ht="18.75" customHeight="1">
      <c r="B41" s="238" t="s">
        <v>324</v>
      </c>
      <c r="C41" s="240">
        <v>4.0</v>
      </c>
      <c r="D41" s="240" t="s">
        <v>325</v>
      </c>
      <c r="E41" s="240" t="s">
        <v>326</v>
      </c>
      <c r="F41" s="241" t="s">
        <v>170</v>
      </c>
      <c r="G41" s="240" t="s">
        <v>165</v>
      </c>
      <c r="H41" s="240" t="s">
        <v>165</v>
      </c>
      <c r="I41" s="240"/>
      <c r="J41" s="238" t="s">
        <v>328</v>
      </c>
    </row>
    <row r="42" ht="18.0" customHeight="1">
      <c r="B42" s="234" t="s">
        <v>330</v>
      </c>
      <c r="C42" s="235"/>
      <c r="D42" s="235"/>
      <c r="E42" s="235"/>
      <c r="F42" s="235"/>
      <c r="G42" s="235"/>
      <c r="H42" s="235"/>
      <c r="I42" s="235"/>
      <c r="J42" s="237"/>
    </row>
    <row r="43" ht="18.75" customHeight="1">
      <c r="B43" s="238" t="s">
        <v>331</v>
      </c>
      <c r="C43" s="240">
        <v>400.0</v>
      </c>
      <c r="D43" s="240" t="s">
        <v>325</v>
      </c>
      <c r="E43" s="240" t="s">
        <v>198</v>
      </c>
      <c r="F43" s="241" t="s">
        <v>170</v>
      </c>
      <c r="G43" s="240" t="s">
        <v>165</v>
      </c>
      <c r="H43" s="240" t="s">
        <v>105</v>
      </c>
      <c r="I43" s="240"/>
      <c r="J43" s="238" t="s">
        <v>266</v>
      </c>
    </row>
    <row r="44" ht="18.75" customHeight="1">
      <c r="B44" s="238" t="s">
        <v>336</v>
      </c>
      <c r="C44" s="240">
        <v>216.0</v>
      </c>
      <c r="D44" s="240" t="s">
        <v>325</v>
      </c>
      <c r="E44" s="240" t="s">
        <v>198</v>
      </c>
      <c r="F44" s="241" t="s">
        <v>170</v>
      </c>
      <c r="G44" s="240" t="s">
        <v>165</v>
      </c>
      <c r="H44" s="240" t="s">
        <v>105</v>
      </c>
      <c r="I44" s="240"/>
      <c r="J44" s="238" t="s">
        <v>266</v>
      </c>
    </row>
    <row r="45" ht="18.75" customHeight="1">
      <c r="B45" s="238" t="s">
        <v>338</v>
      </c>
      <c r="C45" s="240">
        <v>204.0</v>
      </c>
      <c r="D45" s="240" t="s">
        <v>325</v>
      </c>
      <c r="E45" s="240" t="s">
        <v>198</v>
      </c>
      <c r="F45" s="241" t="s">
        <v>170</v>
      </c>
      <c r="G45" s="240" t="s">
        <v>165</v>
      </c>
      <c r="H45" s="240" t="s">
        <v>105</v>
      </c>
      <c r="I45" s="240"/>
      <c r="J45" s="238" t="s">
        <v>343</v>
      </c>
    </row>
    <row r="46" ht="18.75" customHeight="1">
      <c r="B46" s="238" t="s">
        <v>344</v>
      </c>
      <c r="C46" s="240">
        <v>12.0</v>
      </c>
      <c r="D46" s="240" t="s">
        <v>325</v>
      </c>
      <c r="E46" s="240" t="s">
        <v>198</v>
      </c>
      <c r="F46" s="241" t="s">
        <v>170</v>
      </c>
      <c r="G46" s="240" t="s">
        <v>165</v>
      </c>
      <c r="H46" s="240" t="s">
        <v>105</v>
      </c>
      <c r="I46" s="240"/>
      <c r="J46" s="238"/>
    </row>
    <row r="47" ht="18.75" customHeight="1">
      <c r="B47" s="238" t="s">
        <v>346</v>
      </c>
      <c r="C47" s="240">
        <v>216.0</v>
      </c>
      <c r="D47" s="240" t="s">
        <v>325</v>
      </c>
      <c r="E47" s="240" t="s">
        <v>198</v>
      </c>
      <c r="F47" s="241" t="s">
        <v>170</v>
      </c>
      <c r="G47" s="240" t="s">
        <v>165</v>
      </c>
      <c r="H47" s="240" t="s">
        <v>105</v>
      </c>
      <c r="I47" s="240"/>
      <c r="J47" s="238"/>
    </row>
    <row r="48" ht="18.75" customHeight="1">
      <c r="B48" s="238" t="s">
        <v>349</v>
      </c>
      <c r="C48" s="240" t="s">
        <v>105</v>
      </c>
      <c r="D48" s="240" t="s">
        <v>325</v>
      </c>
      <c r="E48" s="240" t="s">
        <v>350</v>
      </c>
      <c r="F48" s="241" t="s">
        <v>170</v>
      </c>
      <c r="G48" s="240" t="s">
        <v>165</v>
      </c>
      <c r="H48" s="240" t="s">
        <v>105</v>
      </c>
      <c r="I48" s="240"/>
      <c r="J48" s="238" t="s">
        <v>354</v>
      </c>
    </row>
    <row r="49" ht="18.0" customHeight="1">
      <c r="B49" s="234" t="s">
        <v>356</v>
      </c>
      <c r="C49" s="235"/>
      <c r="D49" s="235"/>
      <c r="E49" s="235"/>
      <c r="F49" s="235"/>
      <c r="G49" s="235"/>
      <c r="H49" s="235"/>
      <c r="I49" s="235"/>
      <c r="J49" s="237"/>
    </row>
    <row r="50" ht="18.75" customHeight="1">
      <c r="B50" s="238" t="s">
        <v>358</v>
      </c>
      <c r="C50" s="240">
        <v>193.0</v>
      </c>
      <c r="D50" s="240" t="s">
        <v>359</v>
      </c>
      <c r="E50" s="240" t="s">
        <v>361</v>
      </c>
      <c r="F50" s="241" t="s">
        <v>170</v>
      </c>
      <c r="G50" s="240" t="s">
        <v>165</v>
      </c>
      <c r="H50" s="240" t="s">
        <v>105</v>
      </c>
      <c r="I50" s="240"/>
      <c r="J50" s="238" t="s">
        <v>363</v>
      </c>
    </row>
    <row r="51" ht="18.75" customHeight="1">
      <c r="B51" s="238" t="s">
        <v>365</v>
      </c>
      <c r="C51" s="240">
        <v>10.0</v>
      </c>
      <c r="D51" s="240" t="s">
        <v>359</v>
      </c>
      <c r="E51" s="240" t="s">
        <v>366</v>
      </c>
      <c r="F51" s="241" t="s">
        <v>170</v>
      </c>
      <c r="G51" s="240" t="s">
        <v>165</v>
      </c>
      <c r="H51" s="240" t="s">
        <v>105</v>
      </c>
      <c r="I51" s="240"/>
      <c r="J51" s="238"/>
    </row>
    <row r="52" ht="18.75" customHeight="1">
      <c r="B52" s="238" t="s">
        <v>370</v>
      </c>
      <c r="C52" s="240">
        <v>203.0</v>
      </c>
      <c r="D52" s="240" t="s">
        <v>359</v>
      </c>
      <c r="E52" s="240" t="s">
        <v>371</v>
      </c>
      <c r="F52" s="241" t="s">
        <v>170</v>
      </c>
      <c r="G52" s="240" t="s">
        <v>165</v>
      </c>
      <c r="H52" s="240" t="s">
        <v>105</v>
      </c>
      <c r="I52" s="240"/>
      <c r="J52" s="238" t="s">
        <v>374</v>
      </c>
    </row>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0">
    <mergeCell ref="B36:J36"/>
    <mergeCell ref="B42:J42"/>
    <mergeCell ref="B49:J49"/>
    <mergeCell ref="B1:J1"/>
    <mergeCell ref="B2:J2"/>
    <mergeCell ref="B5:J5"/>
    <mergeCell ref="B10:J10"/>
    <mergeCell ref="B19:J19"/>
    <mergeCell ref="B28:J28"/>
    <mergeCell ref="B31:J3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2.29"/>
    <col customWidth="1" min="3" max="7" width="13.0"/>
    <col customWidth="1" min="8" max="8" width="46.43"/>
    <col customWidth="1" min="9" max="9" width="8.71"/>
    <col customWidth="1" min="10" max="10" width="13.0"/>
    <col customWidth="1" min="11" max="26" width="8.71"/>
  </cols>
  <sheetData>
    <row r="1" ht="16.5" customHeight="1">
      <c r="A1" s="329"/>
      <c r="B1" s="329"/>
      <c r="C1" s="329"/>
      <c r="D1" s="329"/>
      <c r="E1" s="329"/>
      <c r="F1" s="329"/>
      <c r="G1" s="329"/>
      <c r="H1" s="329"/>
      <c r="I1" s="329"/>
      <c r="J1" s="329"/>
      <c r="K1" s="329"/>
    </row>
    <row r="2" ht="16.5" customHeight="1">
      <c r="A2" s="329"/>
      <c r="B2" s="330" t="s">
        <v>381</v>
      </c>
      <c r="C2" s="97"/>
      <c r="D2" s="97"/>
      <c r="E2" s="93"/>
      <c r="F2" s="331" t="s">
        <v>17</v>
      </c>
      <c r="G2" s="331" t="s">
        <v>384</v>
      </c>
      <c r="H2" s="331" t="s">
        <v>20</v>
      </c>
      <c r="I2" s="329"/>
      <c r="J2" s="329"/>
      <c r="K2" s="329"/>
    </row>
    <row r="3" ht="16.5" customHeight="1">
      <c r="A3" s="329"/>
      <c r="B3" s="176"/>
      <c r="C3" s="80"/>
      <c r="D3" s="80"/>
      <c r="E3" s="103"/>
      <c r="F3" s="335"/>
      <c r="G3" s="335"/>
      <c r="H3" s="335"/>
      <c r="I3" s="329"/>
      <c r="J3" s="329"/>
      <c r="K3" s="329"/>
    </row>
    <row r="4" ht="16.5" customHeight="1">
      <c r="A4" s="329"/>
      <c r="B4" s="331" t="s">
        <v>31</v>
      </c>
      <c r="C4" s="337" t="s">
        <v>33</v>
      </c>
      <c r="D4" s="53"/>
      <c r="E4" s="39"/>
      <c r="F4" s="331" t="s">
        <v>38</v>
      </c>
      <c r="G4" s="337" t="s">
        <v>391</v>
      </c>
      <c r="H4" s="39"/>
      <c r="I4" s="329"/>
      <c r="J4" s="329"/>
      <c r="K4" s="329"/>
    </row>
    <row r="5" ht="16.5" customHeight="1">
      <c r="A5" s="329"/>
      <c r="B5" s="331" t="s">
        <v>55</v>
      </c>
      <c r="C5" s="335" t="s">
        <v>393</v>
      </c>
      <c r="D5" s="331" t="s">
        <v>12</v>
      </c>
      <c r="E5" s="335"/>
      <c r="F5" s="331" t="s">
        <v>72</v>
      </c>
      <c r="G5" s="337" t="s">
        <v>395</v>
      </c>
      <c r="H5" s="39"/>
      <c r="I5" s="329"/>
      <c r="J5" s="329"/>
      <c r="K5" s="329"/>
    </row>
    <row r="6" ht="16.5" customHeight="1">
      <c r="A6" s="329"/>
      <c r="B6" s="342" t="s">
        <v>143</v>
      </c>
      <c r="C6" s="342" t="s">
        <v>145</v>
      </c>
      <c r="D6" s="342" t="s">
        <v>397</v>
      </c>
      <c r="E6" s="342" t="s">
        <v>399</v>
      </c>
      <c r="F6" s="342" t="s">
        <v>400</v>
      </c>
      <c r="G6" s="344" t="s">
        <v>154</v>
      </c>
      <c r="H6" s="345"/>
      <c r="I6" s="329"/>
      <c r="J6" s="329"/>
      <c r="K6" s="329"/>
    </row>
    <row r="7" ht="33.75" customHeight="1">
      <c r="A7" s="347" t="s">
        <v>403</v>
      </c>
      <c r="B7" s="349" t="s">
        <v>406</v>
      </c>
      <c r="C7" s="351">
        <v>47.0</v>
      </c>
      <c r="D7" s="352">
        <v>5200.0</v>
      </c>
      <c r="E7" s="358">
        <f t="shared" ref="E7:E12" si="1">D7*C7</f>
        <v>244400</v>
      </c>
      <c r="F7" s="360" t="s">
        <v>412</v>
      </c>
      <c r="G7" s="361" t="s">
        <v>361</v>
      </c>
      <c r="H7" s="345"/>
      <c r="I7" s="329"/>
      <c r="J7" s="362" t="s">
        <v>415</v>
      </c>
      <c r="K7" s="329"/>
      <c r="L7" s="329"/>
    </row>
    <row r="8" ht="33.75" customHeight="1">
      <c r="A8" s="347"/>
      <c r="B8" s="365" t="s">
        <v>416</v>
      </c>
      <c r="C8" s="367">
        <v>150.0</v>
      </c>
      <c r="D8" s="368">
        <v>5200.0</v>
      </c>
      <c r="E8" s="369">
        <f t="shared" si="1"/>
        <v>780000</v>
      </c>
      <c r="F8" s="370" t="s">
        <v>412</v>
      </c>
      <c r="G8" s="371" t="s">
        <v>361</v>
      </c>
      <c r="H8" s="77"/>
      <c r="I8" s="329"/>
      <c r="J8" s="329"/>
      <c r="K8" s="329"/>
      <c r="L8" s="329"/>
    </row>
    <row r="9" ht="16.5" customHeight="1">
      <c r="A9" s="347"/>
      <c r="B9" s="374" t="s">
        <v>420</v>
      </c>
      <c r="C9" s="367">
        <v>20.0</v>
      </c>
      <c r="D9" s="368">
        <v>5200.0</v>
      </c>
      <c r="E9" s="369">
        <f t="shared" si="1"/>
        <v>104000</v>
      </c>
      <c r="F9" s="370" t="s">
        <v>423</v>
      </c>
      <c r="G9" s="371" t="s">
        <v>424</v>
      </c>
      <c r="H9" s="77"/>
      <c r="I9" s="329"/>
      <c r="J9" s="329"/>
      <c r="K9" s="329"/>
      <c r="L9" s="329"/>
    </row>
    <row r="10" ht="16.5" customHeight="1">
      <c r="A10" s="347" t="s">
        <v>370</v>
      </c>
      <c r="B10" s="377" t="s">
        <v>425</v>
      </c>
      <c r="C10" s="377">
        <v>53.0</v>
      </c>
      <c r="D10" s="380">
        <v>9500.0</v>
      </c>
      <c r="E10" s="381">
        <f t="shared" si="1"/>
        <v>503500</v>
      </c>
      <c r="F10" s="382" t="s">
        <v>428</v>
      </c>
      <c r="G10" s="383" t="s">
        <v>429</v>
      </c>
      <c r="H10" s="345"/>
      <c r="I10" s="329"/>
      <c r="J10" s="329"/>
      <c r="K10" s="329"/>
      <c r="L10" s="329"/>
    </row>
    <row r="11" ht="16.5" customHeight="1">
      <c r="A11" s="388"/>
      <c r="B11" s="377" t="s">
        <v>435</v>
      </c>
      <c r="C11" s="377">
        <v>150.0</v>
      </c>
      <c r="D11" s="380">
        <v>9500.0</v>
      </c>
      <c r="E11" s="381">
        <f t="shared" si="1"/>
        <v>1425000</v>
      </c>
      <c r="F11" s="382" t="s">
        <v>428</v>
      </c>
      <c r="G11" s="383" t="s">
        <v>429</v>
      </c>
      <c r="H11" s="345"/>
      <c r="I11" s="329"/>
      <c r="J11" s="329"/>
      <c r="K11" s="329"/>
      <c r="L11" s="329"/>
    </row>
    <row r="12" ht="16.5" customHeight="1">
      <c r="A12" s="388" t="s">
        <v>440</v>
      </c>
      <c r="B12" s="374" t="s">
        <v>442</v>
      </c>
      <c r="C12" s="374">
        <v>2.0</v>
      </c>
      <c r="D12" s="368">
        <v>37490.0</v>
      </c>
      <c r="E12" s="369">
        <f t="shared" si="1"/>
        <v>74980</v>
      </c>
      <c r="F12" s="370" t="s">
        <v>198</v>
      </c>
      <c r="G12" s="394" t="s">
        <v>443</v>
      </c>
      <c r="H12" s="77"/>
      <c r="I12" s="329"/>
      <c r="J12" s="329"/>
      <c r="K12" s="329"/>
      <c r="L12" s="329"/>
    </row>
    <row r="13" ht="33.75" customHeight="1">
      <c r="A13" s="388"/>
      <c r="B13" s="365" t="s">
        <v>445</v>
      </c>
      <c r="C13" s="374">
        <v>1.0</v>
      </c>
      <c r="D13" s="368">
        <v>75700.0</v>
      </c>
      <c r="E13" s="369">
        <v>75700.0</v>
      </c>
      <c r="F13" s="370" t="s">
        <v>198</v>
      </c>
      <c r="G13" s="394" t="s">
        <v>447</v>
      </c>
      <c r="H13" s="77"/>
      <c r="I13" s="329"/>
      <c r="J13" s="329"/>
      <c r="K13" s="329"/>
      <c r="L13" s="329"/>
    </row>
    <row r="14" ht="16.5" customHeight="1">
      <c r="A14" s="388"/>
      <c r="B14" s="374" t="s">
        <v>449</v>
      </c>
      <c r="C14" s="374">
        <v>2.0</v>
      </c>
      <c r="D14" s="368">
        <v>30280.0</v>
      </c>
      <c r="E14" s="369">
        <f t="shared" ref="E14:E43" si="2">D14*C14</f>
        <v>60560</v>
      </c>
      <c r="F14" s="370" t="s">
        <v>198</v>
      </c>
      <c r="G14" s="394" t="s">
        <v>452</v>
      </c>
      <c r="H14" s="77"/>
      <c r="I14" s="329"/>
      <c r="J14" s="329"/>
      <c r="K14" s="329"/>
      <c r="L14" s="329"/>
    </row>
    <row r="15" ht="33.75" customHeight="1">
      <c r="A15" s="388" t="s">
        <v>454</v>
      </c>
      <c r="B15" s="365" t="s">
        <v>455</v>
      </c>
      <c r="C15" s="374">
        <v>1.0</v>
      </c>
      <c r="D15" s="368">
        <v>17100.0</v>
      </c>
      <c r="E15" s="369">
        <f t="shared" si="2"/>
        <v>17100</v>
      </c>
      <c r="F15" s="370" t="s">
        <v>198</v>
      </c>
      <c r="G15" s="394" t="s">
        <v>457</v>
      </c>
      <c r="H15" s="77"/>
      <c r="I15" s="329"/>
      <c r="J15" s="329"/>
      <c r="K15" s="329"/>
      <c r="L15" s="329"/>
    </row>
    <row r="16" ht="33.75" customHeight="1">
      <c r="A16" s="388"/>
      <c r="B16" s="365" t="s">
        <v>458</v>
      </c>
      <c r="C16" s="374">
        <v>4.0</v>
      </c>
      <c r="D16" s="368">
        <v>35760.0</v>
      </c>
      <c r="E16" s="369">
        <f t="shared" si="2"/>
        <v>143040</v>
      </c>
      <c r="F16" s="370" t="s">
        <v>198</v>
      </c>
      <c r="G16" s="394" t="s">
        <v>461</v>
      </c>
      <c r="H16" s="77"/>
      <c r="I16" s="329"/>
      <c r="J16" s="329"/>
      <c r="K16" s="329"/>
      <c r="L16" s="329"/>
    </row>
    <row r="17" ht="33.75" customHeight="1">
      <c r="A17" s="388"/>
      <c r="B17" s="365" t="s">
        <v>464</v>
      </c>
      <c r="C17" s="374">
        <v>3.0</v>
      </c>
      <c r="D17" s="368">
        <v>28350.0</v>
      </c>
      <c r="E17" s="369">
        <f t="shared" si="2"/>
        <v>85050</v>
      </c>
      <c r="F17" s="370" t="s">
        <v>198</v>
      </c>
      <c r="G17" s="394" t="s">
        <v>465</v>
      </c>
      <c r="H17" s="77"/>
      <c r="I17" s="329"/>
      <c r="J17" s="329"/>
      <c r="K17" s="329"/>
      <c r="L17" s="329"/>
    </row>
    <row r="18" ht="16.5" customHeight="1">
      <c r="A18" s="388" t="s">
        <v>468</v>
      </c>
      <c r="B18" s="374" t="s">
        <v>469</v>
      </c>
      <c r="C18" s="374">
        <v>1.0</v>
      </c>
      <c r="D18" s="368">
        <v>26200.0</v>
      </c>
      <c r="E18" s="369">
        <f t="shared" si="2"/>
        <v>26200</v>
      </c>
      <c r="F18" s="370" t="s">
        <v>198</v>
      </c>
      <c r="G18" s="394" t="s">
        <v>470</v>
      </c>
      <c r="H18" s="77"/>
      <c r="I18" s="329"/>
      <c r="J18" s="329"/>
      <c r="K18" s="329"/>
      <c r="L18" s="329"/>
    </row>
    <row r="19" ht="16.5" customHeight="1">
      <c r="A19" s="388"/>
      <c r="B19" s="374" t="s">
        <v>472</v>
      </c>
      <c r="C19" s="374">
        <v>3.0</v>
      </c>
      <c r="D19" s="368">
        <v>9000.0</v>
      </c>
      <c r="E19" s="369">
        <f t="shared" si="2"/>
        <v>27000</v>
      </c>
      <c r="F19" s="370" t="s">
        <v>198</v>
      </c>
      <c r="G19" s="394" t="s">
        <v>474</v>
      </c>
      <c r="H19" s="77"/>
      <c r="I19" s="329"/>
      <c r="J19" s="329"/>
      <c r="K19" s="329"/>
      <c r="L19" s="329"/>
    </row>
    <row r="20" ht="16.5" customHeight="1">
      <c r="A20" s="388"/>
      <c r="B20" s="374" t="s">
        <v>475</v>
      </c>
      <c r="C20" s="374">
        <v>1.0</v>
      </c>
      <c r="D20" s="368">
        <v>5900.0</v>
      </c>
      <c r="E20" s="369">
        <f t="shared" si="2"/>
        <v>5900</v>
      </c>
      <c r="F20" s="370" t="s">
        <v>198</v>
      </c>
      <c r="G20" s="394" t="s">
        <v>476</v>
      </c>
      <c r="H20" s="77"/>
      <c r="I20" s="329"/>
      <c r="J20" s="329"/>
      <c r="K20" s="329"/>
      <c r="L20" s="329"/>
    </row>
    <row r="21" ht="16.5" customHeight="1">
      <c r="A21" s="388"/>
      <c r="B21" s="374" t="s">
        <v>478</v>
      </c>
      <c r="C21" s="374">
        <v>1.0</v>
      </c>
      <c r="D21" s="368">
        <v>9820.0</v>
      </c>
      <c r="E21" s="369">
        <f t="shared" si="2"/>
        <v>9820</v>
      </c>
      <c r="F21" s="370" t="s">
        <v>198</v>
      </c>
      <c r="G21" s="394" t="s">
        <v>480</v>
      </c>
      <c r="H21" s="77"/>
      <c r="I21" s="329"/>
      <c r="J21" s="329"/>
      <c r="K21" s="329"/>
      <c r="L21" s="329"/>
    </row>
    <row r="22" ht="16.5" customHeight="1">
      <c r="A22" s="388"/>
      <c r="B22" s="374" t="s">
        <v>481</v>
      </c>
      <c r="C22" s="374">
        <v>1.0</v>
      </c>
      <c r="D22" s="368">
        <v>11900.0</v>
      </c>
      <c r="E22" s="369">
        <f t="shared" si="2"/>
        <v>11900</v>
      </c>
      <c r="F22" s="370" t="s">
        <v>198</v>
      </c>
      <c r="G22" s="394" t="s">
        <v>483</v>
      </c>
      <c r="H22" s="77"/>
      <c r="I22" s="329"/>
      <c r="J22" s="329"/>
      <c r="K22" s="329"/>
      <c r="L22" s="329"/>
    </row>
    <row r="23" ht="16.5" customHeight="1">
      <c r="A23" s="388" t="s">
        <v>485</v>
      </c>
      <c r="B23" s="374" t="s">
        <v>271</v>
      </c>
      <c r="C23" s="374">
        <v>1.0</v>
      </c>
      <c r="D23" s="368">
        <v>21000.0</v>
      </c>
      <c r="E23" s="369">
        <f t="shared" si="2"/>
        <v>21000</v>
      </c>
      <c r="F23" s="370" t="s">
        <v>198</v>
      </c>
      <c r="G23" s="394" t="s">
        <v>488</v>
      </c>
      <c r="H23" s="77"/>
      <c r="I23" s="329"/>
      <c r="J23" s="329"/>
      <c r="K23" s="329"/>
      <c r="L23" s="329"/>
    </row>
    <row r="24" ht="16.5" customHeight="1">
      <c r="A24" s="388"/>
      <c r="B24" s="367" t="s">
        <v>492</v>
      </c>
      <c r="C24" s="367">
        <v>13.0</v>
      </c>
      <c r="D24" s="405">
        <v>5900.0</v>
      </c>
      <c r="E24" s="369">
        <f t="shared" si="2"/>
        <v>76700</v>
      </c>
      <c r="F24" s="406" t="s">
        <v>198</v>
      </c>
      <c r="G24" s="419" t="s">
        <v>499</v>
      </c>
      <c r="H24" s="77"/>
      <c r="I24" s="329"/>
      <c r="J24" s="329"/>
      <c r="K24" s="329"/>
      <c r="L24" s="329"/>
    </row>
    <row r="25" ht="16.5" customHeight="1">
      <c r="A25" s="388"/>
      <c r="B25" s="367" t="s">
        <v>511</v>
      </c>
      <c r="C25" s="367">
        <v>12.0</v>
      </c>
      <c r="D25" s="405">
        <v>5900.0</v>
      </c>
      <c r="E25" s="369">
        <f t="shared" si="2"/>
        <v>70800</v>
      </c>
      <c r="F25" s="370" t="s">
        <v>198</v>
      </c>
      <c r="G25" s="419" t="s">
        <v>512</v>
      </c>
      <c r="H25" s="77"/>
      <c r="I25" s="329"/>
      <c r="J25" s="329"/>
      <c r="K25" s="329"/>
      <c r="L25" s="329"/>
    </row>
    <row r="26" ht="16.5" customHeight="1">
      <c r="A26" s="430"/>
      <c r="B26" s="374" t="s">
        <v>514</v>
      </c>
      <c r="C26" s="374">
        <v>1.0</v>
      </c>
      <c r="D26" s="368">
        <v>3100.0</v>
      </c>
      <c r="E26" s="369">
        <f t="shared" si="2"/>
        <v>3100</v>
      </c>
      <c r="F26" s="370" t="s">
        <v>198</v>
      </c>
      <c r="G26" s="394" t="s">
        <v>516</v>
      </c>
      <c r="H26" s="77"/>
      <c r="I26" s="329"/>
      <c r="J26" s="329"/>
      <c r="K26" s="329"/>
      <c r="L26" s="329"/>
    </row>
    <row r="27" ht="16.5" customHeight="1">
      <c r="A27" s="430"/>
      <c r="B27" s="367" t="s">
        <v>517</v>
      </c>
      <c r="C27" s="367">
        <v>5.0</v>
      </c>
      <c r="D27" s="405">
        <v>15400.0</v>
      </c>
      <c r="E27" s="369">
        <f t="shared" si="2"/>
        <v>77000</v>
      </c>
      <c r="F27" s="406" t="s">
        <v>198</v>
      </c>
      <c r="G27" s="432" t="s">
        <v>518</v>
      </c>
      <c r="H27" s="77"/>
      <c r="I27" s="329"/>
      <c r="J27" s="329"/>
      <c r="K27" s="329"/>
      <c r="L27" s="329"/>
    </row>
    <row r="28" ht="16.5" customHeight="1">
      <c r="A28" s="430"/>
      <c r="B28" s="367" t="s">
        <v>519</v>
      </c>
      <c r="C28" s="367">
        <v>1.0</v>
      </c>
      <c r="D28" s="405">
        <v>9900.0</v>
      </c>
      <c r="E28" s="369">
        <f t="shared" si="2"/>
        <v>9900</v>
      </c>
      <c r="F28" s="406" t="s">
        <v>198</v>
      </c>
      <c r="G28" s="432" t="s">
        <v>520</v>
      </c>
      <c r="H28" s="77"/>
      <c r="I28" s="329"/>
      <c r="J28" s="329"/>
      <c r="K28" s="329"/>
      <c r="L28" s="329"/>
    </row>
    <row r="29" ht="16.5" customHeight="1">
      <c r="A29" s="430"/>
      <c r="B29" s="374" t="s">
        <v>523</v>
      </c>
      <c r="C29" s="374">
        <v>1.0</v>
      </c>
      <c r="D29" s="368">
        <v>9900.0</v>
      </c>
      <c r="E29" s="369">
        <f t="shared" si="2"/>
        <v>9900</v>
      </c>
      <c r="F29" s="370" t="s">
        <v>198</v>
      </c>
      <c r="G29" s="394" t="s">
        <v>524</v>
      </c>
      <c r="H29" s="77"/>
      <c r="I29" s="329"/>
      <c r="J29" s="329"/>
      <c r="K29" s="329"/>
      <c r="L29" s="329"/>
    </row>
    <row r="30" ht="16.5" customHeight="1">
      <c r="A30" s="430"/>
      <c r="B30" s="374" t="s">
        <v>525</v>
      </c>
      <c r="C30" s="374">
        <v>1.0</v>
      </c>
      <c r="D30" s="368">
        <v>14200.0</v>
      </c>
      <c r="E30" s="369">
        <f t="shared" si="2"/>
        <v>14200</v>
      </c>
      <c r="F30" s="370" t="s">
        <v>198</v>
      </c>
      <c r="G30" s="394" t="s">
        <v>526</v>
      </c>
      <c r="H30" s="77"/>
      <c r="I30" s="329"/>
      <c r="J30" s="329"/>
      <c r="K30" s="329"/>
      <c r="L30" s="329"/>
    </row>
    <row r="31" ht="16.5" customHeight="1">
      <c r="A31" s="430"/>
      <c r="B31" s="374" t="s">
        <v>282</v>
      </c>
      <c r="C31" s="374">
        <v>1.0</v>
      </c>
      <c r="D31" s="368">
        <v>10430.0</v>
      </c>
      <c r="E31" s="369">
        <f t="shared" si="2"/>
        <v>10430</v>
      </c>
      <c r="F31" s="406" t="s">
        <v>198</v>
      </c>
      <c r="G31" s="394" t="s">
        <v>527</v>
      </c>
      <c r="H31" s="77"/>
      <c r="I31" s="329"/>
      <c r="J31" s="329"/>
      <c r="K31" s="329"/>
      <c r="L31" s="329"/>
    </row>
    <row r="32" ht="16.5" customHeight="1">
      <c r="A32" s="430"/>
      <c r="B32" s="367" t="s">
        <v>528</v>
      </c>
      <c r="C32" s="367">
        <v>1.0</v>
      </c>
      <c r="D32" s="405">
        <v>4990.0</v>
      </c>
      <c r="E32" s="369">
        <f t="shared" si="2"/>
        <v>4990</v>
      </c>
      <c r="F32" s="406" t="s">
        <v>198</v>
      </c>
      <c r="G32" s="440" t="s">
        <v>529</v>
      </c>
      <c r="H32" s="77"/>
      <c r="I32" s="329"/>
      <c r="J32" s="329"/>
      <c r="K32" s="329"/>
      <c r="L32" s="329"/>
    </row>
    <row r="33" ht="16.5" customHeight="1">
      <c r="A33" s="430"/>
      <c r="B33" s="367" t="s">
        <v>530</v>
      </c>
      <c r="C33" s="367">
        <v>2.0</v>
      </c>
      <c r="D33" s="405">
        <v>11200.0</v>
      </c>
      <c r="E33" s="369">
        <f t="shared" si="2"/>
        <v>22400</v>
      </c>
      <c r="F33" s="406" t="s">
        <v>198</v>
      </c>
      <c r="G33" s="440" t="s">
        <v>531</v>
      </c>
      <c r="H33" s="77"/>
      <c r="I33" s="329"/>
      <c r="J33" s="329"/>
      <c r="K33" s="329"/>
      <c r="L33" s="329"/>
    </row>
    <row r="34" ht="16.5" customHeight="1">
      <c r="A34" s="430"/>
      <c r="B34" s="374" t="s">
        <v>534</v>
      </c>
      <c r="C34" s="374"/>
      <c r="D34" s="368"/>
      <c r="E34" s="369">
        <f t="shared" si="2"/>
        <v>0</v>
      </c>
      <c r="F34" s="370"/>
      <c r="G34" s="371"/>
      <c r="H34" s="77"/>
      <c r="I34" s="329"/>
      <c r="J34" s="329"/>
      <c r="K34" s="329"/>
      <c r="L34" s="329"/>
    </row>
    <row r="35" ht="16.5" customHeight="1">
      <c r="A35" s="430"/>
      <c r="B35" s="374" t="s">
        <v>535</v>
      </c>
      <c r="C35" s="374">
        <v>4.0</v>
      </c>
      <c r="D35" s="368">
        <v>12000.0</v>
      </c>
      <c r="E35" s="369">
        <f t="shared" si="2"/>
        <v>48000</v>
      </c>
      <c r="F35" s="370" t="s">
        <v>326</v>
      </c>
      <c r="G35" s="394" t="s">
        <v>537</v>
      </c>
      <c r="H35" s="77"/>
      <c r="I35" s="329"/>
      <c r="J35" s="329"/>
      <c r="K35" s="329"/>
      <c r="L35" s="329"/>
    </row>
    <row r="36" ht="16.5" customHeight="1">
      <c r="A36" s="430"/>
      <c r="B36" s="441" t="s">
        <v>538</v>
      </c>
      <c r="C36" s="377"/>
      <c r="D36" s="442"/>
      <c r="E36" s="381">
        <f t="shared" si="2"/>
        <v>0</v>
      </c>
      <c r="F36" s="382"/>
      <c r="G36" s="443"/>
      <c r="H36" s="444"/>
      <c r="I36" s="329"/>
      <c r="J36" s="329"/>
      <c r="K36" s="329"/>
      <c r="L36" s="329"/>
    </row>
    <row r="37" ht="16.5" customHeight="1">
      <c r="A37" s="430"/>
      <c r="B37" s="441" t="s">
        <v>539</v>
      </c>
      <c r="C37" s="377"/>
      <c r="D37" s="445"/>
      <c r="E37" s="381">
        <f t="shared" si="2"/>
        <v>0</v>
      </c>
      <c r="F37" s="446"/>
      <c r="G37" s="377"/>
      <c r="H37" s="377"/>
      <c r="I37" s="329"/>
      <c r="J37" s="329"/>
      <c r="K37" s="329"/>
      <c r="L37" s="329"/>
    </row>
    <row r="38" ht="16.5" customHeight="1">
      <c r="A38" s="430"/>
      <c r="B38" s="377" t="s">
        <v>541</v>
      </c>
      <c r="C38" s="377"/>
      <c r="D38" s="381"/>
      <c r="E38" s="381">
        <f t="shared" si="2"/>
        <v>0</v>
      </c>
      <c r="F38" s="377"/>
      <c r="G38" s="443"/>
      <c r="H38" s="444"/>
      <c r="I38" s="329"/>
      <c r="J38" s="329"/>
      <c r="K38" s="329"/>
      <c r="L38" s="329"/>
    </row>
    <row r="39" ht="16.5" customHeight="1">
      <c r="A39" s="430"/>
      <c r="B39" s="377" t="s">
        <v>542</v>
      </c>
      <c r="C39" s="377"/>
      <c r="D39" s="381"/>
      <c r="E39" s="381">
        <f t="shared" si="2"/>
        <v>0</v>
      </c>
      <c r="F39" s="377"/>
      <c r="G39" s="443"/>
      <c r="H39" s="444"/>
      <c r="I39" s="329"/>
      <c r="J39" s="329"/>
      <c r="K39" s="329"/>
      <c r="L39" s="329"/>
    </row>
    <row r="40" ht="16.5" customHeight="1">
      <c r="A40" s="430"/>
      <c r="B40" s="377" t="s">
        <v>543</v>
      </c>
      <c r="C40" s="377"/>
      <c r="D40" s="381"/>
      <c r="E40" s="381">
        <f t="shared" si="2"/>
        <v>0</v>
      </c>
      <c r="F40" s="377"/>
      <c r="G40" s="443"/>
      <c r="H40" s="444"/>
      <c r="I40" s="329"/>
      <c r="J40" s="329"/>
      <c r="K40" s="329"/>
      <c r="L40" s="329"/>
    </row>
    <row r="41" ht="16.5" customHeight="1">
      <c r="A41" s="430"/>
      <c r="B41" s="377" t="s">
        <v>544</v>
      </c>
      <c r="C41" s="441">
        <v>3.0</v>
      </c>
      <c r="D41" s="381"/>
      <c r="E41" s="381">
        <f t="shared" si="2"/>
        <v>0</v>
      </c>
      <c r="F41" s="377"/>
      <c r="G41" s="443"/>
      <c r="H41" s="444"/>
      <c r="I41" s="329"/>
      <c r="J41" s="329"/>
      <c r="K41" s="329"/>
      <c r="L41" s="329"/>
    </row>
    <row r="42" ht="16.5" customHeight="1">
      <c r="A42" s="430"/>
      <c r="B42" s="441" t="s">
        <v>546</v>
      </c>
      <c r="C42" s="441">
        <v>1.0</v>
      </c>
      <c r="D42" s="449">
        <v>879000.0</v>
      </c>
      <c r="E42" s="381">
        <f t="shared" si="2"/>
        <v>879000</v>
      </c>
      <c r="F42" s="377"/>
      <c r="G42" s="443"/>
      <c r="H42" s="444"/>
      <c r="I42" s="329"/>
      <c r="J42" s="329"/>
      <c r="K42" s="329"/>
      <c r="L42" s="329"/>
    </row>
    <row r="43" ht="16.5" customHeight="1">
      <c r="A43" s="430"/>
      <c r="B43" s="450" t="s">
        <v>548</v>
      </c>
      <c r="C43" s="450">
        <v>3.0</v>
      </c>
      <c r="D43" s="449">
        <v>350000.0</v>
      </c>
      <c r="E43" s="451">
        <f t="shared" si="2"/>
        <v>1050000</v>
      </c>
      <c r="F43" s="452"/>
      <c r="G43" s="453"/>
      <c r="H43" s="77"/>
      <c r="I43" s="329"/>
      <c r="J43" s="329"/>
      <c r="K43" s="329"/>
      <c r="L43" s="329"/>
    </row>
    <row r="44" ht="16.5" customHeight="1">
      <c r="A44" s="430"/>
      <c r="B44" s="374" t="s">
        <v>549</v>
      </c>
      <c r="C44" s="374"/>
      <c r="D44" s="369"/>
      <c r="E44" s="369">
        <f>-SUM(E7:E43)</f>
        <v>-5891570</v>
      </c>
      <c r="F44" s="374"/>
      <c r="G44" s="371"/>
      <c r="H44" s="77"/>
      <c r="I44" s="329"/>
      <c r="J44" s="329"/>
      <c r="K44" s="329"/>
      <c r="L44" s="329"/>
    </row>
    <row r="45" ht="16.5" customHeight="1">
      <c r="A45" s="430"/>
      <c r="B45" s="374" t="s">
        <v>550</v>
      </c>
      <c r="C45" s="374"/>
      <c r="D45" s="369"/>
      <c r="E45" s="369">
        <f>15000*150</f>
        <v>2250000</v>
      </c>
      <c r="F45" s="374"/>
      <c r="G45" s="371"/>
      <c r="H45" s="77"/>
      <c r="I45" s="329"/>
      <c r="J45" s="329"/>
      <c r="K45" s="329"/>
      <c r="L45" s="329"/>
    </row>
    <row r="46" ht="16.5" customHeight="1">
      <c r="A46" s="430"/>
      <c r="B46" s="374" t="s">
        <v>551</v>
      </c>
      <c r="C46" s="374"/>
      <c r="D46" s="369"/>
      <c r="E46" s="369">
        <f>E7+E10+E11+E43</f>
        <v>3222900</v>
      </c>
      <c r="F46" s="374"/>
      <c r="G46" s="371"/>
      <c r="H46" s="77"/>
      <c r="I46" s="329"/>
      <c r="J46" s="329"/>
      <c r="K46" s="329"/>
      <c r="L46" s="329"/>
    </row>
    <row r="47" ht="16.5" customHeight="1">
      <c r="A47" s="430"/>
      <c r="B47" s="454" t="s">
        <v>553</v>
      </c>
      <c r="C47" s="454"/>
      <c r="D47" s="454"/>
      <c r="E47" s="455">
        <f>E44+E45+E46</f>
        <v>-418670</v>
      </c>
      <c r="F47" s="454"/>
      <c r="G47" s="456"/>
      <c r="H47" s="103"/>
      <c r="I47" s="329"/>
      <c r="J47" s="329"/>
      <c r="K47" s="329"/>
      <c r="L47" s="329"/>
    </row>
    <row r="48" ht="16.5" customHeight="1">
      <c r="A48" s="457"/>
      <c r="B48" s="8"/>
      <c r="D48" s="458"/>
      <c r="E48" s="458"/>
      <c r="G48" s="8"/>
    </row>
    <row r="49" ht="16.5" customHeight="1">
      <c r="A49" s="457"/>
      <c r="B49" s="8"/>
      <c r="G49" s="8"/>
    </row>
    <row r="50" ht="16.5" customHeight="1">
      <c r="A50" s="457"/>
      <c r="B50" s="8"/>
      <c r="G50" s="8"/>
    </row>
    <row r="51" ht="16.5" customHeight="1">
      <c r="A51" s="457"/>
      <c r="B51" s="8"/>
      <c r="D51" s="458"/>
      <c r="E51" s="458"/>
      <c r="G51" s="8"/>
    </row>
    <row r="52" ht="16.5" customHeight="1">
      <c r="A52" s="457"/>
      <c r="B52" s="8"/>
      <c r="G52" s="8"/>
    </row>
    <row r="53" ht="16.5" customHeight="1">
      <c r="A53" s="457"/>
      <c r="B53" s="8"/>
      <c r="G53" s="8"/>
    </row>
    <row r="54" ht="16.5" customHeight="1">
      <c r="A54" s="457"/>
      <c r="B54" s="460"/>
      <c r="C54" s="461"/>
      <c r="D54" s="461"/>
      <c r="E54" s="461"/>
      <c r="G54" s="8"/>
    </row>
    <row r="55" ht="33.75" customHeight="1">
      <c r="A55" s="457"/>
      <c r="B55" s="463"/>
      <c r="C55" s="464"/>
      <c r="D55" s="464"/>
      <c r="E55" s="463"/>
      <c r="G55" s="8"/>
    </row>
    <row r="56" ht="16.5" customHeight="1">
      <c r="A56" s="465"/>
      <c r="B56" s="463"/>
      <c r="C56" s="463"/>
      <c r="D56" s="463"/>
      <c r="E56" s="463"/>
      <c r="G56" s="8"/>
    </row>
    <row r="57" ht="16.5" customHeight="1">
      <c r="A57" s="465"/>
      <c r="B57" s="463"/>
      <c r="C57" s="463"/>
      <c r="D57" s="463"/>
      <c r="E57" s="463"/>
      <c r="G57" s="8"/>
    </row>
    <row r="58" ht="48.0" customHeight="1">
      <c r="B58" s="463"/>
      <c r="C58" s="466"/>
      <c r="D58" s="466"/>
      <c r="E58" s="458"/>
      <c r="G58" s="8"/>
    </row>
    <row r="59" ht="16.5" customHeight="1">
      <c r="B59" s="463"/>
      <c r="C59" s="458"/>
      <c r="D59" s="458"/>
      <c r="E59" s="458"/>
      <c r="G59" s="8"/>
    </row>
    <row r="60" ht="16.5" customHeight="1">
      <c r="B60" s="8"/>
      <c r="D60" s="458"/>
      <c r="E60" s="458"/>
      <c r="G60" s="8"/>
    </row>
    <row r="61" ht="16.5" customHeight="1">
      <c r="B61" s="8"/>
      <c r="D61" s="458"/>
      <c r="E61" s="458"/>
      <c r="G61" s="8"/>
    </row>
    <row r="62" ht="16.5" customHeight="1">
      <c r="B62" s="8"/>
      <c r="D62" s="458"/>
      <c r="E62" s="458"/>
      <c r="G62" s="8"/>
    </row>
    <row r="63" ht="16.5" customHeight="1">
      <c r="B63" s="8"/>
      <c r="D63" s="458"/>
      <c r="E63" s="458"/>
      <c r="G63" s="8"/>
    </row>
    <row r="64" ht="16.5" customHeight="1">
      <c r="B64" s="8"/>
      <c r="D64" s="458"/>
      <c r="E64" s="458"/>
      <c r="G64" s="8"/>
    </row>
    <row r="65" ht="16.5" customHeight="1">
      <c r="B65" s="8"/>
      <c r="D65" s="458"/>
      <c r="E65" s="458"/>
      <c r="G65" s="8"/>
    </row>
    <row r="66" ht="16.5" customHeight="1">
      <c r="B66" s="8"/>
      <c r="D66" s="458"/>
      <c r="E66" s="458"/>
      <c r="G66" s="8"/>
    </row>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sheetData>
  <mergeCells count="64">
    <mergeCell ref="G59:H59"/>
    <mergeCell ref="G60:H60"/>
    <mergeCell ref="G61:H61"/>
    <mergeCell ref="G62:H62"/>
    <mergeCell ref="G63:H63"/>
    <mergeCell ref="G64:H64"/>
    <mergeCell ref="G65:H65"/>
    <mergeCell ref="G66:H66"/>
    <mergeCell ref="G52:H52"/>
    <mergeCell ref="G53:H53"/>
    <mergeCell ref="G54:H54"/>
    <mergeCell ref="G55:H55"/>
    <mergeCell ref="G56:H56"/>
    <mergeCell ref="G57:H57"/>
    <mergeCell ref="G58:H58"/>
    <mergeCell ref="B2:E3"/>
    <mergeCell ref="C4:E4"/>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s>
  <hyperlinks>
    <hyperlink r:id="rId1" ref="G24"/>
    <hyperlink r:id="rId2" ref="G25"/>
    <hyperlink r:id="rId3" ref="G27"/>
    <hyperlink r:id="rId4" ref="G28"/>
    <hyperlink r:id="rId5" ref="G32"/>
    <hyperlink r:id="rId6" ref="G33"/>
  </hyperlinks>
  <printOptions/>
  <pageMargins bottom="1.0" footer="0.0" header="0.0" left="0.75" right="0.75" top="1.0"/>
  <pageSetup orientation="landscape"/>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3.71"/>
    <col customWidth="1" min="3" max="3" width="113.86"/>
    <col customWidth="1" min="4" max="4" width="4.29"/>
    <col customWidth="1" hidden="1" min="5" max="5" width="63.43"/>
    <col customWidth="1" hidden="1" min="6" max="6" width="12.71"/>
    <col customWidth="1" min="7" max="26" width="8.71"/>
  </cols>
  <sheetData>
    <row r="1" ht="16.5" customHeight="1"/>
    <row r="2" ht="37.5" customHeight="1">
      <c r="B2" s="385" t="s">
        <v>432</v>
      </c>
      <c r="C2" s="387"/>
    </row>
    <row r="3" ht="196.5" customHeight="1">
      <c r="B3" s="389" t="s">
        <v>434</v>
      </c>
      <c r="C3" s="391"/>
    </row>
    <row r="4" ht="140.25" customHeight="1">
      <c r="B4" s="389" t="s">
        <v>436</v>
      </c>
      <c r="C4" s="392"/>
    </row>
    <row r="5" ht="17.2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
    <mergeCell ref="B2:C2"/>
  </mergeCells>
  <printOptions/>
  <pageMargins bottom="1.0" footer="0.0" header="0.0" left="0.75" right="0.75" top="1.0"/>
  <pageSetup orientation="landscape"/>
  <drawing r:id="rId1"/>
</worksheet>
</file>