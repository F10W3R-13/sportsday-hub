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0. 개요" sheetId="1" r:id="rId5"/>
    <sheet state="visible" name="1. 행사 기획안" sheetId="2" r:id="rId6"/>
    <sheet state="visible" name="2. 타임라인 &amp; 인원관리표" sheetId="3" r:id="rId7"/>
    <sheet state="visible" name="3. 하이클럽 출석부" sheetId="4" r:id="rId8"/>
    <sheet state="visible" name="4. 팀별 편성" sheetId="5" r:id="rId9"/>
    <sheet state="visible" name="5. 준비물" sheetId="6" r:id="rId10"/>
    <sheet state="visible" name="6. 예산안" sheetId="7" r:id="rId11"/>
    <sheet state="visible" name="7. 행사 피드백" sheetId="8" r:id="rId12"/>
  </sheets>
  <definedNames/>
  <calcPr/>
</workbook>
</file>

<file path=xl/sharedStrings.xml><?xml version="1.0" encoding="utf-8"?>
<sst xmlns="http://schemas.openxmlformats.org/spreadsheetml/2006/main" count="992" uniqueCount="612">
  <si>
    <t>개요</t>
  </si>
  <si>
    <t>하클</t>
  </si>
  <si>
    <t>참석</t>
  </si>
  <si>
    <t>15분 이내 지각</t>
  </si>
  <si>
    <t>30분 이내 지각</t>
  </si>
  <si>
    <t>불참</t>
  </si>
  <si>
    <t>기획 배경</t>
  </si>
  <si>
    <t>- 건강도 챙기고 재미도 챙길 수 있는 한국형 체육대회! 이번에는 '인사이드 아웃(Inside Out)' 컨셉 — HI-Side Out!
- 교환학생 150명과 하이클럽이 감정 6색 팀(Joy·Sadness·Anger·Disgust·Fear·Anxiety, 팀당 약 25명)으로 나뉘어 진행합니다. 각 팀에는 교환학생을 인솔하는 하클 팀장·부팀장이 배치되며, 계주는 하클 팀을 포함한 7팀이 동시에 출전합니다.
- 당일 흐름: 명륜 하클은 9:30 국제관 L 집합 → 10:30 버스 출발(3대, 명륜 신청 134명) → 11:45 율전 도착. 율전 조는 9:00부터 천막·경기장을 세팅하며, 11:50부터 버스 도착과 동시에 입장 수속·단체티·점심을 배부한 뒤 13:00에 개회합니다. 우천 시에는 율전 수성관에서 진행합니다.
- 토너먼트형 게임 4종(팀전·점수제)과 메인게임 2종(전원 참여)을 1부·2부로 나누어 진행하고, 미니게임 6종(개인전)은 상시 부스로 운영해 도장을 모으면 뽑기 상품을 가져갈 수 있도록 합니다.
- 작년 피드백 반영: 우천 시에도 취소 없이 수성관 전환 / 구글폼 성별 항목 추가로 종목별 성비 준수 / 심판 배정을 행사 3일 전까지 완료하고 리허설 진행 / 천막·의자·테이블 등 국제처 대여 전환으로 예산 부담 축소
- 점심(확정): 맘스터치 불고기버거(일반) + 서브웨이 베지(비건) · 버스·하이클럽 점심·단체티(인당 1만원 한도) 국제처 지원</t>
  </si>
  <si>
    <t>하클 가용인원</t>
  </si>
  <si>
    <t>1부</t>
  </si>
  <si>
    <t>2부</t>
  </si>
  <si>
    <t>시간</t>
  </si>
  <si>
    <t>장소 및 일정</t>
  </si>
  <si>
    <t>기획 일정</t>
  </si>
  <si>
    <t>역할</t>
  </si>
  <si>
    <t>인원</t>
  </si>
  <si>
    <t>행사 기획안</t>
  </si>
  <si>
    <t>담당자</t>
  </si>
  <si>
    <t>날짜/시간</t>
  </si>
  <si>
    <t>내용</t>
  </si>
  <si>
    <t>구체적</t>
  </si>
  <si>
    <t>기획부</t>
  </si>
  <si>
    <t>회장단</t>
  </si>
  <si>
    <t>기획팀 1차 회의</t>
  </si>
  <si>
    <t>- 실무팀 인원 배정
- 고정회의 날짜 의논
- 컨셉 후보 논의 → '인사이드 아웃(HI-Side Out)' 확정</t>
  </si>
  <si>
    <t>9:30~10:00</t>
  </si>
  <si>
    <t>행사명</t>
  </si>
  <si>
    <t>명륜 국제관 L 집합</t>
  </si>
  <si>
    <t>HI-Side Out</t>
  </si>
  <si>
    <t>교환 버스 탑승 수속 준비</t>
  </si>
  <si>
    <t>방중회의</t>
  </si>
  <si>
    <t>- 방학 중 팀별 준비 현황 점검 (8/7)
- 구글폼 배포(8/21~28) 직전 최종 점검 (8/21)</t>
  </si>
  <si>
    <t>구분</t>
  </si>
  <si>
    <t>필참</t>
  </si>
  <si>
    <t>기획팀 2차 회의</t>
  </si>
  <si>
    <t>- 작년(25-2·26-1) 피드백 검토
- 행사 컨셉 확정, 종목 후보·점수 철학 논의
- 팀별 기획 가이드라인 배포
- 예산 방향 옵션 정리 (단체티 신규 제작 전제)</t>
  </si>
  <si>
    <t>물품 상차</t>
  </si>
  <si>
    <t>기획팀원</t>
  </si>
  <si>
    <t>타임라인 완성</t>
  </si>
  <si>
    <t>기획관리팀장 - 유민우
기획관리팀 - 윤서연, 유민우, 배현빈, 정홍재, 예건희, 성현중
타임라인, 인원관리팀 - 배현빈(30기획), 김나은(30인사), 강하은
콘텐츠팀 - 정홍재(30기획), 이강서, 이은재
예산안팀 - 예건희(30기획), 고연준, 김민정(30총무)
교환담당팀 - 성현중, 전정민(30기획), 이희수(30기획)</t>
  </si>
  <si>
    <t>- 25-2 소요시간 임시값 기준 전체 타임라인 뼈대 완성 (8/13)
- 확정 소요시간은 8/16 컨텐츠 확정 후 반영</t>
  </si>
  <si>
    <t>10:00~10:30</t>
  </si>
  <si>
    <t>컨텐츠 완성</t>
  </si>
  <si>
    <t>버스 탑승 안내</t>
  </si>
  <si>
    <t>- 기획팀 3차 회의(8/16): 게임 12종 상세 규칙·점수 배분 확정
- 토너먼트 100/80/60/40/20/10점 · 메인게임 ×1.5 (150/120/90/60/30/15점)
- 게임별 물품 리스트·소요시간 예산팀·타임라인팀 인계
- 구글폼 초안 피드백, 국제처 지원 방향 결정</t>
  </si>
  <si>
    <t>행사 일자</t>
  </si>
  <si>
    <t>하클 가용인원 조사</t>
  </si>
  <si>
    <t>- 8/17~19 구글폼 조사 (배치표 작성의 기초)
- 오전/오후 버스 지원 가능 여부 포함</t>
  </si>
  <si>
    <t>본 행사</t>
  </si>
  <si>
    <t>카드뉴스 홍보부 인계</t>
  </si>
  <si>
    <t>- 홍보부 인계물(카드뉴스) 1차 인계 — 컨텐츠 확정 결과 반영</t>
  </si>
  <si>
    <t>구글폼 완성</t>
  </si>
  <si>
    <t>- 25-2 양식 15문항 + 성별 항목(16번) 포함 총 16문항</t>
  </si>
  <si>
    <t>10:00 - 10:30</t>
  </si>
  <si>
    <t>10:00 ~ 19:00</t>
  </si>
  <si>
    <t>물품 준비</t>
  </si>
  <si>
    <t>총학 물품 및 천막 이동</t>
  </si>
  <si>
    <t>장소</t>
  </si>
  <si>
    <t>자연과학캠퍼스 대운동장</t>
  </si>
  <si>
    <t>최종기획안 완성 및 임원진 인계</t>
  </si>
  <si>
    <t>- 예산안 대폭 개정 확정: 총지출 3,723,660원 / 국제처 지원 2,195,980원(하이클럽 점심+단체티 전액) / 입장료 15,000원(수입 2,250,000원) → 잔여 +722,320원
- 단체티 하이티→단티(9,460원) 변경, 미니게임 뽑기 상품 1~5등 신설</t>
  </si>
  <si>
    <t>카드뉴스업로드</t>
  </si>
  <si>
    <t>- 1차 카드뉴스 홍보 업로드</t>
  </si>
  <si>
    <t>우천시</t>
  </si>
  <si>
    <t>율전 수성관</t>
  </si>
  <si>
    <t>교환학생 구글폼 접수</t>
  </si>
  <si>
    <t>- 접수 마감 (기간 8/21~28)
- 신청 약 200건(중복 포함) → 최종 150명 산정</t>
  </si>
  <si>
    <t>물품 구매 (얼음)</t>
  </si>
  <si>
    <t>컨텐츠 안내 홍보부 인계</t>
  </si>
  <si>
    <t>- 게임·진행 안내 컨텐츠 홍보부 인계</t>
  </si>
  <si>
    <t>수금 부스</t>
  </si>
  <si>
    <t>- 교환학생 입장료 수금 부스 운영 (현금 15,000원)</t>
  </si>
  <si>
    <t>&lt;행사 전&gt;</t>
  </si>
  <si>
    <t>브룸 물품 이동</t>
  </si>
  <si>
    <t>최종기획안 국제처 인계</t>
  </si>
  <si>
    <t>- 최종기획안 국제처 전달
- 대여 물품(천막·의자·테이블·스피커·마이크)·First Aid 협조 포함</t>
  </si>
  <si>
    <t>준비물 주문</t>
  </si>
  <si>
    <t>- 쿠팡·게임연구소 대여 물품 일괄 주문</t>
  </si>
  <si>
    <t>내부체크 및 총괄</t>
  </si>
  <si>
    <t>교환 팀 배정완료</t>
  </si>
  <si>
    <t>- 8/28~29 배정 작업 → 6팀 편성 확정
- 팀장 6명 선정</t>
  </si>
  <si>
    <t>행사 전 준비</t>
  </si>
  <si>
    <t>부스 노래 준비</t>
  </si>
  <si>
    <t>단체티 주문</t>
  </si>
  <si>
    <t>- 단티(dantee.co.kr) 203장 (하클 53 + 교환 150), 장당 9,460원</t>
  </si>
  <si>
    <t>-</t>
  </si>
  <si>
    <t>준비물 확인 인원 *대운동장 대기</t>
  </si>
  <si>
    <t>USB에 노래 담아서 준비 (오징어게임 OST도 같이)</t>
  </si>
  <si>
    <t>교환학생 정보방 개설</t>
  </si>
  <si>
    <t>- 팀별 카카오톡 정보방 개설</t>
  </si>
  <si>
    <t>컨텐츠 안내 카드뉴스 업로드</t>
  </si>
  <si>
    <t>- 2차 카드뉴스(게임 룰 종합) 업로드</t>
  </si>
  <si>
    <t>10:30 - 11:50</t>
  </si>
  <si>
    <t>입장관리, 점수집계용 노트북 준비</t>
  </si>
  <si>
    <t>경기장 준비 및 식사</t>
  </si>
  <si>
    <t>입장 관리존 설치</t>
  </si>
  <si>
    <t>최종기획안 공유 및 업무보고카톡</t>
  </si>
  <si>
    <t>- 팀별 업무보고 카톡 시작</t>
  </si>
  <si>
    <t>노트북 풀충해서 준비</t>
  </si>
  <si>
    <t>중간브리핑</t>
  </si>
  <si>
    <t>- 행사 준비 중간 브리핑 — 팀별 진행 상황 점검</t>
  </si>
  <si>
    <t>First Aid 섭외</t>
  </si>
  <si>
    <t>입장 관리존 준비물 확인 인원</t>
  </si>
  <si>
    <t>업무보고 카톡 마감</t>
  </si>
  <si>
    <t>- 팀별 업무보고 마감</t>
  </si>
  <si>
    <t>국제처에 First Aid 인원 문의</t>
  </si>
  <si>
    <t>최종브리핑</t>
  </si>
  <si>
    <t>- 행사 전 최종 브리핑
- 심판 배정·심판용 규칙 숙지(9/16)·리허설 완료 확인</t>
  </si>
  <si>
    <t>경기장 및 미니게임 부스 설치</t>
  </si>
  <si>
    <t>&lt; 2026.09.20(일) / 행사 당일 &gt;</t>
  </si>
  <si>
    <t>Sports Day</t>
  </si>
  <si>
    <t>- HI-Side Out — 율전 대운동장 10:00~19:00 (우천 시 수성관)
- 교환학생 150명 + 하이클럽, 6팀 · 명륜 버스 3대(9:30 집합)</t>
  </si>
  <si>
    <t>경기장 준비물 확인 인원</t>
  </si>
  <si>
    <t>담당자(역할)</t>
  </si>
  <si>
    <t>자세한 역할</t>
  </si>
  <si>
    <t>명륜</t>
  </si>
  <si>
    <t>팀별 응원 및 대기 존 설치</t>
  </si>
  <si>
    <t>9:30 - 10:00</t>
  </si>
  <si>
    <t>명륜 국제관 L</t>
  </si>
  <si>
    <t>명륜에서 출발하는 하클</t>
  </si>
  <si>
    <t>교환존 준비물 확인 인원</t>
  </si>
  <si>
    <t>명륜 오전 9시 반 해당 장소에 집합한다.
(지각 시 벌점)
노트북으로 교환명단 준비한다.
(교환명단 링크 첨부)</t>
  </si>
  <si>
    <t>율전으로 옮겨야 하는 물건을 버스에 상차한다.
(최대한 미리 율전에 옮겨두어 상차 물품을 최소화)</t>
  </si>
  <si>
    <t>본부 설치</t>
  </si>
  <si>
    <t>600주년 기념관 앞</t>
  </si>
  <si>
    <t>버스 탑승 안내
및 출발</t>
  </si>
  <si>
    <t xml:space="preserve">- 교환명단에 출석 교환 체크하여 버스 탑승 안내한다.
- 버스 인원은 팀별로 끊어서 분배한다
- 10시 30분이 되면 각 버스에 하클인원 적절히 나눠타고 이동한다.
</t>
  </si>
  <si>
    <t>본부 준비물 확인 인원</t>
  </si>
  <si>
    <t>10:30 - 11:45</t>
  </si>
  <si>
    <t>(명륜) 600주년 기념관 앞
-&gt;
(율전) 수성관&amp;주차장 사이 이동</t>
  </si>
  <si>
    <t>버스 이동</t>
  </si>
  <si>
    <t>버스 인솔자</t>
  </si>
  <si>
    <t>- 출발 전에 카톡 정보방에 출발한다고 문자 남기기</t>
  </si>
  <si>
    <t>준비 총괄</t>
  </si>
  <si>
    <t>율전</t>
  </si>
  <si>
    <t>점심 식사 수령</t>
  </si>
  <si>
    <t>율전 대운동장</t>
  </si>
  <si>
    <t>천막 수령</t>
  </si>
  <si>
    <t>업체 물품 수령</t>
  </si>
  <si>
    <t>국제처 대여 물품(천막·의자·테이블·스피커·마이크) 및 게임연구소 대여 물품(아이스박스·접시콘) 인계
'4. 준비물' 품목 수량 리스트 만들어 확인하기</t>
  </si>
  <si>
    <t>해당 장소 집합</t>
  </si>
  <si>
    <t>출석체크</t>
  </si>
  <si>
    <t>각 장소별 출석체크</t>
  </si>
  <si>
    <t>물품 구매팀 출석체크
Breakout Room 출석체크</t>
  </si>
  <si>
    <t>11:50~12:50</t>
  </si>
  <si>
    <t>입장체크 및 점심식사 배부</t>
  </si>
  <si>
    <t>명륜 교환 인솔</t>
  </si>
  <si>
    <t>Breakout Room</t>
  </si>
  <si>
    <t>물품 이동</t>
  </si>
  <si>
    <t xml:space="preserve">업체로부터 대여한 천막을 해당 위치에 셋팅한다.
그 외 물품을 천막 위치로 이동시킨다.
</t>
  </si>
  <si>
    <t>도장판 작성</t>
  </si>
  <si>
    <t>'4. 준비물' 시트의 Breakout Room에 있는 물품을 운동장으로 이동시킨다.(추후 최신화 예정)</t>
  </si>
  <si>
    <t>학교 근처 마트</t>
  </si>
  <si>
    <t>물품 구매</t>
  </si>
  <si>
    <t>학교 주변에 있는 마트에서 얼음을 구매한다.</t>
  </si>
  <si>
    <t>인원 체크 및 수금 -  노트북 지참!!</t>
  </si>
  <si>
    <t>대운동장</t>
  </si>
  <si>
    <t>경기장 준비
스포츠데이 배치도.pptx</t>
  </si>
  <si>
    <t>입장 관리존 설치
(최우선순위)</t>
  </si>
  <si>
    <t>입장 시에 교환학생들을 맞이 할 공간을 세팅한다.
천막 2개, 듀라테이블 3개, 의자 8개, 노트북 4대를 세팅한다.
브룸에서 물품(의류, 물, 도장판)이 도착하면 제공할 굿즈를 테이블 위에 배치한다.
교환학생들의 점심도 이곳에서 배부한다.</t>
  </si>
  <si>
    <t>팀별 단체티 배부</t>
  </si>
  <si>
    <t>경기장 규격에 맞게 콘을 이용해서 경기장 구역을 표시한다.
경기장 규격은 60m x 40m 이다.
미니게임 부스인 천막 3개에 미니게임 물품을 셋팅한다.
1부 미니게임 배치도를 보고 각 천막에 미니게임의 이름이 적혀있는 하드보드지를 부착한다.
2부 미니게임의 이름이 적혀있는 하드보드지는 부착하지 않고 테이블에 올려둔다.</t>
  </si>
  <si>
    <t>각 팀의 천막를 1개씩 경기장 배치표에 맞게 설치한다. 모래주머니 설치해 날아가지 않도록 한다.
팀 별로 돗자리 2개씩 펼친다. 돗자리 역시 날아가지 않도록 한다.
팀 이름이 적힌 하드보드지를 천막에 부착한다.</t>
  </si>
  <si>
    <t>점심 배부</t>
  </si>
  <si>
    <t>천막 2개, 듀라테이블 3개, 의자 10개, 칠판 1개, 노트북 2대(집계팀이 준비)를 설치한다.
천막 1개는 하클 사회자가 대기하고 진행하는 공간, 나머지 천막 1개는 행사 진행을 총괄하는 공간이다.
토너먼트 표 등 제작한다.</t>
  </si>
  <si>
    <t>11시 15분에 식사 배달 수령을 담당한다.
수령을 완료한 후 하클이 바로 식사할 수 있도록 안내한다.</t>
  </si>
  <si>
    <t>줄 관리</t>
  </si>
  <si>
    <t>인력이 부족한 일이 있으면 돕는다.
배치 관련해서 질문이 들어오면 이를 해결한다.</t>
  </si>
  <si>
    <t>본인 팀 천막에서 대기 / 1부에 팀이 없을 경우 본부 대기</t>
  </si>
  <si>
    <t>율전 도착 이후</t>
  </si>
  <si>
    <t>12:50~13:00</t>
  </si>
  <si>
    <t>개막 전 선수 입장</t>
  </si>
  <si>
    <t>출석/수금/물품 배부 -  노트북 지참!!</t>
  </si>
  <si>
    <t>11:50 - 12:50</t>
  </si>
  <si>
    <t>경기장 내 팀별로 소집(각 팀별 팀장 및 부팀장, 팀별 2명)</t>
  </si>
  <si>
    <t xml:space="preserve">인원 체크 및 점심식사 배부
스포츠데이 교환 명단
입장부스 진행 방식
</t>
  </si>
  <si>
    <t>율전 입장 시작</t>
  </si>
  <si>
    <t>입장 수속 진행한다.
(세부 사항은 아래 1 2 3번 참고)</t>
  </si>
  <si>
    <t>버스 도착 후 바로 인솔하여 입장 수속 진행한다.</t>
  </si>
  <si>
    <t>그 외 인원</t>
  </si>
  <si>
    <t>1. 인원 체크
및 수금</t>
  </si>
  <si>
    <t>스포츠데이 교환 명단 에서
이름 대조 및 확인, 수금
수금 시에는 현금결제로만 진행한다.
수금 확인하면 수금 체크
입장료: 15,000</t>
  </si>
  <si>
    <t>13:00~13:30</t>
  </si>
  <si>
    <t>개회 &amp; 국민체조
* 색깔 판 뒤집기 게임 보조자는
국민체조 종료 직후 경기장 세팅</t>
  </si>
  <si>
    <t>지각생 입장 관리</t>
  </si>
  <si>
    <t>2. 도장판 뒤에 단체티 사이즈, 점심 적기</t>
  </si>
  <si>
    <t>교환학생 입장 관리 줄에서 넘어온 교환학생들에게 본인이 속한 팀과 구글폼으로 제출한 사이즈에 맞게 티셔츠를 나눠준다.
미니게임 시 활용할 도장판을 나눠준다.
단체티 배부하고 수령 확인에 '0' 표시</t>
  </si>
  <si>
    <t>1부 사회자</t>
  </si>
  <si>
    <t>3. 단체티, 점심 배부</t>
  </si>
  <si>
    <t>교환학생 본인이 주문한 메뉴를 알려주고 맞는 줄로 안내한다.
물을 나눠준다.
안내 후 수령 란에 '0' 표시한다.</t>
  </si>
  <si>
    <t>12:50 - 13:00</t>
  </si>
  <si>
    <t>팀 별 인솔</t>
  </si>
  <si>
    <t>경기장 내 팀별로 소집</t>
  </si>
  <si>
    <t>부스 노래 담당 (국민체조 노래 및 플레이리스트 재생)</t>
  </si>
  <si>
    <t>(각 팀별 팀장 및 부팀장, 팀별 2명)
팀별 천막에서 대기하고 있으면서 교환학생들이 오면 따뜻하게 반겨준다.
게임 내용을 간략하게 설명해준다.</t>
  </si>
  <si>
    <t>※ 교환 팀 배정(9/3 완료) 후 확정 — 팀당 교환학생 약 25명 + 하클 팀장·부팀장. 계주는 팀당 여3·남3.</t>
  </si>
  <si>
    <t>개회시 본인이 있는 위치를 확인해서 그 장소에 대기하여 행사 시작시 진행에 차질이 없도록 한다.</t>
  </si>
  <si>
    <t>중앙부스</t>
  </si>
  <si>
    <t>13:00 - 13:30</t>
  </si>
  <si>
    <t>개회 - 국민체조 전</t>
  </si>
  <si>
    <t>지각자 입장 관리</t>
  </si>
  <si>
    <t>국민체조 시범</t>
  </si>
  <si>
    <t>입장 부스에 대기하면서 지각생이 오면 명단 확인과 굿즈 배부를 진행한 다음 입장시킨다.</t>
  </si>
  <si>
    <t>TEAM JOY</t>
  </si>
  <si>
    <t>TEAM SADNESS</t>
  </si>
  <si>
    <t>12시 55분에 13시에 시작할 예정이니 각 팀별로 두 줄씩 대기해달라고 안내한다.
정각에 시작을 안내하고 각 팀을 호명해서 경기장 구역으로 이동하도록 한다.
개회식 선서를 진행한다.
간단한 준비 운동을 할 예정이니 국민체조 진행 인원들에게 나와달라고 한 후, 국민체조를 진행한다.</t>
  </si>
  <si>
    <t>TEAM ANGER</t>
  </si>
  <si>
    <t>국민체조 참여 (팀 있으면 본인 팀이랑 함께)</t>
  </si>
  <si>
    <t>TEAM DISGUST</t>
  </si>
  <si>
    <t>TEAM FEAR</t>
  </si>
  <si>
    <t>55분에 사회자 안내가 끝나면 인원들을 2줄로 모아서 경기장에 입장할 준비를 한다.
사회자가 각자의 팀을 호명하면 경기장 내부로 입장한다.
입장 후 사회자의 지시에 따라서 교환학생을 인솔한다.</t>
  </si>
  <si>
    <t>TEAM ANXIETY</t>
  </si>
  <si>
    <t>부스 노래 담당</t>
  </si>
  <si>
    <t>성별</t>
  </si>
  <si>
    <t>각 팀 입장시 각자 다른 K-pop BGM을 깔아준다.
(BGM은 미리 선정해서 USB에 다른 트랙으로 넣어야한다)
국민체조 시 국민체조 음악을 튼다.
(국민체조 음악은 드라이브 참고)
이때, 각 팀별 음악과 국민체조 음악 트랙 번호를 기억하고 있어야 한다 (모르고 있다가 부랴부랴 트랙 넘기고 있으면 사고임)</t>
  </si>
  <si>
    <t>13:30-15:15</t>
  </si>
  <si>
    <t>MALE</t>
  </si>
  <si>
    <t>게임 1부 - 토너먼트형 게임, 미니게임, 메인게임</t>
  </si>
  <si>
    <t>FEMALE</t>
  </si>
  <si>
    <t>물품을 관리 및 행사 진행 상황 파악
지각자 안내 업무도 같이 수행</t>
  </si>
  <si>
    <t>- 토너먼트형 게임(팀별게임 - 색깔 판 뒤집기, 무궁화 꽃이 피었습니다) / 미니게임(개인게임) 동시 진행
- 업무가 없는 인원은 팀이랑 같이 게임 진행
- 메인게임(짝짓기 게임)은 전체 인원 참여</t>
  </si>
  <si>
    <t>입장 완료 후 간격을 벌려 몸을 푼다.
(국민체조 영상은 드라이브 참고)
체육대회에 있는 모든 인원들이 국민체조 시범 담당을 보고 따라하기 때문에 체육대회 전 연습이 필요하며 당일날 완벽하게 숙지된 상태여야 한다.
국민체조 후 본인 조 혹은 본인 역할로 돌아간다.</t>
  </si>
  <si>
    <t>하이클럽</t>
  </si>
  <si>
    <t>개회 - 국민체조 후</t>
  </si>
  <si>
    <t>권재현</t>
  </si>
  <si>
    <t>강단비</t>
  </si>
  <si>
    <t>점수 집계자 - 노트북 지참 바랍니다!</t>
  </si>
  <si>
    <t>강재희</t>
  </si>
  <si>
    <t>남은 물품과 테이블, 의자를 하이클럽 부스로 이동시키고 부스를 마무리한다.
(해당 부스는 의무대로 전환)
13시 이후 자기 역할로 복귀한다.</t>
  </si>
  <si>
    <t>김나경</t>
  </si>
  <si>
    <t>임종욱</t>
  </si>
  <si>
    <t>박서윤</t>
  </si>
  <si>
    <t>서인호</t>
  </si>
  <si>
    <t>김민서</t>
  </si>
  <si>
    <t>이강서</t>
  </si>
  <si>
    <t>김민정</t>
  </si>
  <si>
    <t>임도준</t>
  </si>
  <si>
    <t>임유진</t>
  </si>
  <si>
    <t>각 팀 별로 다시 각자 구역으로 이동하라고 안내한다.
국민체조 후 첫 종목, '색깔 판 뒤집기'를 진행한다.</t>
  </si>
  <si>
    <t>미니게임 도장 체크 및 뽑기 진행</t>
  </si>
  <si>
    <t>배현빈</t>
  </si>
  <si>
    <t>나정주</t>
  </si>
  <si>
    <t>형원희</t>
  </si>
  <si>
    <t>이희수</t>
  </si>
  <si>
    <t>정연종</t>
  </si>
  <si>
    <t>양서경</t>
  </si>
  <si>
    <t>정홍재</t>
  </si>
  <si>
    <t>김지원</t>
  </si>
  <si>
    <t>최준혁</t>
  </si>
  <si>
    <t>배솔비</t>
  </si>
  <si>
    <t>김재희</t>
  </si>
  <si>
    <t>이은재</t>
  </si>
  <si>
    <t>사회자의 지시에 따라서 교환학생을 인솔한다.
지각했거나 입장 타임에 게임에 대해 설명을 듣지 못했던 교환학생들이 있으면 다시 한 번 설명한다.
이 외에도 흡연구역(ROTC 생활관 앞), 화장실(학생회관) 등 다른 질문사항이 있으면 답변해준다.</t>
  </si>
  <si>
    <t>물품 관리자 및 미니게임 간식 배부</t>
  </si>
  <si>
    <t>오태현</t>
  </si>
  <si>
    <t>이현서</t>
  </si>
  <si>
    <t>유주영</t>
  </si>
  <si>
    <t>장혜원</t>
  </si>
  <si>
    <t>전창민</t>
  </si>
  <si>
    <t>박서원</t>
  </si>
  <si>
    <t>페이스페인팅(본인 역할 없을 때 참여)</t>
  </si>
  <si>
    <t>안령인</t>
  </si>
  <si>
    <t>오윤주</t>
  </si>
  <si>
    <t>예건희</t>
  </si>
  <si>
    <t>권나혜</t>
  </si>
  <si>
    <t>신지나</t>
  </si>
  <si>
    <t>부스 물품 담당</t>
  </si>
  <si>
    <t>윤시현</t>
  </si>
  <si>
    <t>이현지</t>
  </si>
  <si>
    <t>게임 별 필요한 물품을 준비한다. (총괄)</t>
  </si>
  <si>
    <t>이도연</t>
  </si>
  <si>
    <t>김나은</t>
  </si>
  <si>
    <t>전윤정</t>
  </si>
  <si>
    <t>게임 보조자</t>
  </si>
  <si>
    <t>토너먼트형 게임, 미니게임
&lt;13:30-14:50&gt;</t>
  </si>
  <si>
    <t>한고은</t>
  </si>
  <si>
    <t>국민체조 완료 후 '색깔 판 뒤집기'를 준비한다.</t>
  </si>
  <si>
    <t>전정민</t>
  </si>
  <si>
    <t>이나원</t>
  </si>
  <si>
    <t>색깔 판 뒤집기
&lt;13:30-14:10&gt;
경기 당 3분
준비 시간 5분
총 경기 시간 약 30분</t>
  </si>
  <si>
    <t>13:30 - 15:15</t>
  </si>
  <si>
    <t>부스 및 현장 관리</t>
  </si>
  <si>
    <t>점수 집계자</t>
  </si>
  <si>
    <t>교환학생</t>
  </si>
  <si>
    <t>행사 당일 노트북을 지참해서 와야한다.
매 게임 이후 심판에게 경기 결과를 듣고 점수 집계에 포함한다.
한 명은 점수 기록하고 한 명은 점수를 듣고 곧바로 결과를 사회자에게 전달한다.
점수 집계는 점수 집계을 사용한다.</t>
  </si>
  <si>
    <t>교환학생 인솔(각 팀별 팀장 6)</t>
  </si>
  <si>
    <t>1. 미니게임을 통해 도장을 받은 교환학생들이 뽑기를 하러 오면 도장 개수 만큼 뽑기를 진행한다.
(도장 개수에 따라 뽑기 횟수 차등 부여: 도장 2개 = 뽑기 1회 (뽑기 후 도장에 체크 표시)
)
2. 뽑기를 통해 나온 결과에 따라 상품을 차등 부여한다.
3. 참가자의 뽑기 중복 진행을 방지하기 위해 뽑기 진행 후 관리자가 도장판에 사인한다.</t>
  </si>
  <si>
    <t xml:space="preserve">매 게임이 시작할 때마다 게임에 필요한 물품을 확인하고 세팅을 돕는다
게임이 끝난 후에는 물품을 수거해 관리한다(게임 이후 개인적으로 사용하지 않도록)
미니게임 뽑기 진행자를 보조해 참가자들에게 결과대로 간식을 배부한다.
</t>
  </si>
  <si>
    <t>사회자</t>
  </si>
  <si>
    <t>페이스 페인팅</t>
  </si>
  <si>
    <t>본인의 역할이 없거나 여유로운 경우 하클 및 참가자들에게 페이스 페인팅을 해준다.</t>
  </si>
  <si>
    <t>심판</t>
  </si>
  <si>
    <t>토너먼트형 게임, 미니게임
&lt;13:30 - 14:50&gt;</t>
  </si>
  <si>
    <t>판 뒤집기
&lt;13:30 - 14:10&gt;
경기 당 3분 / 준비 시간 5분
총 경기 시간 약 30분</t>
  </si>
  <si>
    <t>집계팀 집계 준비 및 부스로 들어오는 문의 처리</t>
  </si>
  <si>
    <t>교환학생 인솔 (각 팀별 팀장 6)</t>
  </si>
  <si>
    <t>사회자가 대진표 발표하는 것을 듣고 게임 시작 타이밍에 맞춰 각 팀 천막에서 자신의 팀을 인솔하여 게임 구역으로 이동시킨다.
본인 팀원들과 게임에 참여한다.</t>
  </si>
  <si>
    <t>경기 시작 전 대진표 뽑기 및 결과 발표
각 팀에서 대표자를 선발해 가위바위보 --&gt; 팀의 색깔 정하기
경기 중계</t>
  </si>
  <si>
    <t>팀당 10명 출전
경기당 3분 각 경기 준비당 5분
6팀을 2팀씩 나눠 토너먼트 방식으로 진행, 한 팀은 팀 대표 가위바위보로 부전승
3분 동안 상대 팀 색깔 판을 뒤집어 자기 팀 색으로 바꿈
무승부 방지를 위해 전체 색깔 판의 개수를 반드시 '홀수'로 세팅
경기 종료 후 본인 팀 색 판이 더 많은 팀 승리
판을 누르고 있거나 뒤집지 못하게 방해하는 행위, 경기 끝나고 판을 뒤집는 인원 저지
경기 결과 점수 집계자에게 인계
심판 1명: 종료 시 호루라기 불기, 방해 행위 경고
심판 1명: 경기 전후 판뒤집기 인원 식별</t>
  </si>
  <si>
    <t>무궁화 꽃이 피었습니다
&lt;14:10-14:50&gt;
경기 당 1분
준비 시간 5분
총 경기 시간 40분</t>
  </si>
  <si>
    <t>대진 뽑기 시 사회자에게 뽑기 상자 전달하기
판 세팅 및 정리, 판 개수 집계해서 심판 전달</t>
  </si>
  <si>
    <t>무궁화 꽃이 피었습니다
&lt;14:10 - 14:50&gt;
 경기 당 1분 / 준비 시간 5분
총 경기 시간 40분</t>
  </si>
  <si>
    <t>경기 시작 전 대진표 뽑기 및 결과 발표
경기 중계</t>
  </si>
  <si>
    <t>팀별 전
경기당 준비 5분 경기시간 1분
술래는 벽 또는 지정 지점을 향해 서서 "무궁화꽃이 피었습니다" 외치고 돌아봄. 구호는 엇박 섞어서 가능한 한 어렵게.
마이크 사용할 수 있으면 사용
참가자들은 술래가 외치는 동안 앞으로 이동, 돌아보는 순간 즉시 정지
움직임이 발각되면 하클 감시 인원이 뿅망치로 터치 → 해당 참가자 탈락
출발선에서 가장 먼저 술래에게 도달해 터치하면 해당 팀 라운드 승리
제한 시간(1분) 내 아무도 도달하지 못하면 가장 앞에 있는 참가자 팀 승리
술래가 뒤돌아봤을 땐 시간 카운트 일시정지
술래 1명:  "무궁화꽃이 피었습니다" 구호 외침, 돌아보며 움직임 감지
하클 감시 4명: 양측에 2명씩 배치, 움직임 발각 시 뿅망치로 터치 후 탈락 처리
경기 결과 점수 집계자에게 인계</t>
  </si>
  <si>
    <t xml:space="preserve">출발선 관리, 탈락자 구역 이동 안내, 타이머 운영
</t>
  </si>
  <si>
    <t>미니게임
제기차기, 비어퐁, 단체줄넘기</t>
  </si>
  <si>
    <t xml:space="preserve">자세한 내용은 2026 스포츠데이 컨텐츠팀 자료 참고
- 제기차기
: 3번 기회를 준 뒤, 합쳐서 제기를 10번 이상 차면 도장 찍어줌. 회전율을 높이기 위해 하클 멤버 2명이 각각 동시에 교환과 게임 진행.
- 비어퐁
: 참가자에게 공 3개의 기회 제공
테이블 위에 배치된 컵을 향해 공을 던짐
3번 중 1개 이상 컵에 공을 넣으면 성공 → 도장 부여
실패 시 줄 뒤로 이동하여 재도전 가능
- 긴 줄넘기
: 팀원 다수가 줄 안에 들어가 동시에 줄넘기를 넘음.
정해진 횟수(10회 이상) 성공 시 참여자 전원에게 도장 부여.
</t>
  </si>
  <si>
    <t>게임 보조자 및 부스 관리</t>
  </si>
  <si>
    <t>자세한 내용은 2026 스포츠데이 컨텐츠팀 자료 참고.
게임 대기하는 줄이 흐트러지지 않도록 관리한다.
게임 종료 후 게임 미션에 성공한 교환학생들에게 해당 미니게임 위치에 도장을 찍어준다.</t>
  </si>
  <si>
    <t>총 53명</t>
  </si>
  <si>
    <t>미니게임
*제기차기, 비어퐁, 단체 줄넘기</t>
  </si>
  <si>
    <t>메인게임
&lt;14:50 - 15:10&gt;</t>
  </si>
  <si>
    <t>1) 제기차기 부스</t>
  </si>
  <si>
    <t>짝짓기 게임
&lt;14:50 - 15:10&gt;
집합 및 룰 설명 5분
연습게임 5분
단판 10분</t>
  </si>
  <si>
    <t>사회자가 호명하는 순서대로 각 팀 천막에서 자신의 팀을 인솔하여 게임 구역으로 이동시킨다.
본인 팀원들과 게임에 참여한다.</t>
  </si>
  <si>
    <t>게임 보조자 (도장 찍기, 대기인원 관리)</t>
  </si>
  <si>
    <t xml:space="preserve"> 게임 시작·종료 공지, 룰 설명, 숫자 호명</t>
  </si>
  <si>
    <t>2) 비어퐁 부스</t>
  </si>
  <si>
    <t>전원 참여
룰 설명 5분 + 연습 5분 + 본게임 10분. 약 20분
Joy 6! Anger 3! 처럼 숫자 호명할 때 인사이드 아웃 캐릭터 이름 붙이기, 캐릭터마다 요구되는 행동이 있음
Joy: 어깨동무하고 제자리에서 한바퀴 돌기
Sadness: 쪼그려 앉아 슬픈 표정 짓기
Disgust: 팔짱 끼고 서로 쳐다보기
Anger: 등 맞대고 바깥쪽으로 주먹 쥐며 경계 태세
Fear: 어깨동무하고 눈 감기
Anxiety: 제자리에서 발 구르기
음악이 흐르는 동안 자유롭게 이동
사회자가 숫자를 외치면, 그 수에 맞게 서로 원형 진형을 만듦
짝 짓기 실패하거나 숫자 불일치 시 탈락
4번 호명 후 또는 약 20명 남았을 때 팀별 생존자 수 집계, 동수일 경우 동점 부여
1위 150점 2위 120점 3위 90점 4위 60점 5위 30점 6위 15점
심판 4명: 탈락자 경기장 외부로 이동 안내
경기 결과 점수 집계자에게 인계</t>
  </si>
  <si>
    <t>&lt;1부 팀&gt;</t>
  </si>
  <si>
    <t>팀장</t>
  </si>
  <si>
    <t>멤버</t>
  </si>
  <si>
    <t>생존자 집계 및 사회자에게 전달</t>
  </si>
  <si>
    <t>15:10 - 15:45</t>
  </si>
  <si>
    <t>중간 휴식</t>
  </si>
  <si>
    <t>부스 및 현장관리 - 점수 중간점검</t>
  </si>
  <si>
    <t>집계팀은 1부 종목들의 점수를 모두 합산하여 중간 결과를 사회자에게 알려준다.</t>
  </si>
  <si>
    <t>3) 단체 줄넘기 부스</t>
  </si>
  <si>
    <t>사회자 - 중간발표</t>
  </si>
  <si>
    <t>집계팀에게 전달받은 결과를 모두에게 공표(?)한다
1등 팀에게는 잘하고 있다며 칭찬을, 꼴등 팀에게는 아직 역전의 기회가 남아있다며 격려를 하는 멘트도 좋을 듯 하다.</t>
  </si>
  <si>
    <t>휴식시간 30분 안내</t>
  </si>
  <si>
    <t>게임 보조자 (긴 줄넘기 돌리기)</t>
  </si>
  <si>
    <t>정비 시간</t>
  </si>
  <si>
    <t>15:50 - 17:35</t>
  </si>
  <si>
    <t>게임 2부 - 토너먼트형 게임, 미니게임, 메인게임</t>
  </si>
  <si>
    <t>메인게임
&lt;14:50-15:10&gt;</t>
  </si>
  <si>
    <t>짝짓기 게임
&lt;14:50-15:10&gt;
집합 및 룰 설명 5분
연습게임 5분
단판 10분</t>
  </si>
  <si>
    <t>토너먼트형 게임, 미니게임
&lt;15:50 - 17:10&gt;</t>
  </si>
  <si>
    <t>줄다리기
&lt;15:50 - 16:20&gt;
*경기 당 2분 소요
준비시간 3분
전체 진행시간 약 30분</t>
  </si>
  <si>
    <t>총괄 및 부스로 들어오는 문의 처리</t>
  </si>
  <si>
    <t>15:10-15:45</t>
  </si>
  <si>
    <t>중간 휴식 및 정비 시간</t>
  </si>
  <si>
    <t>경기 설명, 팀 호명 및 전체 진행</t>
  </si>
  <si>
    <t>경기당 약 2분
경기 준비 및 팀 교체 약 3분
전체 진행 시간 약 30분
팀당 20명 참여 — 5개의 줄에 자유 배분(경기 전 전략 수립 1분)
팀별 인원 및 성별 구성을 동일하게 맞추어 진행
한국인과 교환학생이 한 팀에 섞이도록 구성
6팀을 2팀씩 나눠 대진, 토너먼트 방식으로 진행(6팀 중 2팀은 부전승(각 팀 대표 가위바위보))
방사형으로 배치된 5개의 줄, 각 진영에서 5m 이격 대기
경기 시작 신호와 함께 뛰쳐나가 줄을 당기기 시작
각 진영으로 완전히 줄을 가져와야 인정
3개의 줄을 먼저 가져오는 팀이 승리
2:2 상황에서 제한시간 2분 내 결판이 안 나면, 중앙표시가 승리선에 더 가까운 팀이 승리
승리 팀은 다음 라운드로 진출
최종 결승전 승리 팀이 우승
주심 1명: 경기시작, 종료 및 승패판정
안전심판 2명: 양쪽에서 줄 및 참가자 상태확인, 안전사고 예방</t>
  </si>
  <si>
    <t>15:50-17:35</t>
  </si>
  <si>
    <t>대진 뽑기 시 사회자에게 뽑기 상자 전달하기
팀 정렬, 줄 위치 확인, 경기 준비 및 참가자 안내</t>
  </si>
  <si>
    <t>- 토너먼트형 게임(팀별게임 - 줄다리기, 단체 피구) / 미니게임(개인게임) 동시 진행
- 업무가 없는 인원은 팀이랑 같이 게임 진행
- 메인게임(계주)은 전체 인원 참여</t>
  </si>
  <si>
    <t>&lt;Protect the Sadness!&gt; 피구
&lt;16:20 - 17:10&gt;
*경기 당 8분 소요</t>
  </si>
  <si>
    <t>경기 시작 전 대진표 뽑기 및 결과 발표
경기 설명, 팀 호명 및 전체 진행</t>
  </si>
  <si>
    <t>팀당 12명 참여
한국인과 교환학생이 한 팀에 섞이도록 구성
8분 경기 (8분 이후엔 경기 종료 후 생존자가 더 많은 팀 우승)
6팀을 2팀씩 나눠 대진, 토너먼트 방식으로 진행(6팀 중 2팀은 부전승(각 팀 대표 가위바위보))
경기 시작 전 각 팀은 팀원 중 한명을 우울이로 지정하고, 자신의 코트에 위치
상대 팀의 참가자를 공으로 맞히면 해당 참가자 탈락
공에 맞은 참가자는 상대방 진영 사이드로 넘어가 계속해서 경기 진행
상대방이 던진 공을 바운드 없이 직접 잡으면 공격권 획득 및 해당 공으로 공격 가능
우울이를 맞춰 탈락시키거나 모든 참가자를 탈락시키는 팀이 승리
토너먼트 승리 팀은 다음 라운드 진출
최종 결승에서 승리한 팀이 우승
주심 1명: 경기 시작·종료, 아웃 판정 및 경기 진행
보조 심판2: 양쪽 코트 아웃 여부 확인 및 경기장 관리
경기 결과 점수 집계자에게 인계</t>
  </si>
  <si>
    <t>게임보조자</t>
  </si>
  <si>
    <t>보조자 2명
경기 전 대진 뽑기 시 사회자에게 뽑기 상자 전달하기
공 관리, 탈락자 이동 안내, 점수 기록</t>
  </si>
  <si>
    <t xml:space="preserve">미니게임
페트병 세우기, 감정 표현 퀴즈, 병뚜껑 컬링
</t>
  </si>
  <si>
    <t>자세한 내용은 2026 스포츠데이 컨텐츠팀 자료 참고
- 페트병 세우기
: 제한시간 30초 안에 페트병 세우면 성공
 - 감정 몸짓 퀴즈
: 2명이 동시 참여
참가자1이 감정 카드 1장을 보지않고 뽑음
다른 참가자 1명에게 그 카드를 보여줌
참가자2는 해당 카드에 있는 감정을 몸짓으로 설명
제한시간 30초 이내에 참가자1이 그 감정을 맞추면 성공
반대로 진행
두번의 진행 중 양쪽 모두 맞히면 도장 부여
실패 시 줄 뒤로 이동하여 재도전 가능
- 병뚜껑 컬링
: 참가자에게 병뚜껑 3개 지급, 책상에 설치된 과녁 판을 향해 병뚜껑을 손가락으로 튕겨서 밀어냄, 3개의 병뚜껑 중 1개 이상이 성공 구역에 안착하면 도장을 부여</t>
  </si>
  <si>
    <t xml:space="preserve">
메인게임
&lt;17:10 - 17:35&gt;</t>
  </si>
  <si>
    <t>계주
*단판, 20분 소요</t>
  </si>
  <si>
    <t xml:space="preserve">사회자가 대진표 발표하는 것을 듣고 게임 시작 타이밍에 맞춰 각 팀 천막에서 자신의 팀을 인솔하여 게임 구역으로 이동시킨다.
</t>
  </si>
  <si>
    <t>경기 시작 전 스트레칭 진행, 첫 주자 인터뷰, 경기 중계</t>
  </si>
  <si>
    <t>페이스페인팅</t>
  </si>
  <si>
    <t>팀당 6명 (여성 3명, 남성 3명) → 총 42명 동시 출전
여 → 남 순서로 반 바퀴씩 릴레이
마지막 주자가 결승선 통과 순서로 순위 결정
동시 도착 시 담당 하클 인원이 영상 녹화로 판별 -&gt; 홍보부원이 영상 찍을겸 해주세요
하클 팀을 포함한 7팀 동시 출발
하클 팀을 이기면 추가 점수 10점
심판 1명: 경기 시작 신호, 반칙(밀치기·발 걸기 등) 판정
보조 심판 3명: 트랙 곳곳에 배치, 반칙 확인 및 결승선 판독
경기 결과 점수 집계자에게 인계</t>
  </si>
  <si>
    <t>게임 전후로 게임 셋팅 및 철거,
5번째 주자 바통 전달 시 결승 테이프 준비 및 들기</t>
  </si>
  <si>
    <t>토너먼트형 게임, 미니게임
&lt;15:50-17:10&gt;</t>
  </si>
  <si>
    <t>줄다리기
&lt;15:50 ~ 16:20&gt;
경기 당 2분
준비 시간 3분
총 경기 시간 약 30분</t>
  </si>
  <si>
    <t>하클 게임 참여 인원</t>
  </si>
  <si>
    <t>교환학생들과 즐겁게 경쟁하며 게임 참여</t>
  </si>
  <si>
    <t>17:35 - 18:00</t>
  </si>
  <si>
    <t>점수 집계 공지 및 마무리 정리</t>
  </si>
  <si>
    <t>최종 점수 집계</t>
  </si>
  <si>
    <t>계주까지의 점수를 총 반영하여 나온 결과를 사회자에게 안내한다.</t>
  </si>
  <si>
    <t>사회자 - 최종발표</t>
  </si>
  <si>
    <t>점수 집계 인원에게 받은 결과를 발표한다.
퇴장하기 전에 기념사진 촬영을 진행한다.
체육대회가 마무리되었음을 안내하고 교환학생들 퇴장 절차를 안내한다. (1등 팀부터 퇴장)</t>
  </si>
  <si>
    <t>18:00 -</t>
  </si>
  <si>
    <t>하이클럽 뒷정리 진행</t>
  </si>
  <si>
    <t>마무리 및 정리</t>
  </si>
  <si>
    <t>물품 준비 시의 역할 그대로 다시 물품 정리
ex. 브룸 물품 이동했던 인원은 다시 브룸으로 해당 물품 옮기기
ex. 천막 설치했던 인원은 똑같이 천막 철거 후 농구장 앞으로 가져가기</t>
  </si>
  <si>
    <t xml:space="preserve">
기타 참고사항</t>
  </si>
  <si>
    <t>수성관 5동&amp;주차장
사이</t>
  </si>
  <si>
    <t>율전-&gt;명륜 셔틀 출발</t>
  </si>
  <si>
    <t>명륜 복귀</t>
  </si>
  <si>
    <t>(율전) 수성관 5동&amp; 주차장 사이 출발
(명륜) 600주년 기념관 앞 도착</t>
  </si>
  <si>
    <t>&lt;Protect the Sadness!&gt; 피구
&lt;16:20 ~ 17:10&gt;
경기 당 8분
준비 시간 5분</t>
  </si>
  <si>
    <t xml:space="preserve">
- 게임 구성 및 규칙
2026 스포츠데이 컨텐츠팀 자료 참고
- 운동장 배치도
스포츠데이 배치도.pptx
</t>
  </si>
  <si>
    <t>토너먼트형 게임과 메인게임은 팀전(점수제), 미니게임은 개인전(도장)</t>
  </si>
  <si>
    <t>&lt;2부 팀&gt;</t>
  </si>
  <si>
    <t>미니게임
*페트병 세우기, 감정표현퀴즈,
병뚜껑 컬링</t>
  </si>
  <si>
    <t>1) 페트병 세우기</t>
  </si>
  <si>
    <t>2) 감정표현퀴즈</t>
  </si>
  <si>
    <t>심판 (게임 당 1)</t>
  </si>
  <si>
    <t>게임 보조자 (게임 당 1)</t>
  </si>
  <si>
    <t>3) 병뚜껑컬링</t>
  </si>
  <si>
    <t xml:space="preserve">
메인게임
&lt;17:10-17:35&gt;
</t>
  </si>
  <si>
    <t xml:space="preserve">계주
&lt;17:10 ~ 17:35&gt;
단판 20분
</t>
  </si>
  <si>
    <t>17:35-18:00</t>
  </si>
  <si>
    <t>18:00-</t>
  </si>
  <si>
    <t>마무리 정리 (부스 철거 시 설치 했던 인원이 철거하기)</t>
  </si>
  <si>
    <t>다 같이</t>
  </si>
  <si>
    <t>ex. 천막 설치했던 인원은 똑같이 천막 철거 후 농구장 앞으로 가져가기</t>
  </si>
  <si>
    <t>ex. 브룸 물품 이동했던 인원은 다시 브룸으로 해당 물품 옮기기</t>
  </si>
  <si>
    <t>종료 후</t>
  </si>
  <si>
    <t>율전 집합 수성관&amp; 주차장 사이</t>
  </si>
  <si>
    <t>교환 버스 탑승 안내</t>
  </si>
  <si>
    <t>12:00-18:10</t>
  </si>
  <si>
    <t>행사 전체 촬영 담당</t>
  </si>
  <si>
    <t>천막 13동 = 팀 6 + 미니게임 부스 3 + 입장 관리존 2 + 본부 2 (국제처 대여 ₩0) · 게임연구소: 아이스박스 4·접시콘 40 (배송비 착불)</t>
  </si>
  <si>
    <t>빨간 글씨 = 예산안(8/25) 미반영 품목 — 브룸 비치 여부 확인 또는 별도 확보 필요</t>
  </si>
  <si>
    <t>품목</t>
  </si>
  <si>
    <t>개수</t>
  </si>
  <si>
    <t>설치 구역</t>
  </si>
  <si>
    <t>출처</t>
  </si>
  <si>
    <t>브룸 구비여부</t>
  </si>
  <si>
    <t>당일 옮김</t>
  </si>
  <si>
    <t>반납</t>
  </si>
  <si>
    <t>준비 ✓</t>
  </si>
  <si>
    <t>비고</t>
  </si>
  <si>
    <t>1부 게임 — 색깔 판 뒤집기 · 무궁화 꽃이 피었습니다 · 짝짓기 게임</t>
  </si>
  <si>
    <t>양면 색깔 판 (홀수 세팅)</t>
  </si>
  <si>
    <t>경기장</t>
  </si>
  <si>
    <t>브룸 확인</t>
  </si>
  <si>
    <t>명브 40개 있음</t>
  </si>
  <si>
    <t>o</t>
  </si>
  <si>
    <t>예산안 미반영</t>
  </si>
  <si>
    <t>인사이드아웃 복장 세트 (술래)</t>
  </si>
  <si>
    <t>브룸</t>
  </si>
  <si>
    <t>x</t>
  </si>
  <si>
    <t>간소화 가능</t>
  </si>
  <si>
    <t>뿅망치</t>
  </si>
  <si>
    <t>하클 감시 4명 운영</t>
  </si>
  <si>
    <t>마이크 · 호루라기</t>
  </si>
  <si>
    <t>본부</t>
  </si>
  <si>
    <t>국제처 대여(마이크)</t>
  </si>
  <si>
    <t>호루라기 예산안 업데이트 완</t>
  </si>
  <si>
    <t>2부 게임 — 줄다리기 · 피구 · 계주</t>
  </si>
  <si>
    <t>줄다리기 로프 (5줄 동시)</t>
  </si>
  <si>
    <t>예산안 업데이트 완</t>
  </si>
  <si>
    <t>미끄럼 방지 장갑 (안전용)</t>
  </si>
  <si>
    <t>브룸 30개 있음</t>
  </si>
  <si>
    <t>명브 30개 있음</t>
  </si>
  <si>
    <t>피구공</t>
  </si>
  <si>
    <t>명브 2개 있음</t>
  </si>
  <si>
    <t>인사이드아웃 5캐릭터 가면 set</t>
  </si>
  <si>
    <t>쿠팡</t>
  </si>
  <si>
    <t>우울이 지정·팀 구분용</t>
  </si>
  <si>
    <t>팀별 조끼</t>
  </si>
  <si>
    <t>확보 필요</t>
  </si>
  <si>
    <t>예산안 미반영 — 확보 필요</t>
  </si>
  <si>
    <t>바통</t>
  </si>
  <si>
    <t>명브 6개 있음</t>
  </si>
  <si>
    <t>예산안 4개(1set) — 1set 추가 주문 필요</t>
  </si>
  <si>
    <t>결승 테이프</t>
  </si>
  <si>
    <t>트랙 마킹 콘</t>
  </si>
  <si>
    <t>쿠팡 (접시콘 40)</t>
  </si>
  <si>
    <t>미니게임 부스 · 뽑기</t>
  </si>
  <si>
    <t>제기</t>
  </si>
  <si>
    <t>부스 A (1부)</t>
  </si>
  <si>
    <t>명브 많이 있음</t>
  </si>
  <si>
    <t>단체 줄넘기 긴 줄</t>
  </si>
  <si>
    <t>명브 1개 있음</t>
  </si>
  <si>
    <t>비어퐁 컵 10+ · 탁구공 5+</t>
  </si>
  <si>
    <t>확보 필요(율브확인필요)</t>
  </si>
  <si>
    <t>율브에 많이 있음</t>
  </si>
  <si>
    <t>페트병 (물 일부 채움)</t>
  </si>
  <si>
    <t>부스 B (2부)</t>
  </si>
  <si>
    <t>재활용</t>
  </si>
  <si>
    <t>감정 카드 20장+ · 타이머 2</t>
  </si>
  <si>
    <t>제작 · 확보 필요</t>
  </si>
  <si>
    <t>병뚜껑 컬링 과녁판 · 병뚜껑</t>
  </si>
  <si>
    <t>1 set</t>
  </si>
  <si>
    <t>쿠팡 (미니 컬링 세트)</t>
  </si>
  <si>
    <t>뚜껑 별도 확인 · 예산안 반영</t>
  </si>
  <si>
    <t>도장판 · 도장</t>
  </si>
  <si>
    <t>150+</t>
  </si>
  <si>
    <t>입장 시 배부</t>
  </si>
  <si>
    <t>브룸 · 제작</t>
  </si>
  <si>
    <t>명브 도장 많음</t>
  </si>
  <si>
    <t>뽑기 규칙: 도장 2개 = 뽑기 1회</t>
  </si>
  <si>
    <t>뽑기 상품 1~5등 (필름카메라·컵받침3·노리개·엽서·약과)</t>
  </si>
  <si>
    <t>각 1</t>
  </si>
  <si>
    <t>뽑기 부스</t>
  </si>
  <si>
    <t>예산안 반영</t>
  </si>
  <si>
    <t>시상</t>
  </si>
  <si>
    <t>우승 메달 30개 set</t>
  </si>
  <si>
    <t>부채 2개 set (우승 상품)</t>
  </si>
  <si>
    <t>점수판</t>
  </si>
  <si>
    <t>명브 작은 화이트보드O</t>
  </si>
  <si>
    <t>칠판</t>
  </si>
  <si>
    <t>율브 확인필요</t>
  </si>
  <si>
    <t>마카·지우개 함께</t>
  </si>
  <si>
    <t>노트북 (입장 4 · 집계 2)</t>
  </si>
  <si>
    <t>입장존 · 본부</t>
  </si>
  <si>
    <t>개인 지참</t>
  </si>
  <si>
    <t>풀충 · USB 음악 준비</t>
  </si>
  <si>
    <t>토너먼트 대진표 · 점수집계 시트</t>
  </si>
  <si>
    <t>당일 제작</t>
  </si>
  <si>
    <t>장소 설치</t>
  </si>
  <si>
    <t>천막 13동 (팀 6 · 부스 3 · 입장 2 · 본부 2)</t>
  </si>
  <si>
    <t>전 구역</t>
  </si>
  <si>
    <t>국제처 대여</t>
  </si>
  <si>
    <t>₩0</t>
  </si>
  <si>
    <t>의자 · 테이블 (듀라테이블)</t>
  </si>
  <si>
    <t>입장존 · 본부 · 부스</t>
  </si>
  <si>
    <t>입장존 의자 8 · 본부 의자 10 · 테이블 6</t>
  </si>
  <si>
    <t>스피커 · 마이크</t>
  </si>
  <si>
    <t>모래주머니 · 팀별 돗자리(2/팀) · 팀명 하드보드지</t>
  </si>
  <si>
    <t>팀 천막</t>
  </si>
  <si>
    <t>아이스박스</t>
  </si>
  <si>
    <t>음식 코너</t>
  </si>
  <si>
    <t>게임연구소</t>
  </si>
  <si>
    <t>배송비 착불 · 예산안 반영</t>
  </si>
  <si>
    <t>음식 · 간식</t>
  </si>
  <si>
    <t>탐사수 무라벨 500ml (200개 × 2set)</t>
  </si>
  <si>
    <t>게토레이드 레몬 300ml (120 + 48×2)</t>
  </si>
  <si>
    <t>닥터유 에너지바 468g×17개×3set</t>
  </si>
  <si>
    <t>논비건 간식</t>
  </si>
  <si>
    <t>소이조이 바나나 (비건)</t>
  </si>
  <si>
    <t>피크닉 제로 사과 200ml (72개 × 3set)</t>
  </si>
  <si>
    <t>얼음</t>
  </si>
  <si>
    <t>당일 마트 구매</t>
  </si>
  <si>
    <t>물품 구매팀 4명</t>
  </si>
  <si>
    <t>식사 · 굿즈 (입장 관리존 배부)</t>
  </si>
  <si>
    <t>맘스터치 불고기버거 (논비건)</t>
  </si>
  <si>
    <t>입장 관리존</t>
  </si>
  <si>
    <t>맘스터치 수원성균관대점</t>
  </si>
  <si>
    <t>하클 53 + 교환 140 · 국제처 지원</t>
  </si>
  <si>
    <t>서브웨이 베지 (비건)</t>
  </si>
  <si>
    <t>서브웨이 수원성균관대점</t>
  </si>
  <si>
    <t>단체티</t>
  </si>
  <si>
    <t>단티 (dantee)</t>
  </si>
  <si>
    <t>하클 53 + 교환 150 · 9/4 주문</t>
  </si>
  <si>
    <t>행사 예산안</t>
  </si>
  <si>
    <t>총무부</t>
  </si>
  <si>
    <t>필참/자율</t>
  </si>
  <si>
    <t>9/20(일)</t>
  </si>
  <si>
    <t>성균관대학교 자연과학캠퍼스 대운동장</t>
  </si>
  <si>
    <t>단일가격</t>
  </si>
  <si>
    <t>총 금액</t>
  </si>
  <si>
    <t>주문처</t>
  </si>
  <si>
    <t>점심</t>
  </si>
  <si>
    <t>점심(논비건) - 맘스터치 불고기버거 단품 (하클)</t>
  </si>
  <si>
    <t>맘스터치</t>
  </si>
  <si>
    <t>국제처 지원</t>
  </si>
  <si>
    <t>점심(논비건) - 맘스터치 불고기버거 단품 (교환)</t>
  </si>
  <si>
    <t>점심(비건) - 서브웨이 베지</t>
  </si>
  <si>
    <t>서브웨이</t>
  </si>
  <si>
    <t>써브웨이 수원성균관대점</t>
  </si>
  <si>
    <t>단체티 - 하이클럽</t>
  </si>
  <si>
    <t>단티</t>
  </si>
  <si>
    <t>https://www.dantee.co.kr/estimate/estimate_register.php?mode=update&amp;estimateNo=2608170901037278&amp;pwtoken=668a2ae597a601d877a24840626bb6e7</t>
  </si>
  <si>
    <t>단체티 - 교환학생</t>
  </si>
  <si>
    <t>음료</t>
  </si>
  <si>
    <t>(물) 탐사수 무라벨 500ml*200개 (총 400개)</t>
  </si>
  <si>
    <t>https://www.coupang.com/vp/products/5625704601?itemId=19013170090&amp;vendorItemId=86137790576&amp;q=%EB%AC%BC+500ml&amp;searchId=0382ea52557456&amp;sourceType=search&amp;itemsCount=60&amp;searchRank=3&amp;rank=3&amp;traceId=mt2eofot</t>
  </si>
  <si>
    <t>(음료) 게토레이 레몬 300ml*120개 (총 216개)</t>
  </si>
  <si>
    <t>https://www.coupang.com/vp/products/1650278?itemId=28712633479&amp;vendorItemId=95653362582&amp;q=%EA%B2%8C%ED%86%A0%EB%A0%9D&amp;searchId=2395745a1367533&amp;sourceType=search&amp;itemsCount=60&amp;searchRank=8&amp;rank=8&amp;traceId=mt2f5sxp</t>
  </si>
  <si>
    <t>(음료) 게토레이 레몬 300ml*48개</t>
  </si>
  <si>
    <t>https://www.coupang.com/vp/products/1650278?itemId=28712633427&amp;vendorItemId=95653362488&amp;q=%EA%B2%8C%ED%86%A0%EB%A0%9D&amp;searchId=2395745a1367533&amp;sourceType=search&amp;itemsCount=60&amp;searchRank=2&amp;rank=2&amp;traceId=mt2f100r</t>
  </si>
  <si>
    <t>간식</t>
  </si>
  <si>
    <t>(간식/비건) 소이조이 바나나 비건 단백질바 (총 12개)</t>
  </si>
  <si>
    <t>https://www.coupang.com/vp/products/8532976813?itemId=24699868616&amp;vendorItemId=91805941787&amp;q=%EC%86%8C%EC%9D%B4%EC%A1%B0%EC%9D%B4+%EB%B0%94%EB%82%98%EB%82%98&amp;searchId=8750072010036413&amp;sourceType=search&amp;itemsCount=60&amp;searchRank=0&amp;rank=0&amp;traceId=mt84v2zo</t>
  </si>
  <si>
    <t>(간식/논비건) 닥터유 에너지바 468g*17개*3set (총 204개)</t>
  </si>
  <si>
    <t>https://www.coupang.com/vp/products/7673161101?itemId=24413510888&amp;vendorItemId=87875617274&amp;pickType=COU_PICK&amp;q=%EC%97%90%EB%84%88%EC%A7%80%EB%B0%94&amp;searchId=f1b9a167102846&amp;sourceType=search&amp;itemsCount=36&amp;searchRank=3&amp;rank=3&amp;traceId=mfe3bg0v</t>
  </si>
  <si>
    <t>(간식) 피크닉 제로 사과 200ml*72개 (총 216개)</t>
  </si>
  <si>
    <t>https://www.coupang.com/vp/products/8174361304?itemId=23357891959&amp;vendorItemId=90388433128&amp;q=%ED%94%BC%ED%81%AC%EB%8B%89+150&amp;searchId=1e979de82931692&amp;sourceType=search&amp;itemsCount=60&amp;searchRank=3&amp;rank=3&amp;traceId=mt2ktzn0</t>
  </si>
  <si>
    <t>미니게임 상품</t>
  </si>
  <si>
    <t>필름카메라 - 뽑기 1등</t>
  </si>
  <si>
    <t>https://www.coupang.com/vp/products/1229026000?itemId=2615169514&amp;vendorItemId=70219517467&amp;sourceType=srp_product_ads&amp;clickEventId=4d1c75f0-9fd4-11f1-968e-040cd98f927a&amp;korePlacement=15&amp;koreSubPlacement=1&amp;clickEventId=4d1c75f0-9fd4-11f1-968e-040cd98f927a&amp;korePlacement=15&amp;koreSubPlacement=1&amp;traceId=mt7f4w9f</t>
  </si>
  <si>
    <t>청자 컵받침 2개 set - 뽑기 2등</t>
  </si>
  <si>
    <t>https://www.coupang.com/vp/products/9015327019?itemId=26386783090&amp;vendorItemId=93363171718&amp;src=1191000&amp;spec=10999999&amp;addtag=400&amp;ctag=9015327019&amp;lptag=CFM26106227&amp;itime=20260825190527&amp;pageType=PRODUCT&amp;pageValue=9015327019&amp;wPcid=17710817385244215922503&amp;wRef=www.google.com&amp;wTime=20260825190527&amp;redirect=landing&amp;abTestInfo=&amp;mcid=4d174f5ae4a941d68e5aab18c8029e0d&amp;sharesource=sharebutton&amp;style=&amp;isshortened=Y&amp;settlement=N</t>
  </si>
  <si>
    <t>한복 노리개 5개 set - 뽑기 3등</t>
  </si>
  <si>
    <t>https://www.coupang.com/vp/products/9126824833?itemId=26850949885&amp;vendorItemId=93820771518&amp;src=1191000&amp;spec=10999999&amp;addtag=400&amp;ctag=9126824833&amp;lptag=CFM26106227&amp;itime=20260825191218&amp;pageType=PRODUCT&amp;pageValue=9126824833&amp;wPcid=17710817385244215922503&amp;wRef=www.google.com&amp;wTime=20260825191218&amp;redirect=landing&amp;abTestInfo=&amp;mcid=e0e8f3045cea43b791325c066df94733&amp;sharesource=sharebutton&amp;style=&amp;isshortened=Y&amp;settlement=N</t>
  </si>
  <si>
    <t>서울여행엽서 40개 set - 뽑기 4등</t>
  </si>
  <si>
    <t>https://www.coupang.com/vp/products/8533344634?itemId=24701246961&amp;vendorItemId=91710894449&amp;src=1191000&amp;spec=10999999&amp;addtag=400&amp;ctag=8533344634&amp;lptag=CFM26106227&amp;itime=20260825190835&amp;pageType=PRODUCT&amp;pageValue=8533344634&amp;wPcid=17710817385244215922503&amp;wRef=www.google.com&amp;wTime=20260825190835&amp;redirect=landing&amp;abTestInfo=&amp;mcid=23b8afa5e20d4c3c873de9794f88a4d2&amp;sharesource=sharebutton&amp;style=&amp;isshortened=Y&amp;settlement=N</t>
  </si>
  <si>
    <t>한입꼬마약과 1kg (100개) - 뽑기 5등</t>
  </si>
  <si>
    <t>https://www.coupang.com/vp/products/7203904313?itemId=21668114878&amp;vendorItemId=91452418243&amp;sourceType=srp_product_ads&amp;clickEventId=547e4f60-342e-11f1-a918-8f098ceba0fb&amp;korePlacement=15&amp;koreSubPlacement=1&amp;clickEventId=547e4f60-342e-11f1-a918-8f098ceba0fb&amp;korePlacement=15&amp;koreSubPlacement=1&amp;traceId=mnro9y77</t>
  </si>
  <si>
    <t>게임 물품</t>
  </si>
  <si>
    <t>https://www.coupang.com/vp/products/8420848374?itemId=24356105256&amp;vendorItemId=91371489503&amp;q=%EA%B8%88%EB%A9%94%EB%8B%AC+30%EA%B0%9C&amp;searchId=f6e0d804196193&amp;sourceType=search&amp;itemsCount=60&amp;searchRank=0&amp;rank=0&amp;traceId=mt7e5biz</t>
  </si>
  <si>
    <t>여자 한복 곰돌이 키링(선물포장) - 우승 상품</t>
  </si>
  <si>
    <t>https://www.coupang.com/vp/products/9644393705?itemId=28820360636&amp;vendorItemId=92379360232&amp;q=%ED%95%9C%EB%B3%B5+%ED%85%8C%EB%94%94%EB%B2%A0%EC%96%B4&amp;searchId=4751b41f6345277&amp;sourceType=search&amp;itemsCount=60&amp;searchRank=18&amp;rank=18&amp;traceId=mtlmkycs</t>
  </si>
  <si>
    <t>남자 한복 곰돌이 키링(선물포장) - 우승 상품</t>
  </si>
  <si>
    <t>https://www.coupang.com/vp/products/9644393705?itemId=28820360632&amp;vendorItemId=92379360204&amp;q=%ED%95%9C%EB%B3%B5+%ED%85%8C%EB%94%94%EB%B2%A0%EC%96%B4&amp;searchId=4751b41f6345277&amp;sourceType=search&amp;itemsCount=60&amp;searchRank=18&amp;rank=18&amp;traceId=mtlmkycs</t>
  </si>
  <si>
    <t>바톤*4개 (총 4개)</t>
  </si>
  <si>
    <t>https://www.coupang.com/vp/products/6936006396?itemId=16802797702&amp;vendorItemId=83983273143&amp;sourceType=srp_product_ads&amp;clickEventId=ed1621b0-9e57-11f1-b611-3c753723965f&amp;korePlacement=15&amp;koreSubPlacement=5&amp;clickEventId=ed1621b0-9e57-11f1-b611-3c753723965f&amp;korePlacement=15&amp;koreSubPlacement=5&amp;traceId=mt4pvptm</t>
  </si>
  <si>
    <t>줄다리기 줄</t>
  </si>
  <si>
    <t>https://www.coupang.com/vp/products/8787170058?itemId=23845461133&amp;vendorItemId=92635685675&amp;pickType=COU_PICK&amp;q=%EC%A4%84%EB%8B%A4%EB%A6%AC%EA%B8%B0+%EB%B0%A7%EC%A4%84&amp;searchId=4f54e3b67177886&amp;sourceType=search&amp;itemsCount=36&amp;searchRank=2&amp;rank=2&amp;traceId=mtjp9u5p</t>
  </si>
  <si>
    <t>트랙 마킹 콘 (40개)</t>
  </si>
  <si>
    <t>https://www.coupang.com/vp/products/9624877004?itemId=28743603153&amp;vendorItemId=95682830899&amp;q=%ED%8A%B8%EB%9E%99+%EC%BD%98&amp;searchId=510e137a2779059&amp;sourceType=search&amp;itemsCount=36&amp;searchRank=2&amp;rank=2&amp;traceId=mtjpa8ph</t>
  </si>
  <si>
    <t>인사이드아웃 5 캐릭터 가면 set</t>
  </si>
  <si>
    <t>https://www.coupang.com/vp/products/9614560538?itemId=28707151781&amp;vendorItemId=95648074349&amp;q=%EC%9D%B8%EC%82%AC%EC%9D%B4%EB%93%9C%EC%95%84%EC%9B%83+%EA%B0%80%EB%A9%B4&amp;searchId=fd2d6d5d11755075&amp;sourceType=search&amp;itemsCount=60&amp;searchRank=3&amp;rank=3&amp;traceId=mt7finpa</t>
  </si>
  <si>
    <t>미니 컬링 세트</t>
  </si>
  <si>
    <t>https://www.coupang.com/vp/products/9230577959?itemId=27285407279&amp;vendorItemId=94252048327&amp;sourceType=srp_product_ads&amp;clickEventId=9ad564d0-9fd6-11f1-ad9f-66b6aa976343&amp;korePlacement=15&amp;koreSubPlacement=1&amp;clickEventId=9ad564d0-9fd6-11f1-ad9f-66b6aa976343&amp;korePlacement=15&amp;koreSubPlacement=1</t>
  </si>
  <si>
    <t>https://www.coupang.com/vp/products/115671004?itemId=346560737&amp;vendorItemId=70122412019&amp;pickType=COU_PICK&amp;q=%EC%A0%90%EC%88%98%ED%8C%90&amp;searchId=af26dc3220638601&amp;sourceType=search&amp;itemsCount=60&amp;searchRank=2&amp;rank=2&amp;traceId=mt7fvigl</t>
  </si>
  <si>
    <t>호루라기 5개 set (총 5개)</t>
  </si>
  <si>
    <t>https://www.coupang.com/vp/products/8536337026?itemId=24712001027&amp;vendorItemId=91721359780&amp;q=%ED%98%B8%EB%A3%A8%EB%9D%BC%EA%B8%B0&amp;searchId=63aab6b71950509&amp;sourceType=search&amp;itemsCount=60&amp;searchRank=2&amp;rank=2&amp;traceId=mtk6djzk</t>
  </si>
  <si>
    <t>뿅망치 3개 set (총 3개)</t>
  </si>
  <si>
    <t>https://www.coupang.com/vp/products/9289511493?itemId=27708409648&amp;vendorItemId=94669986504&amp;q=%EB%BF%85%EB%A7%9D%EC%B9%98&amp;searchId=beeb72d9101969803&amp;sourceType=search&amp;itemsCount=60&amp;searchRank=3&amp;rank=3&amp;traceId=mtk6z30y</t>
  </si>
  <si>
    <t>게임연구소 대여(배송비 착불)</t>
  </si>
  <si>
    <t xml:space="preserve">  아이스박스</t>
  </si>
  <si>
    <t>https://gamerental.kr/product/detail.html?product_no=78&amp;cate_no=28</t>
  </si>
  <si>
    <t>국제처에서 직접 대여</t>
  </si>
  <si>
    <t xml:space="preserve">First Aid </t>
  </si>
  <si>
    <t xml:space="preserve">  의자</t>
  </si>
  <si>
    <t xml:space="preserve">  테이블</t>
  </si>
  <si>
    <t xml:space="preserve">  스피커</t>
  </si>
  <si>
    <t xml:space="preserve">  마이크</t>
  </si>
  <si>
    <t xml:space="preserve">  천막 (20개)</t>
  </si>
  <si>
    <t xml:space="preserve">명륜 편도 버스 </t>
  </si>
  <si>
    <t>총 지출 금액</t>
  </si>
  <si>
    <t>행사 수입(예상) 15,000원*150명</t>
  </si>
  <si>
    <t>국제처 지원 금액</t>
  </si>
  <si>
    <t>계</t>
  </si>
  <si>
    <t>피드백</t>
  </si>
  <si>
    <t>하클 피드백</t>
  </si>
  <si>
    <t>교환 피드백</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</si>
</sst>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d"/>
    <numFmt numFmtId="165" formatCode="m/d"/>
    <numFmt numFmtId="166" formatCode="[$₩-412]#,##0"/>
  </numFmts>
  <fonts count="42">
    <font>
      <sz val="11.0"/>
      <color theme="1"/>
      <name val="Calibri"/>
      <scheme val="minor"/>
    </font>
    <font>
      <color theme="1"/>
      <name val="Arial"/>
    </font>
    <font>
      <sz val="11.0"/>
      <color theme="1"/>
      <name val="Arial"/>
    </font>
    <font>
      <sz val="20.0"/>
      <color theme="1"/>
      <name val="Arial"/>
    </font>
    <font>
      <sz val="11.0"/>
      <color rgb="FF000000"/>
      <name val="Arial"/>
    </font>
    <font/>
    <font>
      <sz val="11.0"/>
      <color theme="1"/>
      <name val="Calibri"/>
    </font>
    <font>
      <b/>
      <sz val="11.0"/>
      <color rgb="FF000000"/>
      <name val="Arial"/>
    </font>
    <font>
      <b/>
      <sz val="11.0"/>
      <color rgb="FF0000FF"/>
      <name val="Arial"/>
    </font>
    <font>
      <sz val="11.0"/>
      <color rgb="FF434343"/>
      <name val="Arial"/>
    </font>
    <font>
      <sz val="11.0"/>
      <color rgb="FF434343"/>
      <name val="Roboto"/>
    </font>
    <font>
      <strike/>
      <sz val="11.0"/>
      <color theme="1"/>
      <name val="Arial"/>
    </font>
    <font>
      <sz val="11.0"/>
      <color rgb="FF0000FF"/>
      <name val="Arial"/>
    </font>
    <font>
      <b/>
      <strike/>
      <sz val="11.0"/>
      <color rgb="FF000000"/>
      <name val="Arial"/>
    </font>
    <font>
      <b/>
      <sz val="11.0"/>
      <color theme="1"/>
      <name val="Arial"/>
    </font>
    <font>
      <sz val="11.0"/>
      <color rgb="FFFF0000"/>
      <name val="Arial"/>
    </font>
    <font>
      <sz val="10.0"/>
      <color theme="1"/>
      <name val="Arial"/>
    </font>
    <font>
      <sz val="10.0"/>
      <color rgb="FF000000"/>
      <name val="Arial"/>
    </font>
    <font>
      <u/>
      <sz val="11.0"/>
      <color theme="1"/>
      <name val="Arial"/>
    </font>
    <font>
      <strike/>
      <sz val="10.0"/>
      <color theme="1"/>
      <name val="Arial"/>
    </font>
    <font>
      <sz val="9.0"/>
      <color rgb="FFC00000"/>
      <name val="Arial"/>
    </font>
    <font>
      <color rgb="FF000000"/>
      <name val="Arial"/>
    </font>
    <font>
      <sz val="11.0"/>
      <color rgb="FF999999"/>
      <name val="Arial"/>
    </font>
    <font>
      <sz val="11.0"/>
      <color rgb="FFFF9900"/>
      <name val="Arial"/>
    </font>
    <font>
      <sz val="11.0"/>
      <color rgb="FF1F1F1F"/>
      <name val="Arial"/>
    </font>
    <font>
      <u/>
      <sz val="10.0"/>
      <color rgb="FF000000"/>
      <name val="Arial"/>
    </font>
    <font>
      <u/>
      <sz val="10.0"/>
      <color rgb="FF000000"/>
      <name val="Arial"/>
    </font>
    <font>
      <strike/>
      <sz val="11.0"/>
      <color rgb="FFFF0000"/>
      <name val="Arial"/>
    </font>
    <font>
      <u/>
      <sz val="10.0"/>
      <color rgb="FF000000"/>
      <name val="Arial"/>
    </font>
    <font>
      <u/>
      <sz val="10.0"/>
      <color rgb="FF000000"/>
      <name val="Arial"/>
    </font>
    <font>
      <u/>
      <sz val="11.0"/>
      <color rgb="FF000000"/>
      <name val="Arial"/>
    </font>
    <font>
      <strike/>
      <sz val="11.0"/>
      <color rgb="FF000000"/>
      <name val="Arial"/>
    </font>
    <font>
      <b/>
      <sz val="12.0"/>
      <color theme="1"/>
      <name val="Arial"/>
    </font>
    <font>
      <b/>
      <sz val="11.0"/>
      <color theme="0"/>
      <name val="Arial"/>
    </font>
    <font>
      <b/>
      <sz val="11.0"/>
      <color rgb="FFFFFFFF"/>
      <name val="Arial"/>
    </font>
    <font>
      <sz val="17.0"/>
      <color theme="1"/>
      <name val="Arial"/>
    </font>
    <font>
      <u/>
      <sz val="11.0"/>
      <color rgb="FF0000FF"/>
      <name val="Arial"/>
    </font>
    <font>
      <u/>
      <sz val="11.0"/>
      <color rgb="FF0000FF"/>
      <name val="Arial"/>
    </font>
    <font>
      <u/>
      <sz val="11.0"/>
      <color rgb="FF0000FF"/>
      <name val="Arial"/>
    </font>
    <font>
      <u/>
      <sz val="11.0"/>
      <color rgb="FF0000FF"/>
      <name val="Arial"/>
    </font>
    <font>
      <u/>
      <sz val="11.0"/>
      <color theme="1"/>
      <name val="Arial"/>
    </font>
    <font>
      <sz val="11.0"/>
      <color theme="1"/>
      <name val="Malgun Gothic"/>
    </font>
  </fonts>
  <fills count="30">
    <fill>
      <patternFill patternType="none"/>
    </fill>
    <fill>
      <patternFill patternType="lightGray"/>
    </fill>
    <fill>
      <patternFill patternType="solid">
        <fgColor rgb="FFE2EFD9"/>
        <bgColor rgb="FFE2EFD9"/>
      </patternFill>
    </fill>
    <fill>
      <patternFill patternType="solid">
        <fgColor rgb="FFFFFFFF"/>
        <bgColor rgb="FFFFFFFF"/>
      </patternFill>
    </fill>
    <fill>
      <patternFill patternType="solid">
        <fgColor rgb="FFD9D9D9"/>
        <bgColor rgb="FFD9D9D9"/>
      </patternFill>
    </fill>
    <fill>
      <patternFill patternType="solid">
        <fgColor rgb="FFF6F8F9"/>
        <bgColor rgb="FFF6F8F9"/>
      </patternFill>
    </fill>
    <fill>
      <patternFill patternType="solid">
        <fgColor rgb="FFF4CCCC"/>
        <bgColor rgb="FFF4CCCC"/>
      </patternFill>
    </fill>
    <fill>
      <patternFill patternType="solid">
        <fgColor theme="0"/>
        <bgColor theme="0"/>
      </patternFill>
    </fill>
    <fill>
      <patternFill patternType="solid">
        <fgColor rgb="FF4285F4"/>
        <bgColor rgb="FF4285F4"/>
      </patternFill>
    </fill>
    <fill>
      <patternFill patternType="solid">
        <fgColor rgb="FFEA9999"/>
        <bgColor rgb="FFEA9999"/>
      </patternFill>
    </fill>
    <fill>
      <patternFill patternType="solid">
        <fgColor rgb="FFB6D7A8"/>
        <bgColor rgb="FFB6D7A8"/>
      </patternFill>
    </fill>
    <fill>
      <patternFill patternType="solid">
        <fgColor rgb="FFB4A7D6"/>
        <bgColor rgb="FFB4A7D6"/>
      </patternFill>
    </fill>
    <fill>
      <patternFill patternType="solid">
        <fgColor rgb="FFFFFF00"/>
        <bgColor rgb="FFFFFF00"/>
      </patternFill>
    </fill>
    <fill>
      <patternFill patternType="solid">
        <fgColor rgb="FF00FF00"/>
        <bgColor rgb="FF00FF00"/>
      </patternFill>
    </fill>
    <fill>
      <patternFill patternType="solid">
        <fgColor rgb="FFD8D2E7"/>
        <bgColor rgb="FFD8D2E7"/>
      </patternFill>
    </fill>
    <fill>
      <patternFill patternType="solid">
        <fgColor rgb="FFC9DAF8"/>
        <bgColor rgb="FFC9DAF8"/>
      </patternFill>
    </fill>
    <fill>
      <patternFill patternType="solid">
        <fgColor rgb="FFFFF2CC"/>
        <bgColor rgb="FFFFF2CC"/>
      </patternFill>
    </fill>
    <fill>
      <patternFill patternType="solid">
        <fgColor rgb="FF4A86E8"/>
        <bgColor rgb="FF4A86E8"/>
      </patternFill>
    </fill>
    <fill>
      <patternFill patternType="solid">
        <fgColor rgb="FFFF0000"/>
        <bgColor rgb="FFFF0000"/>
      </patternFill>
    </fill>
    <fill>
      <patternFill patternType="solid">
        <fgColor theme="4"/>
        <bgColor theme="4"/>
      </patternFill>
    </fill>
    <fill>
      <patternFill patternType="solid">
        <fgColor rgb="FF9FC5E8"/>
        <bgColor rgb="FF9FC5E8"/>
      </patternFill>
    </fill>
    <fill>
      <patternFill patternType="solid">
        <fgColor rgb="FFC6E0B4"/>
        <bgColor rgb="FFC6E0B4"/>
      </patternFill>
    </fill>
    <fill>
      <patternFill patternType="solid">
        <fgColor rgb="FFFCE5CD"/>
        <bgColor rgb="FFFCE5CD"/>
      </patternFill>
    </fill>
    <fill>
      <patternFill patternType="solid">
        <fgColor rgb="FFCFE2F3"/>
        <bgColor rgb="FFCFE2F3"/>
      </patternFill>
    </fill>
    <fill>
      <patternFill patternType="solid">
        <fgColor rgb="FFCCCCCC"/>
        <bgColor rgb="FFCCCCCC"/>
      </patternFill>
    </fill>
    <fill>
      <patternFill patternType="solid">
        <fgColor rgb="FFFFE599"/>
        <bgColor rgb="FFFFE599"/>
      </patternFill>
    </fill>
    <fill>
      <patternFill patternType="solid">
        <fgColor rgb="FFD0E0E3"/>
        <bgColor rgb="FFD0E0E3"/>
      </patternFill>
    </fill>
    <fill>
      <patternFill patternType="solid">
        <fgColor rgb="FF4472C4"/>
        <bgColor rgb="FF4472C4"/>
      </patternFill>
    </fill>
    <fill>
      <patternFill patternType="solid">
        <fgColor rgb="FFD9E1F2"/>
        <bgColor rgb="FFD9E1F2"/>
      </patternFill>
    </fill>
    <fill>
      <patternFill patternType="solid">
        <fgColor rgb="FFD9EAD3"/>
        <bgColor rgb="FFD9EAD3"/>
      </patternFill>
    </fill>
  </fills>
  <borders count="190">
    <border/>
    <border>
      <left style="medium">
        <color rgb="FF000000"/>
      </left>
      <top style="medium">
        <color rgb="FF000000"/>
      </top>
      <bottom/>
    </border>
    <border>
      <top style="medium">
        <color rgb="FF000000"/>
      </top>
      <bottom/>
    </border>
    <border>
      <right style="medium">
        <color rgb="FF000000"/>
      </right>
      <top style="medium">
        <color rgb="FF000000"/>
      </top>
      <bottom/>
    </border>
    <border>
      <bottom style="thin">
        <color rgb="FF000000"/>
      </bottom>
    </border>
    <border>
      <left style="medium">
        <color rgb="FF000000"/>
      </left>
      <right style="medium">
        <color rgb="FF000000"/>
      </right>
      <top style="medium">
        <color rgb="FF000000"/>
      </top>
      <bottom/>
    </border>
    <border>
      <left style="thin">
        <color rgb="FF284E3F"/>
      </left>
      <right style="thin">
        <color rgb="FF000000"/>
      </right>
      <top style="thin">
        <color rgb="FFFFFFFF"/>
      </top>
      <bottom style="thin">
        <color rgb="FFFFFFFF"/>
      </bottom>
    </border>
    <border>
      <left style="thin">
        <color rgb="FF284E3F"/>
      </left>
      <right style="thin">
        <color rgb="FF356854"/>
      </right>
      <top style="thin">
        <color rgb="FF284E3F"/>
      </top>
      <bottom style="thin">
        <color rgb="FF284E3F"/>
      </bottom>
    </border>
    <border>
      <top style="medium">
        <color rgb="FF000000"/>
      </top>
    </border>
    <border>
      <left style="thin">
        <color rgb="FF356854"/>
      </left>
      <right style="thin">
        <color rgb="FF356854"/>
      </right>
      <top style="thin">
        <color rgb="FF284E3F"/>
      </top>
      <bottom style="thin">
        <color rgb="FF284E3F"/>
      </bottom>
    </border>
    <border>
      <right style="medium">
        <color rgb="FF000000"/>
      </right>
      <top style="medium">
        <color rgb="FF000000"/>
      </top>
    </border>
    <border>
      <left style="thin">
        <color rgb="FFFFFFFF"/>
      </left>
      <right style="thin">
        <color rgb="FFFFFFFF"/>
      </right>
      <top style="thin">
        <color rgb="FFFFFFFF"/>
      </top>
      <bottom style="thin">
        <color rgb="FFFFFFFF"/>
      </bottom>
    </border>
    <border>
      <left style="thin">
        <color rgb="FF356854"/>
      </left>
      <right style="thin">
        <color rgb="FF284E3F"/>
      </right>
      <top style="thin">
        <color rgb="FF284E3F"/>
      </top>
      <bottom style="thin">
        <color rgb="FF284E3F"/>
      </bottom>
    </border>
    <border>
      <left style="thin">
        <color rgb="FF000000"/>
      </left>
      <right style="thin">
        <color rgb="FF000000"/>
      </right>
      <top style="thin">
        <color rgb="FF000000"/>
      </top>
      <bottom/>
    </border>
    <border>
      <left style="thin">
        <color rgb="FFFFFFFF"/>
      </left>
      <right style="thin">
        <color rgb="FF284E3F"/>
      </right>
      <top style="thin">
        <color rgb="FFFFFFFF"/>
      </top>
      <bottom style="thin">
        <color rgb="FFFFFFFF"/>
      </bottom>
    </border>
    <border>
      <left style="thin">
        <color rgb="FF000000"/>
      </left>
      <top style="thin">
        <color rgb="FF000000"/>
      </top>
      <bottom style="thin">
        <color rgb="FF000000"/>
      </bottom>
    </border>
    <border>
      <left style="thin">
        <color rgb="FF284E3F"/>
      </left>
      <right style="thin">
        <color rgb="FF000000"/>
      </right>
      <top style="thin">
        <color rgb="FFF6F8F9"/>
      </top>
      <bottom style="thin">
        <color rgb="FFF6F8F9"/>
      </bottom>
    </border>
    <border>
      <right style="thin">
        <color rgb="FF000000"/>
      </right>
      <top style="thin">
        <color rgb="FF000000"/>
      </top>
      <bottom style="thin">
        <color rgb="FF000000"/>
      </bottom>
    </border>
    <border>
      <left style="thin">
        <color rgb="FF000000"/>
      </left>
      <right style="thin">
        <color rgb="FF000000"/>
      </right>
      <top/>
      <bottom style="thin">
        <color rgb="FF000000"/>
      </bottom>
    </border>
    <border>
      <left/>
      <right style="thin">
        <color rgb="FF000000"/>
      </right>
      <top style="thin">
        <color rgb="FF000000"/>
      </top>
      <bottom style="thin">
        <color rgb="FF000000"/>
      </bottom>
    </border>
    <border>
      <left style="medium">
        <color rgb="FF000000"/>
      </left>
      <right style="medium">
        <color rgb="FF000000"/>
      </right>
      <top style="medium">
        <color rgb="FF000000"/>
      </top>
    </border>
    <border>
      <left/>
      <right style="thin">
        <color rgb="FF000000"/>
      </right>
      <top style="medium">
        <color rgb="FF000000"/>
      </top>
      <bottom style="thin">
        <color rgb="FF000000"/>
      </bottom>
    </border>
    <border>
      <left style="medium">
        <color rgb="FF000000"/>
      </left>
      <top style="medium">
        <color rgb="FF000000"/>
      </top>
    </border>
    <border>
      <left/>
      <top style="thin">
        <color rgb="FF000000"/>
      </top>
      <bottom style="thin">
        <color rgb="FF000000"/>
      </bottom>
    </border>
    <border>
      <left style="thin">
        <color rgb="FFF6F8F9"/>
      </left>
      <right style="thin">
        <color rgb="FFF6F8F9"/>
      </right>
      <top style="thin">
        <color rgb="FFF6F8F9"/>
      </top>
      <bottom style="thin">
        <color rgb="FFF6F8F9"/>
      </bottom>
    </border>
    <border>
      <left style="thin">
        <color rgb="FF000000"/>
      </left>
      <right style="thin">
        <color rgb="FF000000"/>
      </right>
      <top style="medium">
        <color rgb="FF000000"/>
      </top>
      <bottom style="thin">
        <color rgb="FF000000"/>
      </bottom>
    </border>
    <border>
      <top style="thin">
        <color rgb="FF000000"/>
      </top>
      <bottom style="thin">
        <color rgb="FF000000"/>
      </bottom>
    </border>
    <border>
      <left style="thin">
        <color rgb="FF000000"/>
      </left>
      <right style="medium">
        <color rgb="FF000000"/>
      </right>
      <top style="medium">
        <color rgb="FF000000"/>
      </top>
      <bottom style="thin">
        <color rgb="FF000000"/>
      </bottom>
    </border>
    <border>
      <right style="thin">
        <color rgb="FF000000"/>
      </right>
      <top style="medium">
        <color rgb="FF000000"/>
      </top>
      <bottom style="thin">
        <color rgb="FF000000"/>
      </bottom>
    </border>
    <border>
      <left/>
      <right/>
      <top/>
      <bottom/>
    </border>
    <border>
      <left style="thin">
        <color rgb="FFF6F8F9"/>
      </left>
      <right style="thin">
        <color rgb="FF284E3F"/>
      </right>
      <top style="thin">
        <color rgb="FFF6F8F9"/>
      </top>
      <bottom style="thin">
        <color rgb="FFF6F8F9"/>
      </bottom>
    </border>
    <border>
      <left style="medium">
        <color rgb="FF000000"/>
      </left>
      <bottom style="medium">
        <color rgb="FF000000"/>
      </bottom>
    </border>
    <border>
      <bottom style="medium">
        <color rgb="FF000000"/>
      </bottom>
    </border>
    <border>
      <left style="medium">
        <color rgb="FF000000"/>
      </left>
      <right style="medium">
        <color rgb="FF000000"/>
      </right>
    </border>
    <border>
      <left style="thin">
        <color rgb="FF000000"/>
      </left>
      <right style="thin">
        <color rgb="FF000000"/>
      </right>
      <top style="thin">
        <color rgb="FF000000"/>
      </top>
      <bottom style="thin">
        <color rgb="FF000000"/>
      </bottom>
    </border>
    <border>
      <right style="medium">
        <color rgb="FF000000"/>
      </right>
      <bottom style="medium">
        <color rgb="FF000000"/>
      </bottom>
    </border>
    <border>
      <left style="thin">
        <color rgb="FF000000"/>
      </left>
      <right style="thin">
        <color rgb="FF000000"/>
      </right>
      <top style="thin">
        <color rgb="FFFFFFFF"/>
      </top>
      <bottom style="thin">
        <color rgb="FFFFFFFF"/>
      </bottom>
    </border>
    <border>
      <right style="thin">
        <color rgb="FF000000"/>
      </right>
      <top style="thin">
        <color rgb="FF000000"/>
      </top>
    </border>
    <border>
      <left style="thin">
        <color rgb="FFF4CCCC"/>
      </left>
      <right style="thin">
        <color rgb="FF284E3F"/>
      </right>
      <top style="thin">
        <color rgb="FFF4CCCC"/>
      </top>
      <bottom style="thin">
        <color rgb="FFF4CCCC"/>
      </bottom>
    </border>
    <border>
      <left style="thin">
        <color rgb="FF000000"/>
      </left>
      <right style="medium">
        <color rgb="FF000000"/>
      </right>
      <top style="thin">
        <color rgb="FF000000"/>
      </top>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border>
    <border>
      <left style="thin">
        <color rgb="FF000000"/>
      </left>
      <top style="medium">
        <color rgb="FF000000"/>
      </top>
      <bottom style="thin">
        <color rgb="FF000000"/>
      </bottom>
    </border>
    <border>
      <left style="thin">
        <color rgb="FF000000"/>
      </left>
      <right style="thin">
        <color rgb="FF000000"/>
      </right>
    </border>
    <border>
      <top style="medium">
        <color rgb="FF000000"/>
      </top>
      <bottom style="thin">
        <color rgb="FF000000"/>
      </bottom>
    </border>
    <border>
      <left style="thin">
        <color rgb="FF000000"/>
      </left>
      <right style="thin">
        <color rgb="FF000000"/>
      </right>
      <top style="thin">
        <color rgb="FF4285F4"/>
      </top>
      <bottom style="thin">
        <color rgb="FF000000"/>
      </bottom>
    </border>
    <border>
      <left style="thin">
        <color rgb="FF4285F4"/>
      </left>
      <right style="thin">
        <color rgb="FF4285F4"/>
      </right>
      <top style="thin">
        <color rgb="FF4285F4"/>
      </top>
      <bottom style="thin">
        <color rgb="FF4285F4"/>
      </bottom>
    </border>
    <border>
      <left style="thin">
        <color rgb="FF000000"/>
      </left>
      <right style="thin">
        <color rgb="FF000000"/>
      </right>
      <top style="thin">
        <color rgb="FFF6F8F9"/>
      </top>
      <bottom style="thin">
        <color rgb="FFF6F8F9"/>
      </bottom>
    </border>
    <border>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bottom/>
    </border>
    <border>
      <left style="medium">
        <color rgb="FF000000"/>
      </left>
      <right style="thin">
        <color rgb="FF000000"/>
      </right>
      <top/>
      <bottom/>
    </border>
    <border>
      <left style="thin">
        <color rgb="FF000000"/>
      </left>
      <right style="thin">
        <color rgb="FF000000"/>
      </right>
      <top style="thin">
        <color rgb="FFF4CCCC"/>
      </top>
      <bottom style="thin">
        <color rgb="FF000000"/>
      </bottom>
    </border>
    <border>
      <left style="thin">
        <color rgb="FF000000"/>
      </left>
      <bottom style="thin">
        <color rgb="FF000000"/>
      </bottom>
    </border>
    <border>
      <right style="thin">
        <color rgb="FF000000"/>
      </right>
      <bottom style="thin">
        <color rgb="FF000000"/>
      </bottom>
    </border>
    <border>
      <right style="medium">
        <color rgb="FF000000"/>
      </right>
      <bottom style="thin">
        <color rgb="FF000000"/>
      </bottom>
    </border>
    <border>
      <left style="medium">
        <color rgb="FF000000"/>
      </left>
      <right style="thin">
        <color rgb="FF000000"/>
      </right>
      <top style="thin">
        <color rgb="FF000000"/>
      </top>
    </border>
    <border>
      <left style="thin">
        <color rgb="FF000000"/>
      </left>
      <right style="thin">
        <color rgb="FF000000"/>
      </right>
      <top style="thin">
        <color rgb="FFB4A7D6"/>
      </top>
      <bottom style="thin">
        <color rgb="FF000000"/>
      </bottom>
    </border>
    <border>
      <left style="thin">
        <color rgb="FFB4A7D6"/>
      </left>
      <right style="thin">
        <color rgb="FF284E3F"/>
      </right>
      <top style="thin">
        <color rgb="FFB4A7D6"/>
      </top>
      <bottom style="thin">
        <color rgb="FFB4A7D6"/>
      </bottom>
    </border>
    <border>
      <left style="thin">
        <color rgb="FF000000"/>
      </left>
      <top style="thin">
        <color rgb="FF000000"/>
      </top>
    </border>
    <border>
      <left style="thin">
        <color rgb="FF000000"/>
      </left>
    </border>
    <border>
      <top style="thin">
        <color rgb="FF000000"/>
      </top>
    </border>
    <border>
      <right style="medium">
        <color rgb="FF000000"/>
      </right>
      <top style="thin">
        <color rgb="FF000000"/>
      </top>
    </border>
    <border>
      <left style="thin">
        <color rgb="FF000000"/>
      </left>
      <right style="thin">
        <color rgb="FF000000"/>
      </right>
      <top style="thin">
        <color rgb="FFFFFF00"/>
      </top>
      <bottom style="thin">
        <color rgb="FF000000"/>
      </bottom>
    </border>
    <border>
      <left style="medium">
        <color rgb="FF000000"/>
      </left>
      <right style="thin">
        <color rgb="FF000000"/>
      </right>
      <bottom style="medium">
        <color rgb="FF000000"/>
      </bottom>
    </border>
    <border>
      <left style="thin">
        <color rgb="FFFFFF00"/>
      </left>
      <right style="thin">
        <color rgb="FFFFFF00"/>
      </right>
      <top style="thin">
        <color rgb="FFFFFF00"/>
      </top>
      <bottom style="thin">
        <color rgb="FFFFFF00"/>
      </bottom>
    </border>
    <border>
      <left style="thin">
        <color rgb="FF000000"/>
      </left>
      <right style="thin">
        <color rgb="FF000000"/>
      </right>
      <bottom style="medium">
        <color rgb="FF000000"/>
      </bottom>
    </border>
    <border>
      <left style="thin">
        <color rgb="FFFFFF00"/>
      </left>
      <right style="thin">
        <color rgb="FF284E3F"/>
      </right>
      <top style="thin">
        <color rgb="FFFFFF00"/>
      </top>
      <bottom style="thin">
        <color rgb="FFFFFF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bottom style="medium">
        <color rgb="FF000000"/>
      </bottom>
    </border>
    <border>
      <right style="thin">
        <color rgb="FF000000"/>
      </right>
      <bottom style="medium">
        <color rgb="FF000000"/>
      </bottom>
    </border>
    <border>
      <left/>
      <top/>
      <bottom style="thin">
        <color rgb="FF000000"/>
      </bottom>
    </border>
    <border>
      <top/>
      <bottom style="thin">
        <color rgb="FF000000"/>
      </bottom>
    </border>
    <border>
      <right style="medium">
        <color rgb="FF000000"/>
      </right>
      <top/>
      <bottom style="thin">
        <color rgb="FF000000"/>
      </bottom>
    </border>
    <border>
      <left style="thin">
        <color rgb="FF000000"/>
      </left>
      <right style="thin">
        <color rgb="FF000000"/>
      </right>
      <top style="thin">
        <color rgb="FFFFFFFF"/>
      </top>
      <bottom style="thin">
        <color rgb="FF000000"/>
      </bottom>
    </border>
    <border>
      <right style="medium">
        <color rgb="FF000000"/>
      </right>
      <top style="thin">
        <color rgb="FF000000"/>
      </top>
      <bottom style="thin">
        <color rgb="FF000000"/>
      </bottom>
    </border>
    <border>
      <left style="thin">
        <color rgb="FF000000"/>
      </left>
      <right style="thin">
        <color rgb="FF000000"/>
      </right>
      <top style="thin">
        <color rgb="FF00FF00"/>
      </top>
      <bottom style="thin">
        <color rgb="FF000000"/>
      </bottom>
    </border>
    <border>
      <left style="thin">
        <color rgb="FF00FF00"/>
      </left>
      <right style="thin">
        <color rgb="FF00FF00"/>
      </right>
      <top style="thin">
        <color rgb="FF00FF00"/>
      </top>
      <bottom style="thin">
        <color rgb="FF00FF00"/>
      </bottom>
    </border>
    <border>
      <left style="thin">
        <color rgb="FF4285F4"/>
      </left>
      <right style="thin">
        <color rgb="FF284E3F"/>
      </right>
      <top style="thin">
        <color rgb="FF4285F4"/>
      </top>
      <bottom style="thin">
        <color rgb="FF4285F4"/>
      </bottom>
    </border>
    <border>
      <left style="thin">
        <color rgb="FF284E3F"/>
      </left>
      <right style="thin">
        <color rgb="FF000000"/>
      </right>
      <top style="thin">
        <color rgb="FFD8D2E7"/>
      </top>
      <bottom style="thin">
        <color rgb="FFD8D2E7"/>
      </bottom>
    </border>
    <border>
      <left/>
      <right style="thin">
        <color rgb="FF000000"/>
      </right>
      <top/>
      <bottom/>
    </border>
    <border>
      <left style="thin">
        <color rgb="FF000000"/>
      </left>
      <right style="thin">
        <color rgb="FF000000"/>
      </right>
      <top style="thin">
        <color rgb="FFF6F8F9"/>
      </top>
      <bottom style="thin">
        <color rgb="FF000000"/>
      </bottom>
    </border>
    <border>
      <left/>
      <right style="thin">
        <color rgb="FF000000"/>
      </right>
      <top/>
      <bottom style="thin">
        <color rgb="FF000000"/>
      </bottom>
    </border>
    <border>
      <left style="thin">
        <color rgb="FF284E3F"/>
      </left>
      <right style="thin">
        <color rgb="FF000000"/>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F4CCCC"/>
      </left>
      <right style="thin">
        <color rgb="FFF4CCCC"/>
      </right>
      <top style="thin">
        <color rgb="FFF4CCCC"/>
      </top>
      <bottom style="thin">
        <color rgb="FFF4CCCC"/>
      </bottom>
    </border>
    <border>
      <left style="thin">
        <color rgb="FFFFFFFF"/>
      </left>
      <right style="thin">
        <color rgb="FF284E3F"/>
      </right>
      <top style="thin">
        <color rgb="FF000000"/>
      </top>
      <bottom style="thin">
        <color rgb="FFFFFFFF"/>
      </bottom>
    </border>
    <border>
      <left style="medium">
        <color rgb="FF000000"/>
      </left>
      <right style="medium">
        <color rgb="FF000000"/>
      </right>
      <bottom style="medium">
        <color rgb="FF000000"/>
      </bottom>
    </border>
    <border>
      <right style="medium">
        <color rgb="FF000000"/>
      </right>
    </border>
    <border>
      <left style="medium">
        <color rgb="FF000000"/>
      </left>
      <top style="medium">
        <color rgb="FF000000"/>
      </top>
      <bottom style="thin">
        <color rgb="FF000000"/>
      </bottom>
    </border>
    <border>
      <left style="thin">
        <color rgb="FF00FF00"/>
      </left>
      <right style="thin">
        <color rgb="FF284E3F"/>
      </right>
      <top style="thin">
        <color rgb="FF00FF00"/>
      </top>
      <bottom style="thin">
        <color rgb="FF00FF00"/>
      </bottom>
    </border>
    <border>
      <left/>
      <top/>
      <bottom/>
    </border>
    <border>
      <top/>
      <bottom/>
    </border>
    <border>
      <right style="medium">
        <color rgb="FF000000"/>
      </right>
      <top/>
      <bottom/>
    </border>
    <border>
      <left style="thin">
        <color rgb="FFB4A7D6"/>
      </left>
      <right style="thin">
        <color rgb="FFB4A7D6"/>
      </right>
      <top style="thin">
        <color rgb="FFB4A7D6"/>
      </top>
      <bottom style="thin">
        <color rgb="FFB4A7D6"/>
      </bottom>
    </border>
    <border>
      <left style="thin">
        <color rgb="FF000000"/>
      </left>
      <top/>
      <bottom style="thin">
        <color rgb="FF000000"/>
      </bottom>
    </border>
    <border>
      <left/>
      <top/>
    </border>
    <border>
      <right style="thin">
        <color rgb="FF000000"/>
      </right>
      <top/>
    </border>
    <border>
      <left/>
    </border>
    <border>
      <left style="thin">
        <color rgb="FF284E3F"/>
      </left>
      <right style="thin">
        <color rgb="FF000000"/>
      </right>
      <top style="thin">
        <color rgb="FFD8D2E7"/>
      </top>
      <bottom style="thin">
        <color rgb="FF284E3F"/>
      </bottom>
    </border>
    <border>
      <left style="thin">
        <color rgb="FFFFFFFF"/>
      </left>
      <right style="thin">
        <color rgb="FFFFFFFF"/>
      </right>
      <top style="thin">
        <color rgb="FFFFFFFF"/>
      </top>
      <bottom style="thin">
        <color rgb="FF284E3F"/>
      </bottom>
    </border>
    <border>
      <left/>
      <bottom style="medium">
        <color rgb="FF000000"/>
      </bottom>
    </border>
    <border>
      <left style="thin">
        <color rgb="FFFFFFFF"/>
      </left>
      <right style="thin">
        <color rgb="FF284E3F"/>
      </right>
      <top style="thin">
        <color rgb="FFFFFFFF"/>
      </top>
      <bottom style="thin">
        <color rgb="FF284E3F"/>
      </bottom>
    </border>
    <border>
      <right style="medium">
        <color rgb="FF000000"/>
      </right>
      <top style="thin">
        <color rgb="FF000000"/>
      </top>
      <bottom style="medium">
        <color rgb="FF000000"/>
      </bottom>
    </border>
    <border>
      <left style="thin">
        <color rgb="FF000000"/>
      </left>
      <right/>
      <top/>
      <bottom/>
    </border>
    <border>
      <left style="thin">
        <color rgb="FF000000"/>
      </left>
      <right style="thin">
        <color rgb="FF000000"/>
      </right>
      <top style="thin">
        <color rgb="FFFF0000"/>
      </top>
      <bottom style="thin">
        <color rgb="FF000000"/>
      </bottom>
    </border>
    <border>
      <left style="medium">
        <color rgb="FF000000"/>
      </left>
      <right style="medium">
        <color rgb="FF000000"/>
      </right>
      <top style="medium">
        <color rgb="FF000000"/>
      </top>
      <bottom style="thin">
        <color rgb="FF000000"/>
      </bottom>
    </border>
    <border>
      <left/>
      <top style="medium">
        <color rgb="FF000000"/>
      </top>
      <bottom/>
    </border>
    <border>
      <left/>
      <right/>
      <top/>
      <bottom style="thin">
        <color rgb="FF000000"/>
      </bottom>
    </border>
    <border>
      <left style="medium">
        <color rgb="FF000000"/>
      </left>
      <right/>
      <top/>
      <bottom style="thin">
        <color rgb="FF000000"/>
      </bottom>
    </border>
    <border>
      <left style="medium">
        <color rgb="FF000000"/>
      </left>
      <right style="thin">
        <color rgb="FF000000"/>
      </right>
      <top style="medium">
        <color rgb="FF000000"/>
      </top>
      <bottom/>
    </border>
    <border>
      <left/>
      <right/>
      <top style="medium">
        <color rgb="FF000000"/>
      </top>
      <bottom/>
    </border>
    <border>
      <left style="thin">
        <color rgb="FF000000"/>
      </left>
      <top/>
    </border>
    <border>
      <left/>
      <right style="medium">
        <color rgb="FF000000"/>
      </right>
      <top style="medium">
        <color rgb="FF000000"/>
      </top>
      <bottom/>
    </border>
    <border>
      <left style="medium">
        <color rgb="FF000000"/>
      </left>
    </border>
    <border>
      <left style="thin">
        <color rgb="FF000000"/>
      </left>
      <right style="medium">
        <color rgb="FF000000"/>
      </right>
    </border>
    <border>
      <left style="thin">
        <color rgb="FF000000"/>
      </left>
      <top style="double">
        <color rgb="FF000000"/>
      </top>
      <bottom style="thin">
        <color rgb="FF000000"/>
      </bottom>
    </border>
    <border>
      <right style="thin">
        <color rgb="FF000000"/>
      </right>
      <top style="double">
        <color rgb="FF000000"/>
      </top>
      <bottom style="thin">
        <color rgb="FF000000"/>
      </bottom>
    </border>
    <border>
      <top style="double">
        <color rgb="FF000000"/>
      </top>
      <bottom style="thin">
        <color rgb="FF000000"/>
      </bottom>
    </border>
    <border>
      <right style="medium">
        <color rgb="FF000000"/>
      </right>
      <top style="double">
        <color rgb="FF000000"/>
      </top>
      <bottom style="thin">
        <color rgb="FF000000"/>
      </bottom>
    </border>
    <border>
      <left style="medium">
        <color rgb="FF000000"/>
      </left>
      <right style="thin">
        <color rgb="FF000000"/>
      </right>
    </border>
    <border>
      <right style="medium">
        <color rgb="FF000000"/>
      </right>
      <bottom style="thin">
        <color rgb="FFD9D9D9"/>
      </bottom>
    </border>
    <border>
      <left style="thin">
        <color rgb="FF000000"/>
      </left>
      <right/>
      <top/>
    </border>
    <border>
      <left style="thin">
        <color rgb="FF000000"/>
      </left>
      <right style="thin">
        <color rgb="FF000000"/>
      </right>
      <top/>
    </border>
    <border>
      <left style="thin">
        <color rgb="FF000000"/>
      </left>
      <right style="medium">
        <color rgb="FF000000"/>
      </right>
      <top style="thin">
        <color rgb="FFD9D9D9"/>
      </top>
      <bottom/>
    </border>
    <border>
      <top/>
    </border>
    <border>
      <right style="thin">
        <color rgb="FF000000"/>
      </right>
      <top style="medium">
        <color rgb="FF000000"/>
      </top>
    </border>
    <border>
      <left style="thin">
        <color rgb="FF000000"/>
      </left>
      <right/>
    </border>
    <border>
      <left style="thin">
        <color rgb="FF000000"/>
      </left>
      <right style="medium">
        <color rgb="FF000000"/>
      </right>
      <top style="medium">
        <color rgb="FF000000"/>
      </top>
      <bottom style="thin">
        <color rgb="FFD9D9D9"/>
      </bottom>
    </border>
    <border>
      <right style="medium">
        <color rgb="FF000000"/>
      </right>
      <top style="medium">
        <color rgb="FF000000"/>
      </top>
      <bottom style="thin">
        <color rgb="FFD9D9D9"/>
      </bottom>
    </border>
    <border>
      <left style="medium">
        <color rgb="FF000000"/>
      </left>
      <right style="thin">
        <color rgb="FF000000"/>
      </right>
      <top style="medium">
        <color rgb="FF000000"/>
      </top>
    </border>
    <border>
      <left style="thin">
        <color rgb="FF000000"/>
      </left>
      <right style="medium">
        <color rgb="FF000000"/>
      </right>
      <top style="thin">
        <color rgb="FFD9D9D9"/>
      </top>
      <bottom style="thin">
        <color rgb="FFD9D9D9"/>
      </bottom>
    </border>
    <border>
      <left/>
      <right style="medium">
        <color rgb="FF000000"/>
      </right>
      <top style="thin">
        <color rgb="FFD9D9D9"/>
      </top>
      <bottom style="thin">
        <color rgb="FFD9D9D9"/>
      </bottom>
    </border>
    <border>
      <right style="thin">
        <color rgb="FF000000"/>
      </right>
      <bottom style="thin">
        <color rgb="FFD9D9D9"/>
      </bottom>
    </border>
    <border>
      <left style="medium">
        <color rgb="FF000000"/>
      </left>
      <right style="thin">
        <color rgb="FF000000"/>
      </right>
      <bottom style="thin">
        <color rgb="FFD9D9D9"/>
      </bottom>
    </border>
    <border>
      <left style="thin">
        <color rgb="FF000000"/>
      </left>
      <bottom style="double">
        <color rgb="FF000000"/>
      </bottom>
    </border>
    <border>
      <bottom style="double">
        <color rgb="FF000000"/>
      </bottom>
    </border>
    <border>
      <bottom style="thin">
        <color rgb="FFD9D9D9"/>
      </bottom>
    </border>
    <border>
      <right style="thin">
        <color rgb="FF000000"/>
      </right>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top style="thin">
        <color rgb="FF000000"/>
      </top>
      <bottom style="double">
        <color rgb="FF000000"/>
      </bottom>
    </border>
    <border>
      <left style="medium">
        <color rgb="FF000000"/>
      </left>
      <right style="thin">
        <color rgb="FF000000"/>
      </right>
      <top style="thin">
        <color rgb="FFD9D9D9"/>
      </top>
      <bottom style="thin">
        <color rgb="FFD9D9D9"/>
      </bottom>
    </border>
    <border>
      <right style="medium">
        <color rgb="FF000000"/>
      </right>
      <top style="thin">
        <color rgb="FF000000"/>
      </top>
      <bottom style="double">
        <color rgb="FF000000"/>
      </bottom>
    </border>
    <border>
      <left/>
      <right/>
      <top style="thin">
        <color rgb="FFD9D9D9"/>
      </top>
      <bottom style="thin">
        <color rgb="FFD9D9D9"/>
      </bottom>
    </border>
    <border>
      <left/>
      <right style="thin">
        <color rgb="FF000000"/>
      </right>
      <top style="thin">
        <color rgb="FFD9D9D9"/>
      </top>
      <bottom style="thin">
        <color rgb="FFD9D9D9"/>
      </bottom>
    </border>
    <border>
      <right style="thin">
        <color rgb="FF000000"/>
      </right>
      <top style="thin">
        <color rgb="FFD9D9D9"/>
      </top>
    </border>
    <border>
      <left style="medium">
        <color rgb="FF000000"/>
      </left>
      <right style="thin">
        <color rgb="FF000000"/>
      </right>
      <top style="thin">
        <color rgb="FFD9D9D9"/>
      </top>
    </border>
    <border>
      <right style="medium">
        <color rgb="FF000000"/>
      </right>
      <top style="thin">
        <color rgb="FFD9D9D9"/>
      </top>
      <bottom style="thin">
        <color rgb="FFD9D9D9"/>
      </bottom>
    </border>
    <border>
      <right style="thin">
        <color rgb="FF000000"/>
      </right>
      <top style="thin">
        <color rgb="FFD9D9D9"/>
      </top>
      <bottom style="thin">
        <color rgb="FFD9D9D9"/>
      </bottom>
    </border>
    <border>
      <left style="thin">
        <color rgb="FF000000"/>
      </left>
      <top style="thin">
        <color rgb="FFD9D9D9"/>
      </top>
    </border>
    <border>
      <left/>
      <right style="medium">
        <color rgb="FF000000"/>
      </right>
      <top style="thin">
        <color rgb="FFD9D9D9"/>
      </top>
    </border>
    <border>
      <right style="medium">
        <color rgb="FF000000"/>
      </right>
      <top style="thin">
        <color rgb="FFD9D9D9"/>
      </top>
    </border>
    <border>
      <left/>
      <right/>
      <top style="thin">
        <color rgb="FFD9D9D9"/>
      </top>
    </border>
    <border>
      <left style="medium">
        <color rgb="FF000000"/>
      </left>
      <right style="thin">
        <color rgb="FF000000"/>
      </right>
      <top style="thin">
        <color rgb="FFD9D9D9"/>
      </top>
      <bottom style="medium">
        <color rgb="FF000000"/>
      </bottom>
    </border>
    <border>
      <left/>
      <right style="medium">
        <color rgb="FF000000"/>
      </right>
      <top style="thin">
        <color rgb="FFD9D9D9"/>
      </top>
      <bottom style="medium">
        <color rgb="FF000000"/>
      </bottom>
    </border>
    <border>
      <left/>
      <right/>
      <top style="thin">
        <color rgb="FFD9D9D9"/>
      </top>
      <bottom style="medium">
        <color rgb="FF000000"/>
      </bottom>
    </border>
    <border>
      <left style="thin">
        <color rgb="FF284E3F"/>
      </left>
      <right style="thin">
        <color rgb="FFD0E0E3"/>
      </right>
      <top style="thin">
        <color rgb="FFD0E0E3"/>
      </top>
      <bottom style="thin">
        <color rgb="FFD0E0E3"/>
      </bottom>
    </border>
    <border>
      <left style="thin">
        <color rgb="FF000000"/>
      </left>
      <top style="medium">
        <color rgb="FF000000"/>
      </top>
    </border>
    <border>
      <left style="thin">
        <color rgb="FF284E3F"/>
      </left>
      <right style="thin">
        <color rgb="FFF6F8F9"/>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000000"/>
      </left>
      <right/>
      <bottom style="thin">
        <color rgb="FF000000"/>
      </bottom>
    </border>
    <border>
      <left/>
      <right style="thin">
        <color rgb="FF000000"/>
      </right>
      <top style="thin">
        <color rgb="FF000000"/>
      </top>
      <bottom/>
    </border>
    <border>
      <right/>
      <top/>
    </border>
    <border>
      <right/>
    </border>
    <border>
      <right/>
      <bottom style="medium">
        <color rgb="FF000000"/>
      </bottom>
    </border>
    <border>
      <left style="thin">
        <color rgb="FF284E3F"/>
      </left>
      <right style="thin">
        <color rgb="FFFFFFFF"/>
      </right>
      <top style="thin">
        <color rgb="FFFFFFFF"/>
      </top>
      <bottom style="thin">
        <color rgb="FF284E3F"/>
      </bottom>
    </border>
    <border>
      <left style="thin">
        <color rgb="FFB4A7D6"/>
      </left>
      <right style="thin">
        <color rgb="FF284E3F"/>
      </right>
      <top style="thin">
        <color rgb="FFB4A7D6"/>
      </top>
      <bottom style="thin">
        <color rgb="FF284E3F"/>
      </bottom>
    </border>
    <border>
      <left style="thin">
        <color rgb="FF000000"/>
      </left>
      <right/>
      <top style="thin">
        <color rgb="FF000000"/>
      </top>
      <bottom/>
    </border>
    <border>
      <left/>
      <right/>
      <top style="thin">
        <color rgb="FF000000"/>
      </top>
      <bottom/>
    </border>
    <border>
      <left style="thin">
        <color rgb="FF000000"/>
      </left>
      <right/>
      <top/>
      <bottom style="thin">
        <color rgb="FF000000"/>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
      <left/>
      <bottom/>
    </border>
    <border>
      <right/>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000000"/>
      </left>
      <top style="thin">
        <color rgb="FF000000"/>
      </top>
      <bottom/>
    </border>
    <border>
      <right style="thin">
        <color rgb="FF000000"/>
      </right>
      <top style="thin">
        <color rgb="FF000000"/>
      </top>
      <bottom/>
    </border>
    <border>
      <left style="thin">
        <color rgb="FF000000"/>
      </left>
      <top/>
      <bottom/>
    </border>
    <border>
      <right style="thin">
        <color rgb="FF000000"/>
      </right>
      <top/>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s>
  <cellStyleXfs count="1">
    <xf borderId="0" fillId="0" fontId="0" numFmtId="0" applyAlignment="1" applyFont="1"/>
  </cellStyleXfs>
  <cellXfs count="520">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center"/>
    </xf>
    <xf borderId="1" fillId="2" fontId="3" numFmtId="0" xfId="0" applyAlignment="1" applyBorder="1" applyFill="1" applyFont="1">
      <alignment horizontal="center" vertical="center"/>
    </xf>
    <xf borderId="0" fillId="0" fontId="4" numFmtId="0" xfId="0" applyAlignment="1" applyFont="1">
      <alignment vertical="center"/>
    </xf>
    <xf borderId="2" fillId="0" fontId="5" numFmtId="0" xfId="0" applyBorder="1" applyFont="1"/>
    <xf borderId="3" fillId="0" fontId="5" numFmtId="0" xfId="0" applyBorder="1" applyFont="1"/>
    <xf borderId="0" fillId="0" fontId="3" numFmtId="0" xfId="0" applyAlignment="1" applyFont="1">
      <alignment horizontal="center" vertical="center"/>
    </xf>
    <xf borderId="0" fillId="0" fontId="2" numFmtId="0" xfId="0" applyFont="1"/>
    <xf borderId="0" fillId="0" fontId="6" numFmtId="0" xfId="0" applyAlignment="1" applyFont="1">
      <alignment horizontal="left" readingOrder="0" shrinkToFit="0" vertical="center" wrapText="0"/>
    </xf>
    <xf borderId="4" fillId="0" fontId="2" numFmtId="0" xfId="0" applyBorder="1" applyFont="1"/>
    <xf borderId="5" fillId="2" fontId="2" numFmtId="0" xfId="0" applyAlignment="1" applyBorder="1" applyFill="1" applyFont="1">
      <alignment horizontal="center" vertical="center"/>
    </xf>
    <xf borderId="6" fillId="3" fontId="2" numFmtId="0" xfId="0" applyAlignment="1" applyBorder="1" applyFill="1" applyFont="1">
      <alignment horizontal="center" shrinkToFit="0" vertical="center" wrapText="0"/>
    </xf>
    <xf borderId="7" fillId="0" fontId="2" numFmtId="0" xfId="0" applyAlignment="1" applyBorder="1" applyFont="1">
      <alignment horizontal="left" vertical="center"/>
    </xf>
    <xf borderId="8" fillId="0" fontId="2" numFmtId="0" xfId="0" applyAlignment="1" applyBorder="1" applyFont="1">
      <alignment horizontal="center" shrinkToFit="0" vertical="center" wrapText="1"/>
    </xf>
    <xf borderId="8" fillId="0" fontId="5" numFmtId="0" xfId="0" applyBorder="1" applyFont="1"/>
    <xf borderId="9" fillId="0" fontId="2" numFmtId="0" xfId="0" applyAlignment="1" applyBorder="1" applyFont="1">
      <alignment horizontal="left" vertical="center"/>
    </xf>
    <xf borderId="10" fillId="0" fontId="5" numFmtId="0" xfId="0" applyBorder="1" applyFont="1"/>
    <xf borderId="11" fillId="3" fontId="6" numFmtId="0" xfId="0" applyAlignment="1" applyBorder="1" applyFill="1" applyFont="1">
      <alignment shrinkToFit="0" vertical="center" wrapText="0"/>
    </xf>
    <xf borderId="12" fillId="0" fontId="2" numFmtId="0" xfId="0" applyAlignment="1" applyBorder="1" applyFont="1">
      <alignment horizontal="left" vertical="center"/>
    </xf>
    <xf borderId="0" fillId="0" fontId="2" numFmtId="0" xfId="0" applyAlignment="1" applyFont="1">
      <alignment horizontal="left" vertical="center"/>
    </xf>
    <xf borderId="13" fillId="4" fontId="2" numFmtId="0" xfId="0" applyAlignment="1" applyBorder="1" applyFill="1" applyFont="1">
      <alignment vertical="center"/>
    </xf>
    <xf borderId="14" fillId="3" fontId="6" numFmtId="0" xfId="0" applyAlignment="1" applyBorder="1" applyFill="1" applyFont="1">
      <alignment shrinkToFit="0" vertical="center" wrapText="0"/>
    </xf>
    <xf borderId="15" fillId="4" fontId="2" numFmtId="0" xfId="0" applyBorder="1" applyFill="1" applyFont="1"/>
    <xf borderId="16" fillId="5" fontId="2" numFmtId="0" xfId="0" applyAlignment="1" applyBorder="1" applyFill="1" applyFont="1">
      <alignment horizontal="center" shrinkToFit="0" vertical="center" wrapText="0"/>
    </xf>
    <xf borderId="17" fillId="0" fontId="5" numFmtId="0" xfId="0" applyBorder="1" applyFont="1"/>
    <xf borderId="18" fillId="4" fontId="2" numFmtId="0" xfId="0" applyBorder="1" applyFill="1" applyFont="1"/>
    <xf borderId="19" fillId="4" fontId="2" numFmtId="0" xfId="0" applyAlignment="1" applyBorder="1" applyFill="1" applyFont="1">
      <alignment vertical="center"/>
    </xf>
    <xf borderId="20" fillId="2" fontId="2" numFmtId="0" xfId="0" applyAlignment="1" applyBorder="1" applyFill="1" applyFont="1">
      <alignment horizontal="center" vertical="center"/>
    </xf>
    <xf borderId="21" fillId="2" fontId="2" numFmtId="0" xfId="0" applyAlignment="1" applyBorder="1" applyFill="1" applyFont="1">
      <alignment horizontal="center" vertical="center"/>
    </xf>
    <xf borderId="22" fillId="2" fontId="3" numFmtId="0" xfId="0" applyAlignment="1" applyBorder="1" applyFill="1" applyFont="1">
      <alignment horizontal="center" vertical="center"/>
    </xf>
    <xf borderId="23" fillId="4" fontId="2" numFmtId="0" xfId="0" applyAlignment="1" applyBorder="1" applyFill="1" applyFont="1">
      <alignment vertical="center"/>
    </xf>
    <xf borderId="24" fillId="5" fontId="6" numFmtId="0" xfId="0" applyAlignment="1" applyBorder="1" applyFill="1" applyFont="1">
      <alignment shrinkToFit="0" vertical="center" wrapText="0"/>
    </xf>
    <xf borderId="25" fillId="2" fontId="2" numFmtId="0" xfId="0" applyAlignment="1" applyBorder="1" applyFill="1" applyFont="1">
      <alignment horizontal="center" vertical="center"/>
    </xf>
    <xf borderId="26" fillId="0" fontId="5" numFmtId="0" xfId="0" applyBorder="1" applyFont="1"/>
    <xf borderId="27" fillId="2" fontId="2" numFmtId="0" xfId="0" applyAlignment="1" applyBorder="1" applyFill="1" applyFont="1">
      <alignment horizontal="center" shrinkToFit="0" vertical="center" wrapText="1"/>
    </xf>
    <xf borderId="28" fillId="0" fontId="2" numFmtId="0" xfId="0" applyAlignment="1" applyBorder="1" applyFont="1">
      <alignment horizontal="center" shrinkToFit="0" vertical="center" wrapText="1"/>
    </xf>
    <xf borderId="27" fillId="0" fontId="2" numFmtId="0" xfId="0" applyAlignment="1" applyBorder="1" applyFont="1">
      <alignment horizontal="center" shrinkToFit="0" vertical="center" wrapText="1"/>
    </xf>
    <xf borderId="29" fillId="4" fontId="2" numFmtId="0" xfId="0" applyAlignment="1" applyBorder="1" applyFill="1" applyFont="1">
      <alignment vertical="center"/>
    </xf>
    <xf borderId="30" fillId="5" fontId="6" numFmtId="0" xfId="0" applyAlignment="1" applyBorder="1" applyFill="1" applyFont="1">
      <alignment shrinkToFit="0" vertical="center" wrapText="0"/>
    </xf>
    <xf borderId="31" fillId="0" fontId="5" numFmtId="0" xfId="0" applyBorder="1" applyFont="1"/>
    <xf borderId="32" fillId="0" fontId="5" numFmtId="0" xfId="0" applyBorder="1" applyFont="1"/>
    <xf borderId="33" fillId="0" fontId="5" numFmtId="0" xfId="0" applyBorder="1" applyFont="1"/>
    <xf borderId="34" fillId="6" fontId="7" numFmtId="0" xfId="0" applyAlignment="1" applyBorder="1" applyFill="1" applyFont="1">
      <alignment horizontal="center" vertical="center"/>
    </xf>
    <xf borderId="17" fillId="0" fontId="2" numFmtId="164" xfId="0" applyAlignment="1" applyBorder="1" applyFont="1" applyNumberFormat="1">
      <alignment horizontal="center" vertical="center"/>
    </xf>
    <xf borderId="35" fillId="0" fontId="5" numFmtId="0" xfId="0" applyBorder="1" applyFont="1"/>
    <xf borderId="36" fillId="0" fontId="4" numFmtId="0" xfId="0" applyBorder="1" applyFont="1"/>
    <xf borderId="37" fillId="0" fontId="2" numFmtId="0" xfId="0" applyAlignment="1" applyBorder="1" applyFont="1">
      <alignment shrinkToFit="0" vertical="center" wrapText="1"/>
    </xf>
    <xf borderId="34" fillId="0" fontId="2" numFmtId="0" xfId="0" applyAlignment="1" applyBorder="1" applyFont="1">
      <alignment horizontal="center" shrinkToFit="0" vertical="center" wrapText="1"/>
    </xf>
    <xf borderId="38" fillId="6" fontId="7" numFmtId="0" xfId="0" applyBorder="1" applyFill="1" applyFont="1"/>
    <xf borderId="39" fillId="0" fontId="2" numFmtId="0" xfId="0" applyAlignment="1" applyBorder="1" applyFont="1">
      <alignment horizontal="center" shrinkToFit="0" vertical="center" wrapText="1"/>
    </xf>
    <xf borderId="40" fillId="0" fontId="2" numFmtId="0" xfId="0" applyAlignment="1" applyBorder="1" applyFont="1">
      <alignment horizontal="center" shrinkToFit="0" vertical="center" wrapText="1"/>
    </xf>
    <xf borderId="29" fillId="7" fontId="4" numFmtId="0" xfId="0" applyAlignment="1" applyBorder="1" applyFill="1" applyFont="1">
      <alignment horizontal="center" vertical="center"/>
    </xf>
    <xf borderId="41" fillId="0" fontId="2" numFmtId="0" xfId="0" applyAlignment="1" applyBorder="1" applyFont="1">
      <alignment horizontal="center" vertical="center"/>
    </xf>
    <xf borderId="42" fillId="2" fontId="2" numFmtId="0" xfId="0" applyAlignment="1" applyBorder="1" applyFill="1" applyFont="1">
      <alignment horizontal="center" vertical="center"/>
    </xf>
    <xf borderId="0" fillId="0" fontId="2" numFmtId="0" xfId="0" applyAlignment="1" applyFont="1">
      <alignment horizontal="center" vertical="center"/>
    </xf>
    <xf borderId="43" fillId="0" fontId="5" numFmtId="0" xfId="0" applyBorder="1" applyFont="1"/>
    <xf borderId="44" fillId="0" fontId="2" numFmtId="0" xfId="0" applyAlignment="1" applyBorder="1" applyFont="1">
      <alignment horizontal="center" vertical="center"/>
    </xf>
    <xf borderId="45" fillId="0" fontId="2" numFmtId="0" xfId="0" applyBorder="1" applyFont="1"/>
    <xf borderId="46" fillId="0" fontId="5" numFmtId="0" xfId="0" applyBorder="1" applyFont="1"/>
    <xf borderId="13" fillId="3" fontId="2" numFmtId="0" xfId="0" applyAlignment="1" applyBorder="1" applyFill="1" applyFont="1">
      <alignment vertical="center"/>
    </xf>
    <xf borderId="0" fillId="0" fontId="8" numFmtId="0" xfId="0" applyAlignment="1" applyFont="1">
      <alignment vertical="center"/>
    </xf>
    <xf borderId="28" fillId="0" fontId="5" numFmtId="0" xfId="0" applyBorder="1" applyFont="1"/>
    <xf borderId="44" fillId="2" fontId="2" numFmtId="0" xfId="0" applyAlignment="1" applyBorder="1" applyFill="1" applyFont="1">
      <alignment horizontal="center" vertical="center"/>
    </xf>
    <xf borderId="44" fillId="0" fontId="4" numFmtId="0" xfId="0" applyAlignment="1" applyBorder="1" applyFont="1">
      <alignment horizontal="center" shrinkToFit="0" vertical="center" wrapText="1"/>
    </xf>
    <xf borderId="47" fillId="8" fontId="7" numFmtId="0" xfId="0" applyAlignment="1" applyBorder="1" applyFill="1" applyFont="1">
      <alignment horizontal="center" vertical="center"/>
    </xf>
    <xf borderId="48" fillId="8" fontId="7" numFmtId="0" xfId="0" applyBorder="1" applyFill="1" applyFont="1"/>
    <xf borderId="49" fillId="0" fontId="4" numFmtId="0" xfId="0" applyBorder="1" applyFont="1"/>
    <xf borderId="50" fillId="0" fontId="5" numFmtId="0" xfId="0" applyBorder="1" applyFont="1"/>
    <xf borderId="0" fillId="0" fontId="2" numFmtId="0" xfId="0" applyAlignment="1" applyFont="1">
      <alignment horizontal="center" shrinkToFit="0" vertical="center" wrapText="1"/>
    </xf>
    <xf borderId="51" fillId="0" fontId="5" numFmtId="0" xfId="0" applyBorder="1" applyFont="1"/>
    <xf borderId="52" fillId="3" fontId="2" numFmtId="0" xfId="0" applyAlignment="1" applyBorder="1" applyFill="1" applyFont="1">
      <alignment vertical="center"/>
    </xf>
    <xf borderId="53" fillId="2" fontId="2" numFmtId="0" xfId="0" applyAlignment="1" applyBorder="1" applyFill="1" applyFont="1">
      <alignment horizontal="center" vertical="center"/>
    </xf>
    <xf borderId="16" fillId="5" fontId="9" numFmtId="0" xfId="0" applyAlignment="1" applyBorder="1" applyFill="1" applyFont="1">
      <alignment horizontal="center" shrinkToFit="0" vertical="center" wrapText="0"/>
    </xf>
    <xf borderId="54" fillId="6" fontId="7" numFmtId="0" xfId="0" applyAlignment="1" applyBorder="1" applyFill="1" applyFont="1">
      <alignment horizontal="center" vertical="center"/>
    </xf>
    <xf borderId="55" fillId="0" fontId="2" numFmtId="0" xfId="0" applyAlignment="1" applyBorder="1" applyFont="1">
      <alignment horizontal="center" readingOrder="0" shrinkToFit="0" vertical="center" wrapText="1"/>
    </xf>
    <xf borderId="4" fillId="0" fontId="5" numFmtId="0" xfId="0" applyBorder="1" applyFont="1"/>
    <xf borderId="45" fillId="0" fontId="2" numFmtId="0" xfId="0" applyAlignment="1" applyBorder="1" applyFont="1">
      <alignment horizontal="center" vertical="center"/>
    </xf>
    <xf borderId="56" fillId="0" fontId="5" numFmtId="0" xfId="0" applyBorder="1" applyFont="1"/>
    <xf borderId="57" fillId="0" fontId="5" numFmtId="0" xfId="0" applyBorder="1" applyFont="1"/>
    <xf borderId="18" fillId="3" fontId="2" numFmtId="0" xfId="0" applyAlignment="1" applyBorder="1" applyFill="1" applyFont="1">
      <alignment vertical="center"/>
    </xf>
    <xf borderId="29" fillId="9" fontId="8" numFmtId="0" xfId="0" applyAlignment="1" applyBorder="1" applyFill="1" applyFont="1">
      <alignment vertical="center"/>
    </xf>
    <xf borderId="6" fillId="3" fontId="10" numFmtId="0" xfId="0" applyAlignment="1" applyBorder="1" applyFill="1" applyFont="1">
      <alignment horizontal="center" shrinkToFit="0" vertical="center" wrapText="0"/>
    </xf>
    <xf borderId="29" fillId="9" fontId="2" numFmtId="0" xfId="0" applyAlignment="1" applyBorder="1" applyFill="1" applyFont="1">
      <alignment vertical="center"/>
    </xf>
    <xf borderId="29" fillId="9" fontId="4" numFmtId="0" xfId="0" applyAlignment="1" applyBorder="1" applyFill="1" applyFont="1">
      <alignment vertical="center"/>
    </xf>
    <xf borderId="58" fillId="2" fontId="2" numFmtId="0" xfId="0" applyAlignment="1" applyBorder="1" applyFill="1" applyFont="1">
      <alignment horizontal="center" vertical="center"/>
    </xf>
    <xf borderId="29" fillId="10" fontId="8" numFmtId="0" xfId="0" applyAlignment="1" applyBorder="1" applyFill="1" applyFont="1">
      <alignment vertical="center"/>
    </xf>
    <xf borderId="29" fillId="10" fontId="2" numFmtId="0" xfId="0" applyAlignment="1" applyBorder="1" applyFill="1" applyFont="1">
      <alignment vertical="center"/>
    </xf>
    <xf borderId="34" fillId="0" fontId="2" numFmtId="0" xfId="0" applyAlignment="1" applyBorder="1" applyFont="1">
      <alignment horizontal="center" vertical="center"/>
    </xf>
    <xf borderId="40" fillId="0" fontId="2" numFmtId="0" xfId="0" applyAlignment="1" applyBorder="1" applyFont="1">
      <alignment horizontal="center" vertical="center"/>
    </xf>
    <xf borderId="15" fillId="0" fontId="2" numFmtId="165" xfId="0" applyAlignment="1" applyBorder="1" applyFont="1" applyNumberFormat="1">
      <alignment horizontal="center" vertical="center"/>
    </xf>
    <xf borderId="59" fillId="11" fontId="7" numFmtId="0" xfId="0" applyAlignment="1" applyBorder="1" applyFill="1" applyFont="1">
      <alignment horizontal="center" vertical="center"/>
    </xf>
    <xf borderId="16" fillId="5" fontId="10" numFmtId="0" xfId="0" applyAlignment="1" applyBorder="1" applyFill="1" applyFont="1">
      <alignment horizontal="center" shrinkToFit="0" vertical="center" wrapText="0"/>
    </xf>
    <xf borderId="60" fillId="11" fontId="7" numFmtId="0" xfId="0" applyBorder="1" applyFill="1" applyFont="1"/>
    <xf borderId="61" fillId="2" fontId="2" numFmtId="0" xfId="0" applyAlignment="1" applyBorder="1" applyFill="1" applyFont="1">
      <alignment horizontal="center" vertical="center"/>
    </xf>
    <xf borderId="37" fillId="0" fontId="5" numFmtId="0" xfId="0" applyBorder="1" applyFont="1"/>
    <xf borderId="62" fillId="0" fontId="2" numFmtId="0" xfId="0" applyAlignment="1" applyBorder="1" applyFont="1">
      <alignment horizontal="center" vertical="center"/>
    </xf>
    <xf borderId="61" fillId="0" fontId="2" numFmtId="0" xfId="0" applyAlignment="1" applyBorder="1" applyFont="1">
      <alignment horizontal="center" vertical="center"/>
    </xf>
    <xf borderId="6" fillId="3" fontId="9" numFmtId="0" xfId="0" applyAlignment="1" applyBorder="1" applyFill="1" applyFont="1">
      <alignment horizontal="center" shrinkToFit="0" vertical="center" wrapText="0"/>
    </xf>
    <xf borderId="41" fillId="0" fontId="2" numFmtId="0" xfId="0" applyBorder="1" applyFont="1"/>
    <xf borderId="63" fillId="0" fontId="5" numFmtId="0" xfId="0" applyBorder="1" applyFont="1"/>
    <xf borderId="61" fillId="0" fontId="2" numFmtId="0" xfId="0" applyAlignment="1" applyBorder="1" applyFont="1">
      <alignment horizontal="center" shrinkToFit="0" vertical="center" wrapText="1"/>
    </xf>
    <xf borderId="64" fillId="0" fontId="5" numFmtId="0" xfId="0" applyBorder="1" applyFont="1"/>
    <xf borderId="65" fillId="12" fontId="7" numFmtId="0" xfId="0" applyAlignment="1" applyBorder="1" applyFill="1" applyFont="1">
      <alignment horizontal="center" vertical="center"/>
    </xf>
    <xf borderId="66" fillId="0" fontId="5" numFmtId="0" xfId="0" applyBorder="1" applyFont="1"/>
    <xf borderId="67" fillId="12" fontId="4" numFmtId="0" xfId="0" applyBorder="1" applyFill="1" applyFont="1"/>
    <xf borderId="68" fillId="0" fontId="2" numFmtId="0" xfId="0" applyAlignment="1" applyBorder="1" applyFont="1">
      <alignment horizontal="center" vertical="center"/>
    </xf>
    <xf borderId="69" fillId="12" fontId="4" numFmtId="0" xfId="0" applyBorder="1" applyFill="1" applyFont="1"/>
    <xf borderId="24" fillId="5" fontId="6" numFmtId="0" xfId="0" applyAlignment="1" applyBorder="1" applyFill="1" applyFont="1">
      <alignment horizontal="center" shrinkToFit="0" vertical="center" wrapText="0"/>
    </xf>
    <xf borderId="70" fillId="0" fontId="4" numFmtId="0" xfId="0" applyAlignment="1" applyBorder="1" applyFont="1">
      <alignment horizontal="center" vertical="center"/>
    </xf>
    <xf borderId="45" fillId="0" fontId="5" numFmtId="0" xfId="0" applyBorder="1" applyFont="1"/>
    <xf borderId="71" fillId="0" fontId="5" numFmtId="0" xfId="0" applyBorder="1" applyFont="1"/>
    <xf borderId="62" fillId="0" fontId="5" numFmtId="0" xfId="0" applyBorder="1" applyFont="1"/>
    <xf borderId="72" fillId="0" fontId="5" numFmtId="0" xfId="0" applyBorder="1" applyFont="1"/>
    <xf borderId="73" fillId="0" fontId="5" numFmtId="0" xfId="0" applyBorder="1" applyFont="1"/>
    <xf borderId="74" fillId="0" fontId="5" numFmtId="0" xfId="0" applyBorder="1" applyFont="1"/>
    <xf borderId="67" fillId="12" fontId="7" numFmtId="0" xfId="0" applyBorder="1" applyFill="1" applyFont="1"/>
    <xf borderId="69" fillId="12" fontId="7" numFmtId="0" xfId="0" applyBorder="1" applyFill="1" applyFont="1"/>
    <xf borderId="20" fillId="2" fontId="2" numFmtId="0" xfId="0" applyAlignment="1" applyBorder="1" applyFill="1" applyFont="1">
      <alignment horizontal="center" vertical="top"/>
    </xf>
    <xf borderId="75" fillId="7" fontId="2" numFmtId="0" xfId="0" applyAlignment="1" applyBorder="1" applyFill="1" applyFont="1">
      <alignment horizontal="center" shrinkToFit="0" vertical="center" wrapText="1"/>
    </xf>
    <xf borderId="76" fillId="0" fontId="5" numFmtId="0" xfId="0" applyBorder="1" applyFont="1"/>
    <xf borderId="77" fillId="0" fontId="5" numFmtId="0" xfId="0" applyBorder="1" applyFont="1"/>
    <xf borderId="23" fillId="7" fontId="2" numFmtId="0" xfId="0" applyAlignment="1" applyBorder="1" applyFill="1" applyFont="1">
      <alignment horizontal="center" shrinkToFit="0" vertical="center" wrapText="1"/>
    </xf>
    <xf borderId="0" fillId="0" fontId="11" numFmtId="0" xfId="0" applyAlignment="1" applyFont="1">
      <alignment vertical="center"/>
    </xf>
    <xf borderId="15" fillId="7" fontId="2" numFmtId="0" xfId="0" applyAlignment="1" applyBorder="1" applyFill="1" applyFont="1">
      <alignment horizontal="center" shrinkToFit="0" vertical="center" wrapText="1"/>
    </xf>
    <xf borderId="29" fillId="3" fontId="2" numFmtId="0" xfId="0" applyAlignment="1" applyBorder="1" applyFill="1" applyFont="1">
      <alignment vertical="center"/>
    </xf>
    <xf borderId="78" fillId="0" fontId="7" numFmtId="0" xfId="0" applyAlignment="1" applyBorder="1" applyFont="1">
      <alignment horizontal="center" vertical="center"/>
    </xf>
    <xf borderId="79" fillId="0" fontId="5" numFmtId="0" xfId="0" applyBorder="1" applyFont="1"/>
    <xf borderId="26" fillId="0" fontId="2" numFmtId="0" xfId="0" applyAlignment="1" applyBorder="1" applyFont="1">
      <alignment horizontal="center" shrinkToFit="0" vertical="center" wrapText="1"/>
    </xf>
    <xf borderId="80" fillId="13" fontId="7" numFmtId="0" xfId="0" applyAlignment="1" applyBorder="1" applyFill="1" applyFont="1">
      <alignment horizontal="center" vertical="center"/>
    </xf>
    <xf borderId="81" fillId="13" fontId="7" numFmtId="0" xfId="0" applyBorder="1" applyFill="1" applyFont="1"/>
    <xf borderId="15" fillId="0" fontId="2" numFmtId="0" xfId="0" applyAlignment="1" applyBorder="1" applyFont="1">
      <alignment horizontal="center" shrinkToFit="0" vertical="center" wrapText="1"/>
    </xf>
    <xf borderId="78" fillId="3" fontId="4" numFmtId="0" xfId="0" applyBorder="1" applyFill="1" applyFont="1"/>
    <xf borderId="55" fillId="0" fontId="5" numFmtId="0" xfId="0" applyBorder="1" applyFont="1"/>
    <xf borderId="51" fillId="0" fontId="2" numFmtId="0" xfId="0" applyBorder="1" applyFont="1"/>
    <xf borderId="29" fillId="3" fontId="8" numFmtId="0" xfId="0" applyAlignment="1" applyBorder="1" applyFill="1" applyFont="1">
      <alignment vertical="center"/>
    </xf>
    <xf borderId="29" fillId="3" fontId="12" numFmtId="0" xfId="0" applyAlignment="1" applyBorder="1" applyFill="1" applyFont="1">
      <alignment vertical="center"/>
    </xf>
    <xf borderId="15" fillId="0" fontId="2" numFmtId="0" xfId="0" applyAlignment="1" applyBorder="1" applyFont="1">
      <alignment horizontal="left" shrinkToFit="0" vertical="center" wrapText="1"/>
    </xf>
    <xf borderId="48" fillId="8" fontId="4" numFmtId="0" xfId="0" applyBorder="1" applyFill="1" applyFont="1"/>
    <xf borderId="82" fillId="8" fontId="4" numFmtId="0" xfId="0" applyBorder="1" applyFill="1" applyFont="1"/>
    <xf borderId="63" fillId="0" fontId="2" numFmtId="0" xfId="0" applyAlignment="1" applyBorder="1" applyFont="1">
      <alignment horizontal="center" shrinkToFit="0" vertical="center" wrapText="1"/>
    </xf>
    <xf borderId="83" fillId="14" fontId="9" numFmtId="0" xfId="0" applyAlignment="1" applyBorder="1" applyFill="1" applyFont="1">
      <alignment horizontal="center" shrinkToFit="0" vertical="center" wrapText="0"/>
    </xf>
    <xf borderId="84" fillId="3" fontId="2" numFmtId="0" xfId="0" applyAlignment="1" applyBorder="1" applyFill="1" applyFont="1">
      <alignment vertical="center"/>
    </xf>
    <xf borderId="61" fillId="0" fontId="2" numFmtId="0" xfId="0" applyAlignment="1" applyBorder="1" applyFont="1">
      <alignment horizontal="left" shrinkToFit="0" vertical="center" wrapText="1"/>
    </xf>
    <xf borderId="85" fillId="0" fontId="7" numFmtId="0" xfId="0" applyAlignment="1" applyBorder="1" applyFont="1">
      <alignment horizontal="center" vertical="center"/>
    </xf>
    <xf borderId="86" fillId="3" fontId="2" numFmtId="0" xfId="0" applyAlignment="1" applyBorder="1" applyFill="1" applyFont="1">
      <alignment vertical="center"/>
    </xf>
    <xf borderId="87" fillId="3" fontId="9" numFmtId="0" xfId="0" applyAlignment="1" applyBorder="1" applyFill="1" applyFont="1">
      <alignment horizontal="center" shrinkToFit="0" vertical="center" wrapText="0"/>
    </xf>
    <xf borderId="88" fillId="3" fontId="6" numFmtId="0" xfId="0" applyAlignment="1" applyBorder="1" applyFill="1" applyFont="1">
      <alignment shrinkToFit="0" vertical="center" wrapText="0"/>
    </xf>
    <xf borderId="89" fillId="6" fontId="7" numFmtId="0" xfId="0" applyBorder="1" applyFill="1" applyFont="1"/>
    <xf borderId="90" fillId="3" fontId="6" numFmtId="0" xfId="0" applyAlignment="1" applyBorder="1" applyFill="1" applyFont="1">
      <alignment shrinkToFit="0" vertical="center" wrapText="0"/>
    </xf>
    <xf borderId="91" fillId="0" fontId="5" numFmtId="0" xfId="0" applyBorder="1" applyFont="1"/>
    <xf borderId="92" fillId="0" fontId="5" numFmtId="0" xfId="0" applyBorder="1" applyFont="1"/>
    <xf borderId="93" fillId="0" fontId="2" numFmtId="0" xfId="0" applyAlignment="1" applyBorder="1" applyFont="1">
      <alignment horizontal="center" shrinkToFit="0" vertical="center" wrapText="1"/>
    </xf>
    <xf borderId="80" fillId="13" fontId="13" numFmtId="0" xfId="0" applyAlignment="1" applyBorder="1" applyFill="1" applyFont="1">
      <alignment horizontal="center" vertical="center"/>
    </xf>
    <xf borderId="44" fillId="0" fontId="2" numFmtId="0" xfId="0" applyAlignment="1" applyBorder="1" applyFont="1">
      <alignment horizontal="center" shrinkToFit="0" vertical="center" wrapText="1"/>
    </xf>
    <xf borderId="94" fillId="13" fontId="7" numFmtId="0" xfId="0" applyBorder="1" applyFill="1" applyFont="1"/>
    <xf borderId="29" fillId="7" fontId="2" numFmtId="0" xfId="0" applyAlignment="1" applyBorder="1" applyFill="1" applyFont="1">
      <alignment vertical="center"/>
    </xf>
    <xf borderId="95" fillId="6" fontId="14" numFmtId="0" xfId="0" applyAlignment="1" applyBorder="1" applyFill="1" applyFont="1">
      <alignment horizontal="center" shrinkToFit="0" vertical="center" wrapText="1"/>
    </xf>
    <xf borderId="96" fillId="0" fontId="5" numFmtId="0" xfId="0" applyBorder="1" applyFont="1"/>
    <xf borderId="97" fillId="0" fontId="5" numFmtId="0" xfId="0" applyBorder="1" applyFont="1"/>
    <xf borderId="89" fillId="6" fontId="4" numFmtId="0" xfId="0" applyBorder="1" applyFill="1" applyFont="1"/>
    <xf borderId="38" fillId="6" fontId="4" numFmtId="0" xfId="0" applyBorder="1" applyFill="1" applyFont="1"/>
    <xf borderId="15" fillId="0" fontId="15" numFmtId="0" xfId="0" applyAlignment="1" applyBorder="1" applyFont="1">
      <alignment horizontal="center" shrinkToFit="0" vertical="center" wrapText="1"/>
    </xf>
    <xf borderId="15" fillId="0" fontId="16" numFmtId="0" xfId="0" applyAlignment="1" applyBorder="1" applyFont="1">
      <alignment horizontal="left" shrinkToFit="0" vertical="center" wrapText="1"/>
    </xf>
    <xf borderId="55" fillId="0" fontId="2" numFmtId="0" xfId="0" applyAlignment="1" applyBorder="1" applyFont="1">
      <alignment horizontal="center" shrinkToFit="0" vertical="center" wrapText="1"/>
    </xf>
    <xf borderId="98" fillId="11" fontId="4" numFmtId="0" xfId="0" applyBorder="1" applyFill="1" applyFont="1"/>
    <xf borderId="55" fillId="0" fontId="15" numFmtId="0" xfId="0" applyAlignment="1" applyBorder="1" applyFont="1">
      <alignment horizontal="center" shrinkToFit="0" vertical="center" wrapText="1"/>
    </xf>
    <xf borderId="60" fillId="11" fontId="4" numFmtId="0" xfId="0" applyBorder="1" applyFill="1" applyFont="1"/>
    <xf borderId="55" fillId="0" fontId="16" numFmtId="0" xfId="0" applyAlignment="1" applyBorder="1" applyFont="1">
      <alignment horizontal="left" shrinkToFit="0" vertical="center" wrapText="1"/>
    </xf>
    <xf borderId="14" fillId="3" fontId="7" numFmtId="0" xfId="0" applyBorder="1" applyFill="1" applyFont="1"/>
    <xf borderId="62" fillId="0" fontId="8" numFmtId="0" xfId="0" applyAlignment="1" applyBorder="1" applyFont="1">
      <alignment vertical="center"/>
    </xf>
    <xf borderId="99" fillId="15" fontId="14" numFmtId="0" xfId="0" applyAlignment="1" applyBorder="1" applyFill="1" applyFont="1">
      <alignment horizontal="center" shrinkToFit="0" vertical="center" wrapText="1"/>
    </xf>
    <xf borderId="15" fillId="0" fontId="2" numFmtId="0" xfId="0" applyBorder="1" applyFont="1"/>
    <xf borderId="34" fillId="3" fontId="2" numFmtId="0" xfId="0" applyAlignment="1" applyBorder="1" applyFill="1" applyFont="1">
      <alignment vertical="center"/>
    </xf>
    <xf borderId="55" fillId="0" fontId="2" numFmtId="20" xfId="0" applyAlignment="1" applyBorder="1" applyFont="1" applyNumberFormat="1">
      <alignment horizontal="center" shrinkToFit="0" vertical="center" wrapText="1"/>
    </xf>
    <xf borderId="4" fillId="0" fontId="2" numFmtId="0" xfId="0" applyAlignment="1" applyBorder="1" applyFont="1">
      <alignment horizontal="center" shrinkToFit="0" vertical="center" wrapText="1"/>
    </xf>
    <xf borderId="99" fillId="12" fontId="2" numFmtId="0" xfId="0" applyAlignment="1" applyBorder="1" applyFill="1" applyFont="1">
      <alignment shrinkToFit="0" vertical="center" wrapText="1"/>
    </xf>
    <xf borderId="62" fillId="0" fontId="2" numFmtId="0" xfId="0" applyAlignment="1" applyBorder="1" applyFont="1">
      <alignment horizontal="center" shrinkToFit="0" vertical="center" wrapText="1"/>
    </xf>
    <xf borderId="15" fillId="0" fontId="2" numFmtId="0" xfId="0" applyAlignment="1" applyBorder="1" applyFont="1">
      <alignment horizontal="center" vertical="center"/>
    </xf>
    <xf borderId="82" fillId="8" fontId="7" numFmtId="0" xfId="0" applyBorder="1" applyFill="1" applyFont="1"/>
    <xf borderId="29" fillId="7" fontId="2" numFmtId="0" xfId="0" applyAlignment="1" applyBorder="1" applyFill="1" applyFont="1">
      <alignment horizontal="center" vertical="center"/>
    </xf>
    <xf borderId="15" fillId="0" fontId="2" numFmtId="0" xfId="0" applyAlignment="1" applyBorder="1" applyFont="1">
      <alignment shrinkToFit="0" vertical="center" wrapText="1"/>
    </xf>
    <xf borderId="61" fillId="0" fontId="2" numFmtId="0" xfId="0" applyBorder="1" applyFont="1"/>
    <xf borderId="29" fillId="3" fontId="4" numFmtId="0" xfId="0" applyAlignment="1" applyBorder="1" applyFill="1" applyFont="1">
      <alignment vertical="center"/>
    </xf>
    <xf borderId="15" fillId="0" fontId="17" numFmtId="0" xfId="0" applyAlignment="1" applyBorder="1" applyFont="1">
      <alignment horizontal="left" shrinkToFit="0" vertical="center" wrapText="1"/>
    </xf>
    <xf borderId="30" fillId="0" fontId="4" numFmtId="0" xfId="0" applyBorder="1" applyFont="1"/>
    <xf borderId="62" fillId="0" fontId="2" numFmtId="0" xfId="0" applyBorder="1" applyFont="1"/>
    <xf borderId="15" fillId="12" fontId="16" numFmtId="0" xfId="0" applyAlignment="1" applyBorder="1" applyFill="1" applyFont="1">
      <alignment horizontal="left" shrinkToFit="0" vertical="center" wrapText="1"/>
    </xf>
    <xf borderId="100" fillId="3" fontId="4" numFmtId="0" xfId="0" applyAlignment="1" applyBorder="1" applyFill="1" applyFont="1">
      <alignment horizontal="center" vertical="center"/>
    </xf>
    <xf borderId="83" fillId="14" fontId="2" numFmtId="0" xfId="0" applyAlignment="1" applyBorder="1" applyFill="1" applyFont="1">
      <alignment horizontal="center" shrinkToFit="0" vertical="center" wrapText="0"/>
    </xf>
    <xf borderId="101" fillId="0" fontId="5" numFmtId="0" xfId="0" applyBorder="1" applyFont="1"/>
    <xf borderId="62" fillId="0" fontId="18" numFmtId="0" xfId="0" applyAlignment="1" applyBorder="1" applyFont="1">
      <alignment horizontal="center" shrinkToFit="0" vertical="center" wrapText="1"/>
    </xf>
    <xf borderId="55" fillId="0" fontId="19" numFmtId="0" xfId="0" applyAlignment="1" applyBorder="1" applyFont="1">
      <alignment horizontal="left" shrinkToFit="0" vertical="center" wrapText="1"/>
    </xf>
    <xf borderId="98" fillId="11" fontId="7" numFmtId="0" xfId="0" applyBorder="1" applyFill="1" applyFont="1"/>
    <xf borderId="102" fillId="0" fontId="5" numFmtId="0" xfId="0" applyBorder="1" applyFont="1"/>
    <xf borderId="80" fillId="13" fontId="14" numFmtId="0" xfId="0" applyAlignment="1" applyBorder="1" applyFill="1" applyFont="1">
      <alignment horizontal="center" vertical="center"/>
    </xf>
    <xf borderId="81" fillId="13" fontId="4" numFmtId="0" xfId="0" applyBorder="1" applyFill="1" applyFont="1"/>
    <xf borderId="94" fillId="13" fontId="4" numFmtId="0" xfId="0" applyBorder="1" applyFill="1" applyFont="1"/>
    <xf borderId="15" fillId="0" fontId="19" numFmtId="0" xfId="0" applyAlignment="1" applyBorder="1" applyFont="1">
      <alignment horizontal="left" shrinkToFit="0" vertical="center" wrapText="1"/>
    </xf>
    <xf borderId="59" fillId="11" fontId="14" numFmtId="0" xfId="0" applyAlignment="1" applyBorder="1" applyFill="1" applyFont="1">
      <alignment horizontal="center" vertical="center"/>
    </xf>
    <xf borderId="61" fillId="0" fontId="15" numFmtId="0" xfId="0" applyAlignment="1" applyBorder="1" applyFont="1">
      <alignment horizontal="center" shrinkToFit="0" vertical="center" wrapText="1"/>
    </xf>
    <xf borderId="103" fillId="14" fontId="9" numFmtId="0" xfId="0" applyAlignment="1" applyBorder="1" applyFill="1" applyFont="1">
      <alignment horizontal="center" shrinkToFit="0" vertical="center" wrapText="0"/>
    </xf>
    <xf borderId="61" fillId="0" fontId="16" numFmtId="0" xfId="0" applyAlignment="1" applyBorder="1" applyFont="1">
      <alignment horizontal="left" shrinkToFit="0" vertical="center" wrapText="1"/>
    </xf>
    <xf borderId="104" fillId="3" fontId="6" numFmtId="0" xfId="0" applyAlignment="1" applyBorder="1" applyFill="1" applyFont="1">
      <alignment shrinkToFit="0" vertical="center" wrapText="0"/>
    </xf>
    <xf borderId="105" fillId="0" fontId="5" numFmtId="0" xfId="0" applyBorder="1" applyFont="1"/>
    <xf borderId="104" fillId="3" fontId="6" numFmtId="0" xfId="0" applyAlignment="1" applyBorder="1" applyFill="1" applyFont="1">
      <alignment horizontal="center" shrinkToFit="0" vertical="center" wrapText="0"/>
    </xf>
    <xf borderId="70" fillId="0" fontId="15" numFmtId="0" xfId="0" applyAlignment="1" applyBorder="1" applyFont="1">
      <alignment horizontal="center" shrinkToFit="0" vertical="center" wrapText="1"/>
    </xf>
    <xf borderId="70" fillId="0" fontId="16" numFmtId="0" xfId="0" applyAlignment="1" applyBorder="1" applyFont="1">
      <alignment horizontal="left" shrinkToFit="0" vertical="center" wrapText="1"/>
    </xf>
    <xf borderId="106" fillId="3" fontId="6" numFmtId="0" xfId="0" applyAlignment="1" applyBorder="1" applyFill="1" applyFont="1">
      <alignment shrinkToFit="0" vertical="center" wrapText="0"/>
    </xf>
    <xf borderId="107" fillId="0" fontId="5" numFmtId="0" xfId="0" applyBorder="1" applyFont="1"/>
    <xf borderId="47" fillId="8" fontId="2" numFmtId="0" xfId="0" applyAlignment="1" applyBorder="1" applyFill="1" applyFont="1">
      <alignment horizontal="center" vertical="center"/>
    </xf>
    <xf borderId="55" fillId="0" fontId="2" numFmtId="0" xfId="0" applyAlignment="1" applyBorder="1" applyFont="1">
      <alignment shrinkToFit="0" wrapText="1"/>
    </xf>
    <xf borderId="75" fillId="16" fontId="14" numFmtId="0" xfId="0" applyAlignment="1" applyBorder="1" applyFill="1" applyFont="1">
      <alignment horizontal="center" shrinkToFit="0" vertical="center" wrapText="1"/>
    </xf>
    <xf borderId="54" fillId="6" fontId="2" numFmtId="0" xfId="0" applyAlignment="1" applyBorder="1" applyFill="1" applyFont="1">
      <alignment horizontal="center" vertical="center"/>
    </xf>
    <xf borderId="108" fillId="3" fontId="2" numFmtId="0" xfId="0" applyAlignment="1" applyBorder="1" applyFill="1" applyFont="1">
      <alignment horizontal="right" vertical="center"/>
    </xf>
    <xf borderId="108" fillId="3" fontId="2" numFmtId="0" xfId="0" applyAlignment="1" applyBorder="1" applyFill="1" applyFont="1">
      <alignment vertical="center"/>
    </xf>
    <xf borderId="59" fillId="11" fontId="2" numFmtId="0" xfId="0" applyAlignment="1" applyBorder="1" applyFill="1" applyFont="1">
      <alignment horizontal="center" vertical="center"/>
    </xf>
    <xf borderId="45" fillId="0" fontId="2" numFmtId="0" xfId="0" applyAlignment="1" applyBorder="1" applyFont="1">
      <alignment shrinkToFit="0" wrapText="1"/>
    </xf>
    <xf borderId="84" fillId="3" fontId="2" numFmtId="0" xfId="0" applyAlignment="1" applyBorder="1" applyFill="1" applyFont="1">
      <alignment horizontal="right" vertical="center"/>
    </xf>
    <xf borderId="108" fillId="12" fontId="2" numFmtId="0" xfId="0" applyAlignment="1" applyBorder="1" applyFill="1" applyFont="1">
      <alignment vertical="center"/>
    </xf>
    <xf borderId="29" fillId="12" fontId="2" numFmtId="0" xfId="0" applyAlignment="1" applyBorder="1" applyFill="1" applyFont="1">
      <alignment vertical="center"/>
    </xf>
    <xf borderId="29" fillId="6" fontId="2" numFmtId="0" xfId="0" applyAlignment="1" applyBorder="1" applyFill="1" applyFont="1">
      <alignment vertical="center"/>
    </xf>
    <xf borderId="62" fillId="0" fontId="15" numFmtId="0" xfId="0" applyAlignment="1" applyBorder="1" applyFont="1">
      <alignment horizontal="center" shrinkToFit="0" vertical="center" wrapText="1"/>
    </xf>
    <xf borderId="29" fillId="13" fontId="2" numFmtId="0" xfId="0" applyAlignment="1" applyBorder="1" applyFill="1" applyFont="1">
      <alignment vertical="center"/>
    </xf>
    <xf borderId="62" fillId="0" fontId="16" numFmtId="0" xfId="0" applyAlignment="1" applyBorder="1" applyFont="1">
      <alignment horizontal="left" shrinkToFit="0" vertical="center" wrapText="1"/>
    </xf>
    <xf borderId="29" fillId="17" fontId="2" numFmtId="0" xfId="0" applyAlignment="1" applyBorder="1" applyFill="1" applyFont="1">
      <alignment vertical="center"/>
    </xf>
    <xf borderId="29" fillId="11" fontId="2" numFmtId="0" xfId="0" applyAlignment="1" applyBorder="1" applyFill="1" applyFont="1">
      <alignment vertical="center"/>
    </xf>
    <xf borderId="109" fillId="18" fontId="2" numFmtId="0" xfId="0" applyAlignment="1" applyBorder="1" applyFill="1" applyFont="1">
      <alignment horizontal="center" vertical="center"/>
    </xf>
    <xf borderId="43" fillId="0" fontId="2" numFmtId="0" xfId="0" applyAlignment="1" applyBorder="1" applyFont="1">
      <alignment vertical="center"/>
    </xf>
    <xf borderId="62" fillId="0" fontId="2" numFmtId="0" xfId="0" applyAlignment="1" applyBorder="1" applyFont="1">
      <alignment vertical="center"/>
    </xf>
    <xf borderId="70" fillId="0" fontId="2" numFmtId="0" xfId="0" applyAlignment="1" applyBorder="1" applyFont="1">
      <alignment shrinkToFit="0" vertical="center" wrapText="1"/>
    </xf>
    <xf borderId="29" fillId="19" fontId="2" numFmtId="0" xfId="0" applyAlignment="1" applyBorder="1" applyFill="1" applyFont="1">
      <alignment vertical="center"/>
    </xf>
    <xf borderId="65" fillId="12" fontId="2" numFmtId="0" xfId="0" applyAlignment="1" applyBorder="1" applyFill="1" applyFont="1">
      <alignment horizontal="center" vertical="center"/>
    </xf>
    <xf borderId="0" fillId="0" fontId="20" numFmtId="0" xfId="0" applyFont="1"/>
    <xf borderId="108" fillId="7" fontId="2" numFmtId="0" xfId="0" applyAlignment="1" applyBorder="1" applyFill="1" applyFont="1">
      <alignment vertical="center"/>
    </xf>
    <xf borderId="0" fillId="0" fontId="21" numFmtId="0" xfId="0" applyFont="1"/>
    <xf borderId="110" fillId="0" fontId="2" numFmtId="0" xfId="0" applyBorder="1" applyFont="1"/>
    <xf borderId="111" fillId="12" fontId="2" numFmtId="0" xfId="0" applyAlignment="1" applyBorder="1" applyFill="1" applyFont="1">
      <alignment horizontal="center" vertical="center"/>
    </xf>
    <xf borderId="1" fillId="20" fontId="2" numFmtId="0" xfId="0" applyAlignment="1" applyBorder="1" applyFill="1" applyFont="1">
      <alignment horizontal="center" vertical="center"/>
    </xf>
    <xf borderId="1" fillId="6" fontId="2" numFmtId="0" xfId="0" applyAlignment="1" applyBorder="1" applyFill="1" applyFont="1">
      <alignment horizontal="center" vertical="center"/>
    </xf>
    <xf borderId="56" fillId="0" fontId="2" numFmtId="0" xfId="0" applyAlignment="1" applyBorder="1" applyFont="1">
      <alignment vertical="center"/>
    </xf>
    <xf borderId="4" fillId="0" fontId="2" numFmtId="0" xfId="0" applyAlignment="1" applyBorder="1" applyFont="1">
      <alignment vertical="center"/>
    </xf>
    <xf borderId="1" fillId="21" fontId="2" numFmtId="0" xfId="0" applyAlignment="1" applyBorder="1" applyFill="1" applyFont="1">
      <alignment horizontal="center" vertical="center"/>
    </xf>
    <xf borderId="112" fillId="3" fontId="2" numFmtId="0" xfId="0" applyAlignment="1" applyBorder="1" applyFill="1" applyFont="1">
      <alignment vertical="center"/>
    </xf>
    <xf borderId="1" fillId="11" fontId="4" numFmtId="0" xfId="0" applyAlignment="1" applyBorder="1" applyFill="1" applyFont="1">
      <alignment horizontal="center" vertical="center"/>
    </xf>
    <xf borderId="111" fillId="22" fontId="2" numFmtId="0" xfId="0" applyAlignment="1" applyBorder="1" applyFill="1" applyFont="1">
      <alignment horizontal="center" vertical="center"/>
    </xf>
    <xf borderId="113" fillId="23" fontId="2" numFmtId="0" xfId="0" applyAlignment="1" applyBorder="1" applyFill="1" applyFont="1">
      <alignment horizontal="center" readingOrder="0"/>
    </xf>
    <xf borderId="114" fillId="23" fontId="2" numFmtId="0" xfId="0" applyAlignment="1" applyBorder="1" applyFill="1" applyFont="1">
      <alignment horizontal="center"/>
    </xf>
    <xf borderId="115" fillId="23" fontId="2" numFmtId="0" xfId="0" applyAlignment="1" applyBorder="1" applyFill="1" applyFont="1">
      <alignment horizontal="center"/>
    </xf>
    <xf borderId="114" fillId="23" fontId="2" numFmtId="0" xfId="0" applyAlignment="1" applyBorder="1" applyFill="1" applyFont="1">
      <alignment horizontal="center" vertical="bottom"/>
    </xf>
    <xf borderId="115" fillId="23" fontId="2" numFmtId="0" xfId="0" applyAlignment="1" applyBorder="1" applyFill="1" applyFont="1">
      <alignment horizontal="center" vertical="bottom"/>
    </xf>
    <xf borderId="116" fillId="24" fontId="2" numFmtId="0" xfId="0" applyAlignment="1" applyBorder="1" applyFill="1" applyFont="1">
      <alignment horizontal="center" shrinkToFit="0" vertical="center" wrapText="1"/>
    </xf>
    <xf borderId="115" fillId="23" fontId="4" numFmtId="0" xfId="0" applyAlignment="1" applyBorder="1" applyFill="1" applyFont="1">
      <alignment horizontal="center" vertical="bottom"/>
    </xf>
    <xf borderId="55" fillId="0" fontId="14" numFmtId="0" xfId="0" applyAlignment="1" applyBorder="1" applyFont="1">
      <alignment shrinkToFit="0" vertical="center" wrapText="1"/>
    </xf>
    <xf borderId="114" fillId="23" fontId="4" numFmtId="0" xfId="0" applyAlignment="1" applyBorder="1" applyFill="1" applyFont="1">
      <alignment horizontal="center" vertical="bottom"/>
    </xf>
    <xf borderId="117" fillId="23" fontId="2" numFmtId="0" xfId="0" applyAlignment="1" applyBorder="1" applyFill="1" applyFont="1">
      <alignment horizontal="center" vertical="bottom"/>
    </xf>
    <xf borderId="118" fillId="0" fontId="2" numFmtId="0" xfId="0" applyAlignment="1" applyBorder="1" applyFont="1">
      <alignment horizontal="center" readingOrder="0" vertical="center"/>
    </xf>
    <xf borderId="29" fillId="7" fontId="22" numFmtId="0" xfId="0" applyAlignment="1" applyBorder="1" applyFill="1" applyFont="1">
      <alignment horizontal="center" vertical="center"/>
    </xf>
    <xf borderId="118" fillId="0" fontId="2" numFmtId="0" xfId="0" applyAlignment="1" applyBorder="1" applyFont="1">
      <alignment readingOrder="0"/>
    </xf>
    <xf borderId="119" fillId="0" fontId="4" numFmtId="0" xfId="0" applyAlignment="1" applyBorder="1" applyFont="1">
      <alignment readingOrder="0"/>
    </xf>
    <xf borderId="120" fillId="0" fontId="15" numFmtId="0" xfId="0" applyAlignment="1" applyBorder="1" applyFont="1">
      <alignment horizontal="center" shrinkToFit="0" vertical="center" wrapText="1"/>
    </xf>
    <xf borderId="45" fillId="0" fontId="4" numFmtId="0" xfId="0" applyBorder="1" applyFont="1"/>
    <xf borderId="121" fillId="0" fontId="5" numFmtId="0" xfId="0" applyBorder="1" applyFont="1"/>
    <xf borderId="43" fillId="0" fontId="2" numFmtId="0" xfId="0" applyAlignment="1" applyBorder="1" applyFont="1">
      <alignment readingOrder="0"/>
    </xf>
    <xf borderId="43" fillId="0" fontId="14" numFmtId="0" xfId="0" applyAlignment="1" applyBorder="1" applyFont="1">
      <alignment vertical="center"/>
    </xf>
    <xf borderId="120" fillId="0" fontId="16" numFmtId="0" xfId="0" applyAlignment="1" applyBorder="1" applyFont="1">
      <alignment horizontal="left" shrinkToFit="0" vertical="center" wrapText="1"/>
    </xf>
    <xf borderId="92" fillId="0" fontId="2" numFmtId="0" xfId="0" applyAlignment="1" applyBorder="1" applyFont="1">
      <alignment readingOrder="0"/>
    </xf>
    <xf borderId="122" fillId="0" fontId="5" numFmtId="0" xfId="0" applyBorder="1" applyFont="1"/>
    <xf borderId="123" fillId="0" fontId="5" numFmtId="0" xfId="0" applyBorder="1" applyFont="1"/>
    <xf borderId="92" fillId="0" fontId="4" numFmtId="0" xfId="0" applyAlignment="1" applyBorder="1" applyFont="1">
      <alignment readingOrder="0"/>
    </xf>
    <xf borderId="43" fillId="0" fontId="4" numFmtId="0" xfId="0" applyAlignment="1" applyBorder="1" applyFont="1">
      <alignment readingOrder="0"/>
    </xf>
    <xf borderId="0" fillId="0" fontId="2" numFmtId="0" xfId="0" applyAlignment="1" applyFont="1">
      <alignment readingOrder="0"/>
    </xf>
    <xf borderId="80" fillId="13" fontId="2" numFmtId="0" xfId="0" applyAlignment="1" applyBorder="1" applyFill="1" applyFont="1">
      <alignment horizontal="center" vertical="center"/>
    </xf>
    <xf borderId="118" fillId="0" fontId="5" numFmtId="0" xfId="0" applyBorder="1" applyFont="1"/>
    <xf borderId="43" fillId="0" fontId="2" numFmtId="0" xfId="0" applyBorder="1" applyFont="1"/>
    <xf borderId="18" fillId="22" fontId="2" numFmtId="0" xfId="0" applyBorder="1" applyFill="1" applyFont="1"/>
    <xf borderId="43" fillId="0" fontId="4" numFmtId="0" xfId="0" applyBorder="1" applyFont="1"/>
    <xf borderId="56" fillId="0" fontId="14" numFmtId="0" xfId="0" applyAlignment="1" applyBorder="1" applyFont="1">
      <alignment vertical="center"/>
    </xf>
    <xf borderId="112" fillId="22" fontId="2" numFmtId="0" xfId="0" applyAlignment="1" applyBorder="1" applyFill="1" applyFont="1">
      <alignment vertical="center"/>
    </xf>
    <xf borderId="0" fillId="0" fontId="14" numFmtId="0" xfId="0" applyFont="1"/>
    <xf borderId="124" fillId="0" fontId="2" numFmtId="0" xfId="0" applyBorder="1" applyFont="1"/>
    <xf borderId="118" fillId="0" fontId="2" numFmtId="0" xfId="0" applyBorder="1" applyFont="1"/>
    <xf borderId="92" fillId="0" fontId="23" numFmtId="0" xfId="0" applyBorder="1" applyFont="1"/>
    <xf borderId="92" fillId="0" fontId="2" numFmtId="0" xfId="0" applyBorder="1" applyFont="1"/>
    <xf borderId="125" fillId="0" fontId="4" numFmtId="0" xfId="0" applyAlignment="1" applyBorder="1" applyFont="1">
      <alignment readingOrder="0"/>
    </xf>
    <xf borderId="126" fillId="3" fontId="2" numFmtId="0" xfId="0" applyAlignment="1" applyBorder="1" applyFill="1" applyFont="1">
      <alignment horizontal="center" shrinkToFit="0" vertical="center" wrapText="1"/>
    </xf>
    <xf borderId="127" fillId="25" fontId="2" numFmtId="0" xfId="0" applyAlignment="1" applyBorder="1" applyFill="1" applyFont="1">
      <alignment horizontal="center" shrinkToFit="0" vertical="center" wrapText="1"/>
    </xf>
    <xf borderId="43" fillId="0" fontId="23" numFmtId="0" xfId="0" applyBorder="1" applyFont="1"/>
    <xf borderId="63" fillId="0" fontId="2" numFmtId="0" xfId="0" applyAlignment="1" applyBorder="1" applyFont="1">
      <alignment vertical="center"/>
    </xf>
    <xf borderId="128" fillId="3" fontId="2" numFmtId="0" xfId="0" applyBorder="1" applyFill="1" applyFont="1"/>
    <xf borderId="128" fillId="3" fontId="4" numFmtId="0" xfId="0" applyBorder="1" applyFill="1" applyFont="1"/>
    <xf borderId="32" fillId="0" fontId="2" numFmtId="0" xfId="0" applyBorder="1" applyFont="1"/>
    <xf borderId="31" fillId="0" fontId="2" numFmtId="0" xfId="0" applyBorder="1" applyFont="1"/>
    <xf borderId="35" fillId="0" fontId="2" numFmtId="0" xfId="0" applyBorder="1" applyFont="1"/>
    <xf borderId="129" fillId="0" fontId="5" numFmtId="0" xfId="0" applyBorder="1" applyFont="1"/>
    <xf borderId="33" fillId="0" fontId="2" numFmtId="0" xfId="0" applyAlignment="1" applyBorder="1" applyFont="1">
      <alignment horizontal="center" readingOrder="0" vertical="center"/>
    </xf>
    <xf borderId="55" fillId="0" fontId="17" numFmtId="0" xfId="0" applyAlignment="1" applyBorder="1" applyFont="1">
      <alignment horizontal="left" shrinkToFit="0" vertical="center" wrapText="1"/>
    </xf>
    <xf borderId="130" fillId="0" fontId="2" numFmtId="0" xfId="0" applyBorder="1" applyFont="1"/>
    <xf borderId="131" fillId="0" fontId="5" numFmtId="0" xfId="0" applyBorder="1" applyFont="1"/>
    <xf borderId="132" fillId="3" fontId="24" numFmtId="0" xfId="0" applyBorder="1" applyFill="1" applyFont="1"/>
    <xf borderId="133" fillId="0" fontId="2" numFmtId="0" xfId="0" applyBorder="1" applyFont="1"/>
    <xf borderId="130" fillId="0" fontId="23" numFmtId="0" xfId="0" applyBorder="1" applyFont="1"/>
    <xf borderId="10" fillId="0" fontId="2" numFmtId="0" xfId="0" applyBorder="1" applyFont="1"/>
    <xf borderId="134" fillId="0" fontId="2" numFmtId="0" xfId="0" applyBorder="1" applyFont="1"/>
    <xf borderId="10" fillId="0" fontId="4" numFmtId="0" xfId="0" applyBorder="1" applyFont="1"/>
    <xf borderId="130" fillId="0" fontId="4" numFmtId="0" xfId="0" applyBorder="1" applyFont="1"/>
    <xf borderId="0" fillId="0" fontId="23" numFmtId="0" xfId="0" applyFont="1"/>
    <xf borderId="135" fillId="0" fontId="2" numFmtId="0" xfId="0" applyBorder="1" applyFont="1"/>
    <xf borderId="136" fillId="3" fontId="2" numFmtId="0" xfId="0" applyBorder="1" applyFill="1" applyFont="1"/>
    <xf borderId="137" fillId="0" fontId="2" numFmtId="0" xfId="0" applyBorder="1" applyFont="1"/>
    <xf borderId="138" fillId="0" fontId="2" numFmtId="0" xfId="0" applyBorder="1" applyFont="1"/>
    <xf borderId="92" fillId="0" fontId="4" numFmtId="0" xfId="0" applyBorder="1" applyFont="1"/>
    <xf borderId="139" fillId="0" fontId="5" numFmtId="0" xfId="0" applyBorder="1" applyFont="1"/>
    <xf borderId="140" fillId="0" fontId="5" numFmtId="0" xfId="0" applyBorder="1" applyFont="1"/>
    <xf borderId="141" fillId="0" fontId="23" numFmtId="0" xfId="0" applyBorder="1" applyFont="1"/>
    <xf borderId="142" fillId="0" fontId="5" numFmtId="0" xfId="0" applyBorder="1" applyFont="1"/>
    <xf borderId="143" fillId="0" fontId="15" numFmtId="0" xfId="0" applyAlignment="1" applyBorder="1" applyFont="1">
      <alignment horizontal="center" shrinkToFit="0" vertical="center" wrapText="1"/>
    </xf>
    <xf borderId="144" fillId="0" fontId="5" numFmtId="0" xfId="0" applyBorder="1" applyFont="1"/>
    <xf borderId="143" fillId="0" fontId="16" numFmtId="0" xfId="0" applyAlignment="1" applyBorder="1" applyFont="1">
      <alignment horizontal="left" shrinkToFit="0" vertical="center" wrapText="1"/>
    </xf>
    <xf borderId="145" fillId="0" fontId="5" numFmtId="0" xfId="0" applyBorder="1" applyFont="1"/>
    <xf borderId="146" fillId="3" fontId="23" numFmtId="0" xfId="0" applyBorder="1" applyFill="1" applyFont="1"/>
    <xf borderId="147" fillId="0" fontId="5" numFmtId="0" xfId="0" applyBorder="1" applyFont="1"/>
    <xf borderId="146" fillId="3" fontId="2" numFmtId="0" xfId="0" applyBorder="1" applyFill="1" applyFont="1"/>
    <xf borderId="137" fillId="0" fontId="4" numFmtId="0" xfId="0" applyBorder="1" applyFont="1"/>
    <xf borderId="148" fillId="3" fontId="2" numFmtId="0" xfId="0" applyBorder="1" applyFill="1" applyFont="1"/>
    <xf borderId="116" fillId="25" fontId="2" numFmtId="0" xfId="0" applyAlignment="1" applyBorder="1" applyFill="1" applyFont="1">
      <alignment horizontal="center" shrinkToFit="0" vertical="center" wrapText="1"/>
    </xf>
    <xf borderId="149" fillId="3" fontId="2" numFmtId="0" xfId="0" applyBorder="1" applyFill="1" applyFont="1"/>
    <xf borderId="150" fillId="0" fontId="23" numFmtId="0" xfId="0" applyBorder="1" applyFont="1"/>
    <xf borderId="119" fillId="0" fontId="2" numFmtId="0" xfId="0" applyBorder="1" applyFont="1"/>
    <xf borderId="151" fillId="0" fontId="2" numFmtId="0" xfId="0" applyBorder="1" applyFont="1"/>
    <xf borderId="149" fillId="3" fontId="4" numFmtId="0" xfId="0" applyBorder="1" applyFill="1" applyFont="1"/>
    <xf borderId="141" fillId="0" fontId="2" numFmtId="0" xfId="0" applyBorder="1" applyFont="1"/>
    <xf borderId="4" fillId="0" fontId="8" numFmtId="0" xfId="0" applyAlignment="1" applyBorder="1" applyFont="1">
      <alignment vertical="center"/>
    </xf>
    <xf borderId="135" fillId="3" fontId="2" numFmtId="0" xfId="0" applyBorder="1" applyFill="1" applyFont="1"/>
    <xf borderId="125" fillId="0" fontId="23" numFmtId="0" xfId="0" applyBorder="1" applyFont="1"/>
    <xf borderId="150" fillId="0" fontId="4" numFmtId="0" xfId="0" applyBorder="1" applyFont="1"/>
    <xf borderId="148" fillId="3" fontId="23" numFmtId="0" xfId="0" applyBorder="1" applyFill="1" applyFont="1"/>
    <xf borderId="136" fillId="3" fontId="23" numFmtId="0" xfId="0" applyBorder="1" applyFill="1" applyFont="1"/>
    <xf borderId="152" fillId="0" fontId="2" numFmtId="0" xfId="0" applyBorder="1" applyFont="1"/>
    <xf borderId="125" fillId="0" fontId="4" numFmtId="0" xfId="0" applyBorder="1" applyFont="1"/>
    <xf borderId="150" fillId="0" fontId="2" numFmtId="0" xfId="0" applyBorder="1" applyFont="1"/>
    <xf borderId="152" fillId="0" fontId="23" numFmtId="0" xfId="0" applyBorder="1" applyFont="1"/>
    <xf borderId="136" fillId="3" fontId="4" numFmtId="0" xfId="0" applyBorder="1" applyFill="1" applyFont="1"/>
    <xf borderId="153" fillId="0" fontId="2" numFmtId="0" xfId="0" applyBorder="1" applyFont="1"/>
    <xf borderId="152" fillId="3" fontId="2" numFmtId="0" xfId="0" applyBorder="1" applyFill="1" applyFont="1"/>
    <xf borderId="116" fillId="10" fontId="2" numFmtId="0" xfId="0" applyAlignment="1" applyBorder="1" applyFill="1" applyFont="1">
      <alignment horizontal="center" shrinkToFit="0" vertical="center" wrapText="1"/>
    </xf>
    <xf borderId="152" fillId="0" fontId="4" numFmtId="0" xfId="0" applyBorder="1" applyFont="1"/>
    <xf borderId="29" fillId="7" fontId="2" numFmtId="0" xfId="0" applyAlignment="1" applyBorder="1" applyFill="1" applyFont="1">
      <alignment horizontal="left" vertical="center"/>
    </xf>
    <xf borderId="120" fillId="0" fontId="25" numFmtId="0" xfId="0" applyAlignment="1" applyBorder="1" applyFont="1">
      <alignment horizontal="left" shrinkToFit="0" vertical="center" wrapText="1"/>
    </xf>
    <xf borderId="154" fillId="0" fontId="2" numFmtId="0" xfId="0" applyBorder="1" applyFont="1"/>
    <xf borderId="146" fillId="0" fontId="2" numFmtId="0" xfId="0" applyBorder="1" applyFont="1"/>
    <xf borderId="15" fillId="0" fontId="26" numFmtId="0" xfId="0" applyAlignment="1" applyBorder="1" applyFont="1">
      <alignment horizontal="left" shrinkToFit="0" vertical="center" wrapText="1"/>
    </xf>
    <xf borderId="151" fillId="3" fontId="2" numFmtId="0" xfId="0" applyBorder="1" applyFill="1" applyFont="1"/>
    <xf borderId="155" fillId="3" fontId="2" numFmtId="0" xfId="0" applyBorder="1" applyFill="1" applyFont="1"/>
    <xf borderId="156" fillId="3" fontId="4" numFmtId="0" xfId="0" applyBorder="1" applyFill="1" applyFont="1"/>
    <xf borderId="157" fillId="3" fontId="2" numFmtId="0" xfId="0" applyBorder="1" applyFill="1" applyFont="1"/>
    <xf borderId="127" fillId="10" fontId="2" numFmtId="0" xfId="0" applyAlignment="1" applyBorder="1" applyFill="1" applyFont="1">
      <alignment horizontal="center" shrinkToFit="0" vertical="center" wrapText="1"/>
    </xf>
    <xf borderId="116" fillId="3" fontId="14" numFmtId="0" xfId="0" applyAlignment="1" applyBorder="1" applyFill="1" applyFont="1">
      <alignment horizontal="center" shrinkToFit="0" vertical="center" wrapText="1"/>
    </xf>
    <xf borderId="45" fillId="0" fontId="2" numFmtId="0" xfId="0" applyAlignment="1" applyBorder="1" applyFont="1">
      <alignment vertical="center"/>
    </xf>
    <xf borderId="73" fillId="0" fontId="2" numFmtId="0" xfId="0" applyBorder="1" applyFont="1"/>
    <xf borderId="158" fillId="3" fontId="2" numFmtId="0" xfId="0" applyBorder="1" applyFill="1" applyFont="1"/>
    <xf borderId="159" fillId="3" fontId="2" numFmtId="0" xfId="0" applyBorder="1" applyFill="1" applyFont="1"/>
    <xf borderId="74" fillId="0" fontId="2" numFmtId="0" xfId="0" applyBorder="1" applyFont="1"/>
    <xf borderId="66" fillId="0" fontId="2" numFmtId="0" xfId="0" applyBorder="1" applyFont="1"/>
    <xf borderId="29" fillId="7" fontId="4" numFmtId="0" xfId="0" applyAlignment="1" applyBorder="1" applyFill="1" applyFont="1">
      <alignment vertical="center"/>
    </xf>
    <xf borderId="159" fillId="3" fontId="4" numFmtId="0" xfId="0" applyBorder="1" applyFill="1" applyFont="1"/>
    <xf borderId="74" fillId="0" fontId="4" numFmtId="0" xfId="0" applyBorder="1" applyFont="1"/>
    <xf borderId="160" fillId="3" fontId="2" numFmtId="0" xfId="0" applyBorder="1" applyFill="1" applyFont="1"/>
    <xf borderId="18" fillId="3" fontId="2" numFmtId="0" xfId="0" applyBorder="1" applyFill="1" applyFont="1"/>
    <xf borderId="7" fillId="0" fontId="2" numFmtId="0" xfId="0" applyAlignment="1" applyBorder="1" applyFont="1">
      <alignment horizontal="left"/>
    </xf>
    <xf borderId="9" fillId="0" fontId="2" numFmtId="0" xfId="0" applyAlignment="1" applyBorder="1" applyFont="1">
      <alignment horizontal="left"/>
    </xf>
    <xf borderId="12" fillId="0" fontId="2" numFmtId="0" xfId="0" applyAlignment="1" applyBorder="1" applyFont="1">
      <alignment horizontal="left"/>
    </xf>
    <xf borderId="161" fillId="26" fontId="2" numFmtId="0" xfId="0" applyBorder="1" applyFill="1" applyFont="1"/>
    <xf borderId="52" fillId="3" fontId="2" numFmtId="0" xfId="0" applyBorder="1" applyFill="1" applyFont="1"/>
    <xf borderId="162" fillId="0" fontId="2" numFmtId="0" xfId="0" applyAlignment="1" applyBorder="1" applyFont="1">
      <alignment horizontal="center" shrinkToFit="0" vertical="center" wrapText="1"/>
    </xf>
    <xf borderId="130" fillId="0" fontId="5" numFmtId="0" xfId="0" applyBorder="1" applyFont="1"/>
    <xf borderId="44" fillId="0" fontId="15" numFmtId="0" xfId="0" applyAlignment="1" applyBorder="1" applyFont="1">
      <alignment horizontal="center" shrinkToFit="0" vertical="center" wrapText="1"/>
    </xf>
    <xf borderId="163" fillId="0" fontId="2" numFmtId="0" xfId="0" applyBorder="1" applyFont="1"/>
    <xf borderId="11" fillId="3" fontId="4" numFmtId="0" xfId="0" applyBorder="1" applyFill="1" applyFont="1"/>
    <xf borderId="44" fillId="0" fontId="16" numFmtId="0" xfId="0" applyAlignment="1" applyBorder="1" applyFont="1">
      <alignment horizontal="left" shrinkToFit="0" vertical="center" wrapText="1"/>
    </xf>
    <xf borderId="164" fillId="0" fontId="2" numFmtId="0" xfId="0" applyBorder="1" applyFont="1"/>
    <xf borderId="24" fillId="0" fontId="4" numFmtId="0" xfId="0" applyBorder="1" applyFont="1"/>
    <xf borderId="30" fillId="0" fontId="4" numFmtId="0" xfId="0" applyAlignment="1" applyBorder="1" applyFont="1">
      <alignment vertical="center"/>
    </xf>
    <xf borderId="11" fillId="0" fontId="4" numFmtId="0" xfId="0" applyBorder="1" applyFont="1"/>
    <xf borderId="70" fillId="0" fontId="2" numFmtId="0" xfId="0" applyAlignment="1" applyBorder="1" applyFont="1">
      <alignment horizontal="center" shrinkToFit="0" vertical="center" wrapText="1"/>
    </xf>
    <xf borderId="14" fillId="0" fontId="4" numFmtId="0" xfId="0" applyBorder="1" applyFont="1"/>
    <xf borderId="165" fillId="0" fontId="5" numFmtId="0" xfId="0" applyBorder="1" applyFont="1"/>
    <xf borderId="126" fillId="3" fontId="14" numFmtId="0" xfId="0" applyAlignment="1" applyBorder="1" applyFill="1" applyFont="1">
      <alignment horizontal="center" shrinkToFit="0" vertical="center" wrapText="1"/>
    </xf>
    <xf borderId="143" fillId="0" fontId="27" numFmtId="0" xfId="0" applyAlignment="1" applyBorder="1" applyFont="1">
      <alignment horizontal="center" shrinkToFit="0" vertical="center" wrapText="1"/>
    </xf>
    <xf borderId="143" fillId="0" fontId="19" numFmtId="0" xfId="0" applyAlignment="1" applyBorder="1" applyFont="1">
      <alignment horizontal="left" shrinkToFit="0" vertical="center" wrapText="1"/>
    </xf>
    <xf borderId="14" fillId="7" fontId="4" numFmtId="0" xfId="0" applyBorder="1" applyFill="1" applyFont="1"/>
    <xf borderId="61" fillId="23" fontId="2" numFmtId="0" xfId="0" applyAlignment="1" applyBorder="1" applyFill="1" applyFont="1">
      <alignment horizontal="center" vertical="center"/>
    </xf>
    <xf borderId="166" fillId="23" fontId="2" numFmtId="0" xfId="0" applyAlignment="1" applyBorder="1" applyFill="1" applyFont="1">
      <alignment horizontal="center" vertical="center"/>
    </xf>
    <xf borderId="86" fillId="23" fontId="2" numFmtId="0" xfId="0" applyAlignment="1" applyBorder="1" applyFill="1" applyFont="1">
      <alignment horizontal="center" vertical="center"/>
    </xf>
    <xf borderId="62" fillId="0" fontId="14" numFmtId="0" xfId="0" applyAlignment="1" applyBorder="1" applyFont="1">
      <alignment shrinkToFit="0" vertical="center" wrapText="1"/>
    </xf>
    <xf borderId="55" fillId="0" fontId="28" numFmtId="0" xfId="0" applyAlignment="1" applyBorder="1" applyFont="1">
      <alignment horizontal="left" shrinkToFit="0" vertical="center" wrapText="1"/>
    </xf>
    <xf borderId="143" fillId="0" fontId="29" numFmtId="0" xfId="0" applyAlignment="1" applyBorder="1" applyFont="1">
      <alignment horizontal="left" shrinkToFit="0" vertical="center" wrapText="1"/>
    </xf>
    <xf borderId="116" fillId="3" fontId="2" numFmtId="0" xfId="0" applyAlignment="1" applyBorder="1" applyFill="1" applyFont="1">
      <alignment horizontal="center" shrinkToFit="0" vertical="center" wrapText="1"/>
    </xf>
    <xf borderId="167" fillId="0" fontId="5" numFmtId="0" xfId="0" applyBorder="1" applyFont="1"/>
    <xf borderId="168" fillId="0" fontId="5" numFmtId="0" xfId="0" applyBorder="1" applyFont="1"/>
    <xf borderId="169" fillId="0" fontId="5" numFmtId="0" xfId="0" applyBorder="1" applyFont="1"/>
    <xf borderId="73" fillId="0" fontId="2" numFmtId="0" xfId="0" applyAlignment="1" applyBorder="1" applyFont="1">
      <alignment horizontal="center" shrinkToFit="0" vertical="center" wrapText="1"/>
    </xf>
    <xf borderId="0" fillId="0" fontId="14" numFmtId="0" xfId="0" applyAlignment="1" applyFont="1">
      <alignment vertical="center"/>
    </xf>
    <xf borderId="73" fillId="0" fontId="15" numFmtId="0" xfId="0" applyAlignment="1" applyBorder="1" applyFont="1">
      <alignment horizontal="center" shrinkToFit="0" vertical="center" wrapText="1"/>
    </xf>
    <xf borderId="73" fillId="0" fontId="16" numFmtId="0" xfId="0" applyAlignment="1" applyBorder="1" applyFont="1">
      <alignment horizontal="left" shrinkToFit="0" vertical="center" wrapText="1"/>
    </xf>
    <xf borderId="20" fillId="2" fontId="2" numFmtId="0" xfId="0" applyAlignment="1" applyBorder="1" applyFill="1" applyFont="1">
      <alignment horizontal="center" shrinkToFit="0" vertical="top" wrapText="1"/>
    </xf>
    <xf borderId="4" fillId="0" fontId="4" numFmtId="0" xfId="0" applyAlignment="1" applyBorder="1" applyFont="1">
      <alignment vertical="center"/>
    </xf>
    <xf borderId="32" fillId="0" fontId="2" numFmtId="20" xfId="0" applyAlignment="1" applyBorder="1" applyFont="1" applyNumberFormat="1">
      <alignment horizontal="center" shrinkToFit="0" vertical="center" wrapText="1"/>
    </xf>
    <xf borderId="32" fillId="0" fontId="2" numFmtId="0" xfId="0" applyAlignment="1" applyBorder="1" applyFont="1">
      <alignment horizontal="center" shrinkToFit="0" vertical="center" wrapText="1"/>
    </xf>
    <xf borderId="32" fillId="0" fontId="15" numFmtId="0" xfId="0" applyAlignment="1" applyBorder="1" applyFont="1">
      <alignment horizontal="center" shrinkToFit="0" vertical="center" wrapText="1"/>
    </xf>
    <xf borderId="32" fillId="0" fontId="16" numFmtId="0" xfId="0" applyAlignment="1" applyBorder="1" applyFont="1">
      <alignment horizontal="left" shrinkToFit="0" vertical="center" wrapText="1"/>
    </xf>
    <xf borderId="170" fillId="0" fontId="2" numFmtId="0" xfId="0" applyBorder="1" applyFont="1"/>
    <xf borderId="0" fillId="0" fontId="7" numFmtId="0" xfId="0" applyAlignment="1" applyFont="1">
      <alignment vertical="center"/>
    </xf>
    <xf borderId="104" fillId="0" fontId="4" numFmtId="0" xfId="0" applyBorder="1" applyFont="1"/>
    <xf borderId="171" fillId="11" fontId="4" numFmtId="0" xfId="0" applyBorder="1" applyFill="1" applyFont="1"/>
    <xf borderId="118" fillId="0" fontId="30" numFmtId="0" xfId="0" applyAlignment="1" applyBorder="1" applyFont="1">
      <alignment horizontal="left" shrinkToFit="0" vertical="top" wrapText="1"/>
    </xf>
    <xf borderId="63" fillId="0" fontId="4" numFmtId="0" xfId="0" applyAlignment="1" applyBorder="1" applyFont="1">
      <alignment vertical="center"/>
    </xf>
    <xf borderId="22" fillId="0" fontId="2" numFmtId="0" xfId="0" applyAlignment="1" applyBorder="1" applyFont="1">
      <alignment shrinkToFit="0" vertical="center" wrapText="1"/>
    </xf>
    <xf borderId="29" fillId="12" fontId="4" numFmtId="0" xfId="0" applyAlignment="1" applyBorder="1" applyFill="1" applyFont="1">
      <alignment vertical="center"/>
    </xf>
    <xf borderId="0" fillId="0" fontId="14" numFmtId="0" xfId="0" applyAlignment="1" applyFont="1">
      <alignment horizontal="center" vertical="center"/>
    </xf>
    <xf borderId="63" fillId="0" fontId="2" numFmtId="0" xfId="0" applyAlignment="1" applyBorder="1" applyFont="1">
      <alignment shrinkToFit="0" vertical="center" wrapText="1"/>
    </xf>
    <xf borderId="63" fillId="0" fontId="2" numFmtId="0" xfId="0" applyBorder="1" applyFont="1"/>
    <xf borderId="0" fillId="0" fontId="2" numFmtId="0" xfId="0" applyAlignment="1" applyFont="1">
      <alignment shrinkToFit="0" vertical="center" wrapText="1"/>
    </xf>
    <xf borderId="0" fillId="0" fontId="2" numFmtId="0" xfId="0" applyAlignment="1" applyFont="1">
      <alignment horizontal="right" vertical="center"/>
    </xf>
    <xf borderId="55" fillId="0" fontId="2" numFmtId="0" xfId="0" applyBorder="1" applyFont="1"/>
    <xf borderId="51" fillId="0" fontId="2" numFmtId="0" xfId="0" applyAlignment="1" applyBorder="1" applyFont="1">
      <alignment vertical="center"/>
    </xf>
    <xf borderId="41" fillId="10" fontId="2" numFmtId="0" xfId="0" applyAlignment="1" applyBorder="1" applyFill="1" applyFont="1">
      <alignment horizontal="center" shrinkToFit="0" vertical="center" wrapText="1"/>
    </xf>
    <xf borderId="14" fillId="7" fontId="31" numFmtId="0" xfId="0" applyBorder="1" applyFill="1" applyFont="1"/>
    <xf borderId="14" fillId="0" fontId="4" numFmtId="0" xfId="0" applyAlignment="1" applyBorder="1" applyFont="1">
      <alignment vertical="center"/>
    </xf>
    <xf borderId="29" fillId="7" fontId="2" numFmtId="0" xfId="0" applyAlignment="1" applyBorder="1" applyFill="1" applyFont="1">
      <alignment shrinkToFit="0" vertical="center" wrapText="1"/>
    </xf>
    <xf borderId="127" fillId="25" fontId="2" numFmtId="0" xfId="0" applyAlignment="1" applyBorder="1" applyFill="1" applyFont="1">
      <alignment horizontal="center" shrinkToFit="0" wrapText="1"/>
    </xf>
    <xf borderId="0" fillId="0" fontId="32" numFmtId="0" xfId="0" applyAlignment="1" applyFont="1">
      <alignment vertical="center"/>
    </xf>
    <xf borderId="0" fillId="0" fontId="33" numFmtId="0" xfId="0" applyAlignment="1" applyFont="1">
      <alignment horizontal="right" vertical="center"/>
    </xf>
    <xf borderId="45" fillId="0" fontId="2" numFmtId="0" xfId="0" applyAlignment="1" applyBorder="1" applyFont="1">
      <alignment horizontal="center" shrinkToFit="0" vertical="center" wrapText="1"/>
    </xf>
    <xf borderId="43" fillId="0" fontId="2" numFmtId="0" xfId="0" applyAlignment="1" applyBorder="1" applyFont="1">
      <alignment horizontal="center" vertical="center"/>
    </xf>
    <xf borderId="61" fillId="0" fontId="2" numFmtId="0" xfId="0" applyAlignment="1" applyBorder="1" applyFont="1">
      <alignment horizontal="right" vertical="center"/>
    </xf>
    <xf borderId="172" fillId="9" fontId="8" numFmtId="0" xfId="0" applyAlignment="1" applyBorder="1" applyFill="1" applyFont="1">
      <alignment horizontal="left" vertical="center"/>
    </xf>
    <xf borderId="173" fillId="10" fontId="8" numFmtId="0" xfId="0" applyAlignment="1" applyBorder="1" applyFill="1" applyFont="1">
      <alignment horizontal="left" vertical="center"/>
    </xf>
    <xf borderId="173" fillId="10" fontId="2" numFmtId="0" xfId="0" applyAlignment="1" applyBorder="1" applyFill="1" applyFont="1">
      <alignment horizontal="left" vertical="center"/>
    </xf>
    <xf borderId="63" fillId="0" fontId="2" numFmtId="0" xfId="0" applyAlignment="1" applyBorder="1" applyFont="1">
      <alignment horizontal="left" vertical="center"/>
    </xf>
    <xf borderId="63" fillId="0" fontId="2" numFmtId="0" xfId="0" applyAlignment="1" applyBorder="1" applyFont="1">
      <alignment horizontal="center" vertical="center"/>
    </xf>
    <xf borderId="55" fillId="0" fontId="2" numFmtId="0" xfId="0" applyAlignment="1" applyBorder="1" applyFont="1">
      <alignment horizontal="right" vertical="center"/>
    </xf>
    <xf borderId="174" fillId="9" fontId="8" numFmtId="0" xfId="0" applyAlignment="1" applyBorder="1" applyFill="1" applyFont="1">
      <alignment horizontal="left" vertical="center"/>
    </xf>
    <xf borderId="112" fillId="9" fontId="2" numFmtId="0" xfId="0" applyAlignment="1" applyBorder="1" applyFill="1" applyFont="1">
      <alignment horizontal="left" vertical="center"/>
    </xf>
    <xf borderId="4" fillId="0" fontId="2" numFmtId="0" xfId="0" applyAlignment="1" applyBorder="1" applyFont="1">
      <alignment horizontal="left" vertical="center"/>
    </xf>
    <xf borderId="41" fillId="0" fontId="2" numFmtId="20" xfId="0" applyAlignment="1" applyBorder="1" applyFont="1" applyNumberFormat="1">
      <alignment horizontal="center" vertical="center"/>
    </xf>
    <xf borderId="34" fillId="0" fontId="2" numFmtId="0" xfId="0" applyAlignment="1" applyBorder="1" applyFont="1">
      <alignment vertical="center"/>
    </xf>
    <xf borderId="175" fillId="0" fontId="2" numFmtId="0" xfId="0" applyBorder="1" applyFont="1"/>
    <xf borderId="176" fillId="0" fontId="4" numFmtId="0" xfId="0" applyBorder="1" applyFont="1"/>
    <xf borderId="100" fillId="7" fontId="2" numFmtId="0" xfId="0" applyAlignment="1" applyBorder="1" applyFill="1" applyFont="1">
      <alignment vertical="center"/>
    </xf>
    <xf borderId="177" fillId="0" fontId="5" numFmtId="0" xfId="0" applyBorder="1" applyFont="1"/>
    <xf borderId="178" fillId="0" fontId="5" numFmtId="0" xfId="0" applyBorder="1" applyFont="1"/>
    <xf borderId="0" fillId="0" fontId="14" numFmtId="0" xfId="0" applyAlignment="1" applyFont="1">
      <alignment horizontal="left" shrinkToFit="0" vertical="center" wrapText="1"/>
    </xf>
    <xf borderId="0" fillId="0" fontId="15" numFmtId="0" xfId="0" applyAlignment="1" applyFont="1">
      <alignment horizontal="left" shrinkToFit="0" vertical="center" wrapText="1"/>
    </xf>
    <xf borderId="179" fillId="27" fontId="34" numFmtId="0" xfId="0" applyAlignment="1" applyBorder="1" applyFill="1" applyFont="1">
      <alignment horizontal="center" vertical="center"/>
    </xf>
    <xf borderId="179" fillId="27" fontId="34" numFmtId="0" xfId="0" applyAlignment="1" applyBorder="1" applyFill="1" applyFont="1">
      <alignment horizontal="center" readingOrder="0" vertical="center"/>
    </xf>
    <xf borderId="180" fillId="28" fontId="14" numFmtId="0" xfId="0" applyAlignment="1" applyBorder="1" applyFill="1" applyFont="1">
      <alignment horizontal="left" shrinkToFit="0" vertical="center" wrapText="1"/>
    </xf>
    <xf borderId="181" fillId="0" fontId="5" numFmtId="0" xfId="0" applyBorder="1" applyFont="1"/>
    <xf borderId="182" fillId="0" fontId="5" numFmtId="0" xfId="0" applyBorder="1" applyFont="1"/>
    <xf borderId="179" fillId="0" fontId="2" numFmtId="0" xfId="0" applyAlignment="1" applyBorder="1" applyFont="1">
      <alignment horizontal="left" shrinkToFit="0" vertical="center" wrapText="1"/>
    </xf>
    <xf borderId="179" fillId="0" fontId="2" numFmtId="0" xfId="0" applyAlignment="1" applyBorder="1" applyFont="1">
      <alignment horizontal="center" vertical="center"/>
    </xf>
    <xf borderId="179" fillId="0" fontId="2" numFmtId="0" xfId="0" applyAlignment="1" applyBorder="1" applyFont="1">
      <alignment horizontal="center" readingOrder="0" vertical="center"/>
    </xf>
    <xf borderId="179" fillId="0" fontId="15" numFmtId="0" xfId="0" applyAlignment="1" applyBorder="1" applyFont="1">
      <alignment horizontal="left" shrinkToFit="0" vertical="center" wrapText="1"/>
    </xf>
    <xf borderId="179" fillId="0" fontId="4" numFmtId="0" xfId="0" applyAlignment="1" applyBorder="1" applyFont="1">
      <alignment horizontal="left" readingOrder="0" shrinkToFit="0" vertical="center" wrapText="1"/>
    </xf>
    <xf borderId="179" fillId="0" fontId="2" numFmtId="0" xfId="0" applyAlignment="1" applyBorder="1" applyFont="1">
      <alignment horizontal="left" readingOrder="0" shrinkToFit="0" vertical="center" wrapText="1"/>
    </xf>
    <xf borderId="61" fillId="29" fontId="35" numFmtId="0" xfId="0" applyAlignment="1" applyBorder="1" applyFill="1" applyFont="1">
      <alignment horizontal="center" vertical="center"/>
    </xf>
    <xf borderId="34" fillId="29" fontId="2" numFmtId="0" xfId="0" applyAlignment="1" applyBorder="1" applyFill="1" applyFont="1">
      <alignment horizontal="center"/>
    </xf>
    <xf borderId="34" fillId="0" fontId="2" numFmtId="0" xfId="0" applyAlignment="1" applyBorder="1" applyFont="1">
      <alignment horizontal="center"/>
    </xf>
    <xf borderId="15" fillId="0" fontId="2" numFmtId="0" xfId="0" applyAlignment="1" applyBorder="1" applyFont="1">
      <alignment horizontal="center"/>
    </xf>
    <xf borderId="13" fillId="29" fontId="2" numFmtId="0" xfId="0" applyAlignment="1" applyBorder="1" applyFill="1" applyFont="1">
      <alignment horizontal="center"/>
    </xf>
    <xf borderId="183" fillId="29" fontId="2" numFmtId="0" xfId="0" applyAlignment="1" applyBorder="1" applyFill="1" applyFont="1">
      <alignment horizontal="center"/>
    </xf>
    <xf borderId="184" fillId="0" fontId="5" numFmtId="0" xfId="0" applyBorder="1" applyFont="1"/>
    <xf borderId="0" fillId="0" fontId="2" numFmtId="0" xfId="0" applyAlignment="1" applyFont="1">
      <alignment horizontal="left"/>
    </xf>
    <xf borderId="13" fillId="16" fontId="2" numFmtId="0" xfId="0" applyAlignment="1" applyBorder="1" applyFill="1" applyFont="1">
      <alignment shrinkToFit="0" wrapText="1"/>
    </xf>
    <xf borderId="13" fillId="16" fontId="2" numFmtId="0" xfId="0" applyAlignment="1" applyBorder="1" applyFill="1" applyFont="1">
      <alignment readingOrder="0"/>
    </xf>
    <xf borderId="172" fillId="16" fontId="2" numFmtId="166" xfId="0" applyBorder="1" applyFill="1" applyFont="1" applyNumberFormat="1"/>
    <xf borderId="13" fillId="16" fontId="2" numFmtId="166" xfId="0" applyBorder="1" applyFill="1" applyFont="1" applyNumberFormat="1"/>
    <xf borderId="166" fillId="16" fontId="2" numFmtId="0" xfId="0" applyBorder="1" applyFill="1" applyFont="1"/>
    <xf borderId="183" fillId="16" fontId="2" numFmtId="0" xfId="0" applyBorder="1" applyFill="1" applyFont="1"/>
    <xf borderId="29" fillId="16" fontId="2" numFmtId="0" xfId="0" applyBorder="1" applyFill="1" applyFont="1"/>
    <xf borderId="45" fillId="0" fontId="2" numFmtId="0" xfId="0" applyAlignment="1" applyBorder="1" applyFont="1">
      <alignment readingOrder="0"/>
    </xf>
    <xf borderId="62" fillId="0" fontId="2" numFmtId="166" xfId="0" applyBorder="1" applyFont="1" applyNumberFormat="1"/>
    <xf borderId="45" fillId="0" fontId="2" numFmtId="166" xfId="0" applyBorder="1" applyFont="1" applyNumberFormat="1"/>
    <xf borderId="52" fillId="16" fontId="2" numFmtId="0" xfId="0" applyBorder="1" applyFill="1" applyFont="1"/>
    <xf borderId="52" fillId="16" fontId="2" numFmtId="0" xfId="0" applyAlignment="1" applyBorder="1" applyFill="1" applyFont="1">
      <alignment readingOrder="0"/>
    </xf>
    <xf borderId="108" fillId="16" fontId="2" numFmtId="166" xfId="0" applyAlignment="1" applyBorder="1" applyFill="1" applyFont="1" applyNumberFormat="1">
      <alignment readingOrder="0"/>
    </xf>
    <xf borderId="52" fillId="16" fontId="2" numFmtId="166" xfId="0" applyBorder="1" applyFill="1" applyFont="1" applyNumberFormat="1"/>
    <xf borderId="84" fillId="16" fontId="2" numFmtId="0" xfId="0" applyBorder="1" applyFill="1" applyFont="1"/>
    <xf borderId="183" fillId="16" fontId="36" numFmtId="0" xfId="0" applyBorder="1" applyFill="1" applyFont="1"/>
    <xf borderId="62" fillId="0" fontId="37" numFmtId="0" xfId="0" applyBorder="1" applyFont="1"/>
    <xf borderId="62" fillId="0" fontId="2" numFmtId="166" xfId="0" applyAlignment="1" applyBorder="1" applyFont="1" applyNumberFormat="1">
      <alignment readingOrder="0"/>
    </xf>
    <xf borderId="62" fillId="0" fontId="38" numFmtId="0" xfId="0" applyAlignment="1" applyBorder="1" applyFont="1">
      <alignment readingOrder="0"/>
    </xf>
    <xf borderId="0" fillId="0" fontId="2" numFmtId="0" xfId="0" applyAlignment="1" applyFont="1">
      <alignment horizontal="left" shrinkToFit="0" vertical="center" wrapText="1"/>
    </xf>
    <xf borderId="62" fillId="0" fontId="39" numFmtId="0" xfId="0" applyAlignment="1" applyBorder="1" applyFont="1">
      <alignment readingOrder="0"/>
    </xf>
    <xf borderId="62" fillId="0" fontId="40" numFmtId="0" xfId="0" applyAlignment="1" applyBorder="1" applyFont="1">
      <alignment readingOrder="0"/>
    </xf>
    <xf borderId="108" fillId="16" fontId="2" numFmtId="166" xfId="0" applyBorder="1" applyFill="1" applyFont="1" applyNumberFormat="1"/>
    <xf borderId="185" fillId="16" fontId="2" numFmtId="0" xfId="0" applyBorder="1" applyFill="1" applyFont="1"/>
    <xf borderId="186" fillId="0" fontId="5" numFmtId="0" xfId="0" applyBorder="1" applyFont="1"/>
    <xf borderId="185" fillId="16" fontId="2" numFmtId="166" xfId="0" applyBorder="1" applyFill="1" applyFont="1" applyNumberFormat="1"/>
    <xf borderId="186" fillId="16" fontId="2" numFmtId="0" xfId="0" applyBorder="1" applyFill="1" applyFont="1"/>
    <xf borderId="62" fillId="16" fontId="2" numFmtId="166" xfId="0" applyAlignment="1" applyBorder="1" applyFill="1" applyFont="1" applyNumberFormat="1">
      <alignment readingOrder="0"/>
    </xf>
    <xf borderId="45" fillId="16" fontId="2" numFmtId="0" xfId="0" applyAlignment="1" applyBorder="1" applyFill="1" applyFont="1">
      <alignment readingOrder="0"/>
    </xf>
    <xf borderId="45" fillId="16" fontId="2" numFmtId="166" xfId="0" applyBorder="1" applyFill="1" applyFont="1" applyNumberFormat="1"/>
    <xf borderId="45" fillId="16" fontId="2" numFmtId="0" xfId="0" applyBorder="1" applyFill="1" applyFont="1"/>
    <xf borderId="62" fillId="16" fontId="2" numFmtId="0" xfId="0" applyBorder="1" applyFill="1" applyFont="1"/>
    <xf borderId="51" fillId="0" fontId="2" numFmtId="166" xfId="0" applyBorder="1" applyFont="1" applyNumberFormat="1"/>
    <xf borderId="0" fillId="0" fontId="41" numFmtId="0" xfId="0" applyAlignment="1" applyFont="1">
      <alignment horizontal="left" shrinkToFit="0" vertical="center" wrapText="1"/>
    </xf>
    <xf borderId="0" fillId="0" fontId="41" numFmtId="0" xfId="0" applyFont="1"/>
    <xf borderId="0" fillId="0" fontId="41" numFmtId="166" xfId="0" applyFont="1" applyNumberFormat="1"/>
    <xf borderId="0" fillId="0" fontId="41" numFmtId="0" xfId="0" applyAlignment="1" applyFont="1">
      <alignment horizontal="right"/>
    </xf>
    <xf borderId="0" fillId="0" fontId="41" numFmtId="3" xfId="0" applyFont="1" applyNumberFormat="1"/>
    <xf borderId="0" fillId="0" fontId="41" numFmtId="166" xfId="0" applyAlignment="1" applyFont="1" applyNumberFormat="1">
      <alignment horizontal="right"/>
    </xf>
    <xf borderId="0" fillId="0" fontId="41" numFmtId="166" xfId="0" applyAlignment="1" applyFont="1" applyNumberFormat="1">
      <alignment horizontal="right" shrinkToFit="0" wrapText="1"/>
    </xf>
    <xf borderId="0" fillId="0" fontId="41" numFmtId="0" xfId="0" applyAlignment="1" applyFont="1">
      <alignment horizontal="left"/>
    </xf>
    <xf borderId="0" fillId="0" fontId="41" numFmtId="166" xfId="0" applyAlignment="1" applyFont="1" applyNumberFormat="1">
      <alignment shrinkToFit="0" wrapText="1"/>
    </xf>
    <xf borderId="187" fillId="2" fontId="3" numFmtId="0" xfId="0" applyAlignment="1" applyBorder="1" applyFill="1" applyFont="1">
      <alignment horizontal="center" vertical="center"/>
    </xf>
    <xf borderId="188" fillId="0" fontId="5" numFmtId="0" xfId="0" applyBorder="1" applyFont="1"/>
    <xf borderId="189" fillId="2" fontId="2" numFmtId="0" xfId="0" applyAlignment="1" applyBorder="1" applyFill="1" applyFont="1">
      <alignment horizontal="center" vertical="center"/>
    </xf>
    <xf borderId="189" fillId="0" fontId="2" numFmtId="0" xfId="0" applyAlignment="1" applyBorder="1" applyFont="1">
      <alignment horizontal="left" shrinkToFit="0" vertical="center" wrapText="1"/>
    </xf>
    <xf borderId="189" fillId="0" fontId="2" numFmtId="0" xfId="0" applyAlignment="1" applyBorder="1" applyFont="1">
      <alignment horizontal="center"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3. 하이클럽 출석부-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38" displayName="표1" name="표1" id="1">
  <tableColumns count="5">
    <tableColumn name="하클" id="1"/>
    <tableColumn name="참석" id="2"/>
    <tableColumn name="15분 이내 지각" id="3"/>
    <tableColumn name="30분 이내 지각" id="4"/>
    <tableColumn name="불참" id="5"/>
  </tableColumns>
  <tableStyleInfo name="3. 하이클럽 출석부-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coupang.com/vp/products/9644393705?itemId=28820360636&amp;vendorItemId=92379360232&amp;q=%ED%95%9C%EB%B3%B5+%ED%85%8C%EB%94%94%EB%B2%A0%EC%96%B4&amp;searchId=4751b41f6345277&amp;sourceType=search&amp;itemsCount=60&amp;searchRank=18&amp;rank=18&amp;traceId=mtlmkycs" TargetMode="External"/><Relationship Id="rId2" Type="http://schemas.openxmlformats.org/officeDocument/2006/relationships/hyperlink" Target="https://www.coupang.com/vp/products/7318043254?itemId=27744620578&amp;vendorItemId=94705631183&amp;pickType=COU_PICK&amp;q=%EB%B6%80%EC%B1%84&amp;searchId=3fdd492d563136&amp;sourceType=search&amp;itemsCount=60&amp;searchRank=7&amp;rank=7&amp;traceId=mt80cdlv" TargetMode="External"/><Relationship Id="rId3" Type="http://schemas.openxmlformats.org/officeDocument/2006/relationships/hyperlink" Target="https://www.coupang.com/vp/products/8787170058?itemId=23845461133&amp;vendorItemId=92635685675&amp;pickType=COU_PICK&amp;q=%EC%A4%84%EB%8B%A4%EB%A6%AC%EA%B8%B0+%EB%B0%A7%EC%A4%84&amp;searchId=4f54e3b67177886&amp;sourceType=search&amp;itemsCount=36&amp;searchRank=2&amp;rank=2&amp;traceId=mtjp9u5p" TargetMode="External"/><Relationship Id="rId4" Type="http://schemas.openxmlformats.org/officeDocument/2006/relationships/hyperlink" Target="https://www.coupang.com/vp/products/9624877004?itemId=28743603153&amp;vendorItemId=95682830899&amp;q=%ED%8A%B8%EB%9E%99+%EC%BD%98&amp;searchId=510e137a2779059&amp;sourceType=search&amp;itemsCount=36&amp;searchRank=2&amp;rank=2&amp;traceId=mtjpa8ph" TargetMode="External"/><Relationship Id="rId5" Type="http://schemas.openxmlformats.org/officeDocument/2006/relationships/hyperlink" Target="https://www.coupang.com/vp/products/8536337026?itemId=24712001027&amp;vendorItemId=91721359780&amp;q=%ED%98%B8%EB%A3%A8%EB%9D%BC%EA%B8%B0&amp;searchId=63aab6b71950509&amp;sourceType=search&amp;itemsCount=60&amp;searchRank=2&amp;rank=2&amp;traceId=mtk6djzk" TargetMode="External"/><Relationship Id="rId6" Type="http://schemas.openxmlformats.org/officeDocument/2006/relationships/hyperlink" Target="https://www.coupang.com/vp/products/9289511493?itemId=27708409648&amp;vendorItemId=94669986504&amp;q=%EB%BF%85%EB%A7%9D%EC%B9%98&amp;searchId=beeb72d9101969803&amp;sourceType=search&amp;itemsCount=60&amp;searchRank=3&amp;rank=3&amp;traceId=mtk6z30y" TargetMode="External"/><Relationship Id="rId7"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3"/>
    <col customWidth="1" min="2" max="2" width="10.71"/>
    <col customWidth="1" min="3" max="3" width="23.71"/>
    <col customWidth="1" min="4" max="4" width="33.29"/>
    <col customWidth="1" min="5" max="5" width="60.43"/>
    <col customWidth="1" min="6" max="6" width="4.71"/>
    <col customWidth="1" min="7" max="26" width="8.71"/>
  </cols>
  <sheetData>
    <row r="1" ht="16.5" customHeight="1">
      <c r="A1" s="1"/>
      <c r="B1" s="1"/>
      <c r="C1" s="1"/>
      <c r="D1" s="1"/>
      <c r="E1" s="1"/>
      <c r="F1" s="1"/>
      <c r="G1" s="1"/>
      <c r="H1" s="1"/>
      <c r="I1" s="1"/>
      <c r="J1" s="1"/>
      <c r="K1" s="1"/>
      <c r="L1" s="1"/>
      <c r="M1" s="1"/>
      <c r="N1" s="1"/>
      <c r="O1" s="1"/>
      <c r="P1" s="1"/>
      <c r="Q1" s="1"/>
      <c r="R1" s="1"/>
      <c r="S1" s="1"/>
      <c r="T1" s="1"/>
      <c r="U1" s="1"/>
      <c r="V1" s="1"/>
      <c r="W1" s="1"/>
      <c r="X1" s="1"/>
      <c r="Y1" s="1"/>
      <c r="Z1" s="1"/>
    </row>
    <row r="2" ht="30.0" customHeight="1">
      <c r="A2" s="1"/>
      <c r="B2" s="3" t="s">
        <v>0</v>
      </c>
      <c r="C2" s="5"/>
      <c r="D2" s="5"/>
      <c r="E2" s="6"/>
      <c r="F2" s="7"/>
      <c r="G2" s="1"/>
      <c r="H2" s="1"/>
      <c r="I2" s="1"/>
      <c r="J2" s="1"/>
      <c r="K2" s="1"/>
      <c r="L2" s="1"/>
      <c r="M2" s="1"/>
      <c r="N2" s="1"/>
      <c r="O2" s="1"/>
      <c r="P2" s="1"/>
      <c r="Q2" s="1"/>
      <c r="R2" s="1"/>
      <c r="S2" s="1"/>
      <c r="T2" s="1"/>
      <c r="U2" s="1"/>
      <c r="V2" s="1"/>
      <c r="W2" s="1"/>
      <c r="X2" s="1"/>
      <c r="Y2" s="1"/>
      <c r="Z2" s="1"/>
    </row>
    <row r="3" ht="300.0" customHeight="1">
      <c r="A3" s="1"/>
      <c r="B3" s="11" t="s">
        <v>6</v>
      </c>
      <c r="C3" s="14" t="s">
        <v>7</v>
      </c>
      <c r="D3" s="15"/>
      <c r="E3" s="17"/>
      <c r="F3" s="20"/>
      <c r="G3" s="1"/>
      <c r="H3" s="1"/>
      <c r="I3" s="1"/>
      <c r="J3" s="1"/>
      <c r="K3" s="1"/>
      <c r="L3" s="1"/>
      <c r="M3" s="1"/>
      <c r="N3" s="1"/>
      <c r="O3" s="1"/>
      <c r="P3" s="1"/>
      <c r="Q3" s="1"/>
      <c r="R3" s="1"/>
      <c r="S3" s="1"/>
      <c r="T3" s="1"/>
      <c r="U3" s="1"/>
      <c r="V3" s="1"/>
      <c r="W3" s="1"/>
      <c r="X3" s="1"/>
      <c r="Y3" s="1"/>
      <c r="Z3" s="1"/>
    </row>
    <row r="4" ht="21.0" customHeight="1">
      <c r="A4" s="1"/>
      <c r="B4" s="28" t="s">
        <v>13</v>
      </c>
      <c r="C4" s="29" t="s">
        <v>18</v>
      </c>
      <c r="D4" s="33" t="s">
        <v>19</v>
      </c>
      <c r="E4" s="35" t="s">
        <v>20</v>
      </c>
      <c r="F4" s="20"/>
      <c r="G4" s="1"/>
      <c r="H4" s="1"/>
      <c r="I4" s="1"/>
      <c r="J4" s="1"/>
      <c r="K4" s="1"/>
      <c r="L4" s="1"/>
      <c r="M4" s="1"/>
      <c r="N4" s="1"/>
      <c r="O4" s="1"/>
      <c r="P4" s="1"/>
      <c r="Q4" s="1"/>
      <c r="R4" s="1"/>
      <c r="S4" s="1"/>
      <c r="T4" s="1"/>
      <c r="U4" s="1"/>
      <c r="V4" s="1"/>
      <c r="W4" s="1"/>
      <c r="X4" s="1"/>
      <c r="Y4" s="1"/>
      <c r="Z4" s="1"/>
    </row>
    <row r="5" ht="48.0" customHeight="1">
      <c r="A5" s="1"/>
      <c r="B5" s="42"/>
      <c r="C5" s="44">
        <v>46232.0</v>
      </c>
      <c r="D5" s="48" t="s">
        <v>23</v>
      </c>
      <c r="E5" s="51" t="s">
        <v>24</v>
      </c>
      <c r="F5" s="20"/>
      <c r="G5" s="1"/>
      <c r="H5" s="1"/>
      <c r="I5" s="1"/>
      <c r="J5" s="1"/>
      <c r="K5" s="1"/>
      <c r="L5" s="1"/>
      <c r="M5" s="1"/>
      <c r="N5" s="1"/>
      <c r="O5" s="1"/>
      <c r="P5" s="1"/>
      <c r="Q5" s="1"/>
      <c r="R5" s="1"/>
      <c r="S5" s="1"/>
      <c r="T5" s="1"/>
      <c r="U5" s="1"/>
      <c r="V5" s="1"/>
      <c r="W5" s="1"/>
      <c r="X5" s="1"/>
      <c r="Y5" s="1"/>
      <c r="Z5" s="1"/>
    </row>
    <row r="6" ht="33.75" customHeight="1">
      <c r="A6" s="1"/>
      <c r="B6" s="42"/>
      <c r="C6" s="44">
        <v>46241.0</v>
      </c>
      <c r="D6" s="48" t="s">
        <v>30</v>
      </c>
      <c r="E6" s="51" t="s">
        <v>31</v>
      </c>
      <c r="F6" s="20"/>
      <c r="G6" s="1"/>
      <c r="H6" s="1"/>
      <c r="I6" s="1"/>
      <c r="J6" s="1"/>
      <c r="K6" s="1"/>
      <c r="L6" s="1"/>
      <c r="M6" s="1"/>
      <c r="N6" s="1"/>
      <c r="O6" s="1"/>
      <c r="P6" s="1"/>
      <c r="Q6" s="1"/>
      <c r="R6" s="1"/>
      <c r="S6" s="1"/>
      <c r="T6" s="1"/>
      <c r="U6" s="1"/>
      <c r="V6" s="1"/>
      <c r="W6" s="1"/>
      <c r="X6" s="1"/>
      <c r="Y6" s="1"/>
      <c r="Z6" s="1"/>
    </row>
    <row r="7" ht="63.0" customHeight="1">
      <c r="A7" s="1"/>
      <c r="B7" s="42"/>
      <c r="C7" s="44">
        <v>46243.0</v>
      </c>
      <c r="D7" s="48" t="s">
        <v>34</v>
      </c>
      <c r="E7" s="51" t="s">
        <v>35</v>
      </c>
      <c r="F7" s="69"/>
      <c r="G7" s="1"/>
      <c r="H7" s="1"/>
      <c r="I7" s="1"/>
      <c r="J7" s="1"/>
      <c r="K7" s="1"/>
      <c r="L7" s="1"/>
      <c r="M7" s="1"/>
      <c r="N7" s="1"/>
      <c r="O7" s="1"/>
      <c r="P7" s="1"/>
      <c r="Q7" s="1"/>
      <c r="R7" s="1"/>
      <c r="S7" s="1"/>
      <c r="T7" s="1"/>
      <c r="U7" s="1"/>
      <c r="V7" s="1"/>
      <c r="W7" s="1"/>
      <c r="X7" s="1"/>
      <c r="Y7" s="1"/>
      <c r="Z7" s="1"/>
    </row>
    <row r="8" ht="33.75" customHeight="1">
      <c r="A8" s="1"/>
      <c r="B8" s="42"/>
      <c r="C8" s="44">
        <v>46248.0</v>
      </c>
      <c r="D8" s="48" t="s">
        <v>38</v>
      </c>
      <c r="E8" s="51" t="s">
        <v>40</v>
      </c>
      <c r="F8" s="55"/>
      <c r="G8" s="1"/>
      <c r="H8" s="1"/>
      <c r="I8" s="1"/>
      <c r="J8" s="1"/>
      <c r="K8" s="1"/>
      <c r="L8" s="1"/>
      <c r="M8" s="1"/>
      <c r="N8" s="1"/>
      <c r="O8" s="1"/>
      <c r="P8" s="1"/>
      <c r="Q8" s="1"/>
      <c r="R8" s="1"/>
      <c r="S8" s="1"/>
      <c r="T8" s="1"/>
      <c r="U8" s="1"/>
      <c r="V8" s="1"/>
      <c r="W8" s="1"/>
      <c r="X8" s="1"/>
      <c r="Y8" s="1"/>
      <c r="Z8" s="1"/>
    </row>
    <row r="9" ht="106.5" customHeight="1">
      <c r="A9" s="1"/>
      <c r="B9" s="42"/>
      <c r="C9" s="44">
        <v>46250.0</v>
      </c>
      <c r="D9" s="48" t="s">
        <v>42</v>
      </c>
      <c r="E9" s="51" t="s">
        <v>44</v>
      </c>
      <c r="F9" s="69"/>
      <c r="G9" s="1"/>
      <c r="H9" s="1"/>
      <c r="I9" s="1"/>
      <c r="J9" s="1"/>
      <c r="K9" s="1"/>
      <c r="L9" s="1"/>
      <c r="M9" s="1"/>
      <c r="N9" s="1"/>
      <c r="O9" s="1"/>
      <c r="P9" s="1"/>
      <c r="Q9" s="1"/>
      <c r="R9" s="1"/>
      <c r="S9" s="1"/>
      <c r="T9" s="1"/>
      <c r="U9" s="1"/>
      <c r="V9" s="1"/>
      <c r="W9" s="1"/>
      <c r="X9" s="1"/>
      <c r="Y9" s="1"/>
      <c r="Z9" s="1"/>
    </row>
    <row r="10" ht="33.75" customHeight="1">
      <c r="A10" s="1"/>
      <c r="B10" s="42"/>
      <c r="C10" s="44">
        <v>46251.0</v>
      </c>
      <c r="D10" s="48" t="s">
        <v>46</v>
      </c>
      <c r="E10" s="51" t="s">
        <v>47</v>
      </c>
      <c r="F10" s="69"/>
      <c r="G10" s="1"/>
      <c r="H10" s="1"/>
      <c r="I10" s="1"/>
      <c r="J10" s="1"/>
      <c r="K10" s="1"/>
      <c r="L10" s="1"/>
      <c r="M10" s="1"/>
      <c r="N10" s="1"/>
      <c r="O10" s="1"/>
      <c r="P10" s="1"/>
      <c r="Q10" s="1"/>
      <c r="R10" s="1"/>
      <c r="S10" s="1"/>
      <c r="T10" s="1"/>
      <c r="U10" s="1"/>
      <c r="V10" s="1"/>
      <c r="W10" s="1"/>
      <c r="X10" s="1"/>
      <c r="Y10" s="1"/>
      <c r="Z10" s="1"/>
    </row>
    <row r="11" ht="19.5" customHeight="1">
      <c r="A11" s="1"/>
      <c r="B11" s="42"/>
      <c r="C11" s="44">
        <v>46252.0</v>
      </c>
      <c r="D11" s="48" t="s">
        <v>49</v>
      </c>
      <c r="E11" s="89" t="s">
        <v>50</v>
      </c>
      <c r="F11" s="69"/>
      <c r="G11" s="1"/>
      <c r="H11" s="1"/>
      <c r="I11" s="1"/>
      <c r="J11" s="1"/>
      <c r="K11" s="1"/>
      <c r="L11" s="1"/>
      <c r="M11" s="1"/>
      <c r="N11" s="1"/>
      <c r="O11" s="1"/>
      <c r="P11" s="1"/>
      <c r="Q11" s="1"/>
      <c r="R11" s="1"/>
      <c r="S11" s="1"/>
      <c r="T11" s="1"/>
      <c r="U11" s="1"/>
      <c r="V11" s="1"/>
      <c r="W11" s="1"/>
      <c r="X11" s="1"/>
      <c r="Y11" s="1"/>
      <c r="Z11" s="1"/>
    </row>
    <row r="12" ht="19.5" customHeight="1">
      <c r="A12" s="1"/>
      <c r="B12" s="42"/>
      <c r="C12" s="44">
        <v>46254.0</v>
      </c>
      <c r="D12" s="48" t="s">
        <v>51</v>
      </c>
      <c r="E12" s="89" t="s">
        <v>52</v>
      </c>
      <c r="F12" s="69"/>
      <c r="G12" s="1"/>
      <c r="H12" s="1"/>
      <c r="I12" s="1"/>
      <c r="J12" s="1"/>
      <c r="K12" s="1"/>
      <c r="L12" s="1"/>
      <c r="M12" s="1"/>
      <c r="N12" s="1"/>
      <c r="O12" s="1"/>
      <c r="P12" s="1"/>
      <c r="Q12" s="1"/>
      <c r="R12" s="1"/>
      <c r="S12" s="1"/>
      <c r="T12" s="1"/>
      <c r="U12" s="1"/>
      <c r="V12" s="1"/>
      <c r="W12" s="1"/>
      <c r="X12" s="1"/>
      <c r="Y12" s="1"/>
      <c r="Z12" s="1"/>
    </row>
    <row r="13" ht="33.75" customHeight="1">
      <c r="A13" s="1"/>
      <c r="B13" s="42"/>
      <c r="C13" s="44">
        <v>46255.0</v>
      </c>
      <c r="D13" s="48" t="s">
        <v>30</v>
      </c>
      <c r="E13" s="51" t="s">
        <v>31</v>
      </c>
      <c r="F13" s="69"/>
      <c r="G13" s="1"/>
      <c r="H13" s="1"/>
      <c r="I13" s="1"/>
      <c r="J13" s="1"/>
      <c r="K13" s="1"/>
      <c r="L13" s="1"/>
      <c r="M13" s="1"/>
      <c r="N13" s="1"/>
      <c r="O13" s="1"/>
      <c r="P13" s="1"/>
      <c r="Q13" s="1"/>
      <c r="R13" s="1"/>
      <c r="S13" s="1"/>
      <c r="T13" s="1"/>
      <c r="U13" s="1"/>
      <c r="V13" s="1"/>
      <c r="W13" s="1"/>
      <c r="X13" s="1"/>
      <c r="Y13" s="1"/>
      <c r="Z13" s="1"/>
    </row>
    <row r="14" ht="77.25" customHeight="1">
      <c r="A14" s="1"/>
      <c r="B14" s="42"/>
      <c r="C14" s="44">
        <v>46259.0</v>
      </c>
      <c r="D14" s="48" t="s">
        <v>59</v>
      </c>
      <c r="E14" s="51" t="s">
        <v>60</v>
      </c>
      <c r="F14" s="69"/>
      <c r="G14" s="1"/>
      <c r="H14" s="1"/>
      <c r="I14" s="1"/>
      <c r="J14" s="1"/>
      <c r="K14" s="1"/>
      <c r="L14" s="1"/>
      <c r="M14" s="1"/>
      <c r="N14" s="1"/>
      <c r="O14" s="1"/>
      <c r="P14" s="1"/>
      <c r="Q14" s="1"/>
      <c r="R14" s="1"/>
      <c r="S14" s="1"/>
      <c r="T14" s="1"/>
      <c r="U14" s="1"/>
      <c r="V14" s="1"/>
      <c r="W14" s="1"/>
      <c r="X14" s="1"/>
      <c r="Y14" s="1"/>
      <c r="Z14" s="1"/>
    </row>
    <row r="15" ht="19.5" customHeight="1">
      <c r="A15" s="1"/>
      <c r="B15" s="42"/>
      <c r="C15" s="44">
        <v>46261.0</v>
      </c>
      <c r="D15" s="48" t="s">
        <v>61</v>
      </c>
      <c r="E15" s="89" t="s">
        <v>62</v>
      </c>
      <c r="F15" s="69"/>
      <c r="G15" s="1"/>
      <c r="H15" s="1"/>
      <c r="I15" s="1"/>
      <c r="J15" s="1"/>
      <c r="K15" s="1"/>
      <c r="L15" s="1"/>
      <c r="M15" s="1"/>
      <c r="N15" s="1"/>
      <c r="O15" s="1"/>
      <c r="P15" s="1"/>
      <c r="Q15" s="1"/>
      <c r="R15" s="1"/>
      <c r="S15" s="1"/>
      <c r="T15" s="1"/>
      <c r="U15" s="1"/>
      <c r="V15" s="1"/>
      <c r="W15" s="1"/>
      <c r="X15" s="1"/>
      <c r="Y15" s="1"/>
      <c r="Z15" s="1"/>
    </row>
    <row r="16" ht="33.75" customHeight="1">
      <c r="A16" s="1"/>
      <c r="B16" s="42"/>
      <c r="C16" s="44">
        <v>46262.0</v>
      </c>
      <c r="D16" s="48" t="s">
        <v>65</v>
      </c>
      <c r="E16" s="51" t="s">
        <v>66</v>
      </c>
      <c r="F16" s="69"/>
      <c r="G16" s="1"/>
      <c r="H16" s="1"/>
      <c r="I16" s="1"/>
      <c r="J16" s="1"/>
      <c r="K16" s="1"/>
      <c r="L16" s="1"/>
      <c r="M16" s="1"/>
      <c r="N16" s="1"/>
      <c r="O16" s="1"/>
      <c r="P16" s="1"/>
      <c r="Q16" s="1"/>
      <c r="R16" s="1"/>
      <c r="S16" s="1"/>
      <c r="T16" s="1"/>
      <c r="U16" s="1"/>
      <c r="V16" s="1"/>
      <c r="W16" s="1"/>
      <c r="X16" s="1"/>
      <c r="Y16" s="1"/>
      <c r="Z16" s="1"/>
    </row>
    <row r="17" ht="19.5" customHeight="1">
      <c r="A17" s="1"/>
      <c r="B17" s="42"/>
      <c r="C17" s="44">
        <v>46264.0</v>
      </c>
      <c r="D17" s="48" t="s">
        <v>68</v>
      </c>
      <c r="E17" s="89" t="s">
        <v>69</v>
      </c>
      <c r="F17" s="69"/>
      <c r="G17" s="1"/>
      <c r="H17" s="1"/>
      <c r="I17" s="1"/>
      <c r="J17" s="1"/>
      <c r="K17" s="1"/>
      <c r="L17" s="1"/>
      <c r="M17" s="1"/>
      <c r="N17" s="1"/>
      <c r="O17" s="1"/>
      <c r="P17" s="1"/>
      <c r="Q17" s="1"/>
      <c r="R17" s="1"/>
      <c r="S17" s="1"/>
      <c r="T17" s="1"/>
      <c r="U17" s="1"/>
      <c r="V17" s="1"/>
      <c r="W17" s="1"/>
      <c r="X17" s="1"/>
      <c r="Y17" s="1"/>
      <c r="Z17" s="1"/>
    </row>
    <row r="18" ht="19.5" customHeight="1">
      <c r="A18" s="1"/>
      <c r="B18" s="42"/>
      <c r="C18" s="44">
        <v>46265.0</v>
      </c>
      <c r="D18" s="48" t="s">
        <v>70</v>
      </c>
      <c r="E18" s="89" t="s">
        <v>71</v>
      </c>
      <c r="F18" s="69"/>
      <c r="G18" s="1"/>
      <c r="H18" s="1"/>
      <c r="I18" s="1"/>
      <c r="J18" s="1"/>
      <c r="K18" s="1"/>
      <c r="L18" s="1"/>
      <c r="M18" s="1"/>
      <c r="N18" s="1"/>
      <c r="O18" s="1"/>
      <c r="P18" s="1"/>
      <c r="Q18" s="1"/>
      <c r="R18" s="1"/>
      <c r="S18" s="1"/>
      <c r="T18" s="1"/>
      <c r="U18" s="1"/>
      <c r="V18" s="1"/>
      <c r="W18" s="1"/>
      <c r="X18" s="1"/>
      <c r="Y18" s="1"/>
      <c r="Z18" s="1"/>
    </row>
    <row r="19" ht="48.0" customHeight="1">
      <c r="A19" s="1"/>
      <c r="B19" s="42"/>
      <c r="C19" s="44">
        <v>46265.0</v>
      </c>
      <c r="D19" s="48" t="s">
        <v>74</v>
      </c>
      <c r="E19" s="51" t="s">
        <v>75</v>
      </c>
      <c r="F19" s="69"/>
      <c r="G19" s="1"/>
      <c r="H19" s="1"/>
      <c r="I19" s="1"/>
      <c r="J19" s="1"/>
      <c r="K19" s="1"/>
      <c r="L19" s="1"/>
      <c r="M19" s="1"/>
      <c r="N19" s="1"/>
      <c r="O19" s="1"/>
      <c r="P19" s="1"/>
      <c r="Q19" s="1"/>
      <c r="R19" s="1"/>
      <c r="S19" s="1"/>
      <c r="T19" s="1"/>
      <c r="U19" s="1"/>
      <c r="V19" s="1"/>
      <c r="W19" s="1"/>
      <c r="X19" s="1"/>
      <c r="Y19" s="1"/>
      <c r="Z19" s="1"/>
    </row>
    <row r="20" ht="19.5" customHeight="1">
      <c r="A20" s="1"/>
      <c r="B20" s="42"/>
      <c r="C20" s="44">
        <v>46268.0</v>
      </c>
      <c r="D20" s="48" t="s">
        <v>76</v>
      </c>
      <c r="E20" s="89" t="s">
        <v>77</v>
      </c>
      <c r="F20" s="55"/>
      <c r="G20" s="1"/>
      <c r="H20" s="1"/>
      <c r="I20" s="1"/>
      <c r="J20" s="1"/>
      <c r="K20" s="1"/>
      <c r="L20" s="1"/>
      <c r="M20" s="1"/>
      <c r="N20" s="1"/>
      <c r="O20" s="1"/>
      <c r="P20" s="1"/>
      <c r="Q20" s="1"/>
      <c r="R20" s="1"/>
      <c r="S20" s="1"/>
      <c r="T20" s="1"/>
      <c r="U20" s="1"/>
      <c r="V20" s="1"/>
      <c r="W20" s="1"/>
      <c r="X20" s="1"/>
      <c r="Y20" s="1"/>
      <c r="Z20" s="1"/>
    </row>
    <row r="21" ht="33.75" customHeight="1">
      <c r="A21" s="1"/>
      <c r="B21" s="42"/>
      <c r="C21" s="44">
        <v>46268.0</v>
      </c>
      <c r="D21" s="48" t="s">
        <v>79</v>
      </c>
      <c r="E21" s="51" t="s">
        <v>80</v>
      </c>
      <c r="F21" s="55"/>
      <c r="G21" s="1"/>
      <c r="H21" s="1"/>
      <c r="I21" s="1"/>
      <c r="J21" s="1"/>
      <c r="K21" s="1"/>
      <c r="L21" s="1"/>
      <c r="M21" s="1"/>
      <c r="N21" s="1"/>
      <c r="O21" s="1"/>
      <c r="P21" s="1"/>
      <c r="Q21" s="1"/>
      <c r="R21" s="1"/>
      <c r="S21" s="1"/>
      <c r="T21" s="1"/>
      <c r="U21" s="1"/>
      <c r="V21" s="1"/>
      <c r="W21" s="1"/>
      <c r="X21" s="1"/>
      <c r="Y21" s="1"/>
      <c r="Z21" s="1"/>
    </row>
    <row r="22" ht="19.5" customHeight="1">
      <c r="A22" s="1"/>
      <c r="B22" s="42"/>
      <c r="C22" s="44">
        <v>46269.0</v>
      </c>
      <c r="D22" s="48" t="s">
        <v>83</v>
      </c>
      <c r="E22" s="89" t="s">
        <v>84</v>
      </c>
      <c r="F22" s="55"/>
      <c r="G22" s="1"/>
      <c r="H22" s="1"/>
      <c r="I22" s="1"/>
      <c r="J22" s="1"/>
      <c r="K22" s="1"/>
      <c r="L22" s="1"/>
      <c r="M22" s="1"/>
      <c r="N22" s="1"/>
      <c r="O22" s="1"/>
      <c r="P22" s="1"/>
      <c r="Q22" s="1"/>
      <c r="R22" s="1"/>
      <c r="S22" s="1"/>
      <c r="T22" s="1"/>
      <c r="U22" s="1"/>
      <c r="V22" s="1"/>
      <c r="W22" s="1"/>
      <c r="X22" s="1"/>
      <c r="Y22" s="1"/>
      <c r="Z22" s="1"/>
    </row>
    <row r="23" ht="19.5" customHeight="1">
      <c r="A23" s="1"/>
      <c r="B23" s="42"/>
      <c r="C23" s="44">
        <v>46269.0</v>
      </c>
      <c r="D23" s="48" t="s">
        <v>88</v>
      </c>
      <c r="E23" s="89" t="s">
        <v>89</v>
      </c>
      <c r="F23" s="1"/>
      <c r="G23" s="1"/>
      <c r="H23" s="1"/>
      <c r="I23" s="1"/>
      <c r="J23" s="1"/>
      <c r="K23" s="1"/>
      <c r="L23" s="1"/>
      <c r="M23" s="1"/>
      <c r="N23" s="1"/>
      <c r="O23" s="1"/>
      <c r="P23" s="1"/>
      <c r="Q23" s="1"/>
      <c r="R23" s="1"/>
      <c r="S23" s="1"/>
      <c r="T23" s="1"/>
      <c r="U23" s="1"/>
      <c r="V23" s="1"/>
      <c r="W23" s="1"/>
      <c r="X23" s="1"/>
      <c r="Y23" s="1"/>
      <c r="Z23" s="1"/>
    </row>
    <row r="24" ht="19.5" customHeight="1">
      <c r="A24" s="1"/>
      <c r="B24" s="42"/>
      <c r="C24" s="44">
        <v>46272.0</v>
      </c>
      <c r="D24" s="48" t="s">
        <v>90</v>
      </c>
      <c r="E24" s="89" t="s">
        <v>91</v>
      </c>
      <c r="F24" s="1"/>
      <c r="G24" s="1"/>
      <c r="H24" s="1"/>
      <c r="I24" s="1"/>
      <c r="J24" s="1"/>
      <c r="K24" s="1"/>
      <c r="L24" s="1"/>
      <c r="M24" s="1"/>
      <c r="N24" s="1"/>
      <c r="O24" s="1"/>
      <c r="P24" s="1"/>
      <c r="Q24" s="1"/>
      <c r="R24" s="1"/>
      <c r="S24" s="1"/>
      <c r="T24" s="1"/>
      <c r="U24" s="1"/>
      <c r="V24" s="1"/>
      <c r="W24" s="1"/>
      <c r="X24" s="1"/>
      <c r="Y24" s="1"/>
      <c r="Z24" s="1"/>
    </row>
    <row r="25" ht="19.5" customHeight="1">
      <c r="A25" s="1"/>
      <c r="B25" s="42"/>
      <c r="C25" s="44">
        <v>46275.0</v>
      </c>
      <c r="D25" s="48" t="s">
        <v>96</v>
      </c>
      <c r="E25" s="89" t="s">
        <v>97</v>
      </c>
      <c r="F25" s="1"/>
      <c r="G25" s="1"/>
      <c r="H25" s="1"/>
      <c r="I25" s="1"/>
      <c r="J25" s="1"/>
      <c r="K25" s="1"/>
      <c r="L25" s="1"/>
      <c r="M25" s="1"/>
      <c r="N25" s="1"/>
      <c r="O25" s="1"/>
      <c r="P25" s="1"/>
      <c r="Q25" s="1"/>
      <c r="R25" s="1"/>
      <c r="S25" s="1"/>
      <c r="T25" s="1"/>
      <c r="U25" s="1"/>
      <c r="V25" s="1"/>
      <c r="W25" s="1"/>
      <c r="X25" s="1"/>
      <c r="Y25" s="1"/>
      <c r="Z25" s="1"/>
    </row>
    <row r="26" ht="19.5" customHeight="1">
      <c r="A26" s="1"/>
      <c r="B26" s="42"/>
      <c r="C26" s="44">
        <v>46276.0</v>
      </c>
      <c r="D26" s="48" t="s">
        <v>99</v>
      </c>
      <c r="E26" s="89" t="s">
        <v>100</v>
      </c>
      <c r="F26" s="1"/>
      <c r="G26" s="1"/>
      <c r="H26" s="1"/>
      <c r="I26" s="1"/>
      <c r="J26" s="1"/>
      <c r="K26" s="1"/>
      <c r="L26" s="1"/>
      <c r="M26" s="1"/>
      <c r="N26" s="1"/>
      <c r="O26" s="1"/>
      <c r="P26" s="1"/>
      <c r="Q26" s="1"/>
      <c r="R26" s="1"/>
      <c r="S26" s="1"/>
      <c r="T26" s="1"/>
      <c r="U26" s="1"/>
      <c r="V26" s="1"/>
      <c r="W26" s="1"/>
      <c r="X26" s="1"/>
      <c r="Y26" s="1"/>
      <c r="Z26" s="1"/>
    </row>
    <row r="27" ht="19.5" customHeight="1">
      <c r="A27" s="1"/>
      <c r="B27" s="42"/>
      <c r="C27" s="44">
        <v>46282.0</v>
      </c>
      <c r="D27" s="48" t="s">
        <v>103</v>
      </c>
      <c r="E27" s="89" t="s">
        <v>104</v>
      </c>
      <c r="F27" s="1"/>
      <c r="G27" s="1"/>
      <c r="H27" s="1"/>
      <c r="I27" s="1"/>
      <c r="J27" s="1"/>
      <c r="K27" s="1"/>
      <c r="L27" s="1"/>
      <c r="M27" s="1"/>
      <c r="N27" s="1"/>
      <c r="O27" s="1"/>
      <c r="P27" s="1"/>
      <c r="Q27" s="1"/>
      <c r="R27" s="1"/>
      <c r="S27" s="1"/>
      <c r="T27" s="1"/>
      <c r="U27" s="1"/>
      <c r="V27" s="1"/>
      <c r="W27" s="1"/>
      <c r="X27" s="1"/>
      <c r="Y27" s="1"/>
      <c r="Z27" s="1"/>
    </row>
    <row r="28" ht="33.75" customHeight="1">
      <c r="A28" s="1"/>
      <c r="B28" s="42"/>
      <c r="C28" s="44">
        <v>46283.0</v>
      </c>
      <c r="D28" s="48" t="s">
        <v>106</v>
      </c>
      <c r="E28" s="51" t="s">
        <v>107</v>
      </c>
      <c r="F28" s="1"/>
      <c r="G28" s="1"/>
      <c r="H28" s="1"/>
      <c r="I28" s="1"/>
      <c r="J28" s="1"/>
      <c r="K28" s="1"/>
      <c r="L28" s="1"/>
      <c r="M28" s="1"/>
      <c r="N28" s="1"/>
      <c r="O28" s="1"/>
      <c r="P28" s="1"/>
      <c r="Q28" s="1"/>
      <c r="R28" s="1"/>
      <c r="S28" s="1"/>
      <c r="T28" s="1"/>
      <c r="U28" s="1"/>
      <c r="V28" s="1"/>
      <c r="W28" s="1"/>
      <c r="X28" s="1"/>
      <c r="Y28" s="1"/>
      <c r="Z28" s="1"/>
    </row>
    <row r="29" ht="33.75" customHeight="1">
      <c r="A29" s="1"/>
      <c r="B29" s="150"/>
      <c r="C29" s="44">
        <v>46285.0</v>
      </c>
      <c r="D29" s="48" t="s">
        <v>110</v>
      </c>
      <c r="E29" s="51" t="s">
        <v>111</v>
      </c>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B2:E2"/>
    <mergeCell ref="C3:E3"/>
    <mergeCell ref="B4:B29"/>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4.43"/>
    <col customWidth="1" min="3" max="3" width="8.29"/>
    <col customWidth="1" min="4" max="4" width="6.86"/>
    <col customWidth="1" min="5" max="5" width="13.0"/>
    <col customWidth="1" min="6" max="6" width="10.43"/>
    <col customWidth="1" min="7" max="7" width="6.86"/>
    <col customWidth="1" min="8" max="8" width="9.71"/>
    <col customWidth="1" min="9" max="9" width="4.14"/>
    <col customWidth="1" min="10" max="10" width="9.14"/>
    <col customWidth="1" min="11" max="11" width="9.71"/>
    <col customWidth="1" min="12" max="12" width="8.43"/>
    <col customWidth="1" min="13" max="13" width="10.14"/>
    <col customWidth="1" min="14" max="14" width="10.43"/>
    <col customWidth="1" min="15" max="15" width="14.29"/>
    <col customWidth="1" min="16" max="16" width="14.86"/>
    <col customWidth="1" min="17" max="17" width="4.71"/>
    <col customWidth="1" min="18" max="26" width="8.71"/>
  </cols>
  <sheetData>
    <row r="1" ht="15.75" customHeight="1">
      <c r="A1" s="1"/>
      <c r="B1" s="1"/>
      <c r="C1" s="1"/>
      <c r="D1" s="1"/>
      <c r="E1" s="1"/>
      <c r="F1" s="1"/>
      <c r="G1" s="1"/>
      <c r="H1" s="1"/>
      <c r="I1" s="1"/>
      <c r="J1" s="1"/>
      <c r="K1" s="1"/>
      <c r="L1" s="1"/>
      <c r="M1" s="1"/>
      <c r="N1" s="1"/>
      <c r="O1" s="1"/>
      <c r="P1" s="1"/>
      <c r="Q1" s="1"/>
      <c r="R1" s="1"/>
      <c r="S1" s="1"/>
      <c r="T1" s="1"/>
      <c r="U1" s="1"/>
      <c r="V1" s="1"/>
      <c r="W1" s="1"/>
      <c r="X1" s="1"/>
      <c r="Y1" s="1"/>
      <c r="Z1" s="1"/>
    </row>
    <row r="2" ht="19.5" customHeight="1">
      <c r="A2" s="1"/>
      <c r="B2" s="30" t="s">
        <v>16</v>
      </c>
      <c r="C2" s="15"/>
      <c r="D2" s="15"/>
      <c r="E2" s="15"/>
      <c r="F2" s="15"/>
      <c r="G2" s="15"/>
      <c r="H2" s="15"/>
      <c r="I2" s="15"/>
      <c r="J2" s="15"/>
      <c r="K2" s="15"/>
      <c r="L2" s="15"/>
      <c r="M2" s="15"/>
      <c r="N2" s="17"/>
      <c r="O2" s="36" t="s">
        <v>21</v>
      </c>
      <c r="P2" s="37" t="s">
        <v>22</v>
      </c>
      <c r="Q2" s="1"/>
      <c r="R2" s="1"/>
      <c r="S2" s="1"/>
      <c r="T2" s="1"/>
      <c r="U2" s="1"/>
      <c r="V2" s="1"/>
      <c r="W2" s="1"/>
      <c r="X2" s="1"/>
      <c r="Y2" s="1"/>
      <c r="Z2" s="1"/>
    </row>
    <row r="3" ht="25.5" customHeight="1">
      <c r="A3" s="1"/>
      <c r="B3" s="40"/>
      <c r="C3" s="41"/>
      <c r="D3" s="41"/>
      <c r="E3" s="41"/>
      <c r="F3" s="41"/>
      <c r="G3" s="41"/>
      <c r="H3" s="41"/>
      <c r="I3" s="41"/>
      <c r="J3" s="41"/>
      <c r="K3" s="41"/>
      <c r="L3" s="41"/>
      <c r="M3" s="41"/>
      <c r="N3" s="45"/>
      <c r="O3" s="47"/>
      <c r="P3" s="50"/>
      <c r="Q3" s="1"/>
      <c r="R3" s="1"/>
      <c r="S3" s="1"/>
      <c r="T3" s="1"/>
      <c r="U3" s="1"/>
      <c r="V3" s="1"/>
      <c r="W3" s="1"/>
      <c r="X3" s="1"/>
      <c r="Y3" s="1"/>
      <c r="Z3" s="1"/>
    </row>
    <row r="4" ht="35.25" customHeight="1">
      <c r="A4" s="1"/>
      <c r="B4" s="54" t="s">
        <v>26</v>
      </c>
      <c r="C4" s="57" t="s">
        <v>28</v>
      </c>
      <c r="D4" s="59"/>
      <c r="E4" s="59"/>
      <c r="F4" s="59"/>
      <c r="G4" s="59"/>
      <c r="H4" s="59"/>
      <c r="I4" s="59"/>
      <c r="J4" s="59"/>
      <c r="K4" s="62"/>
      <c r="L4" s="63" t="s">
        <v>32</v>
      </c>
      <c r="M4" s="62"/>
      <c r="N4" s="64" t="s">
        <v>33</v>
      </c>
      <c r="O4" s="59"/>
      <c r="P4" s="68"/>
      <c r="Q4" s="1"/>
      <c r="R4" s="1"/>
      <c r="S4" s="1"/>
      <c r="T4" s="1"/>
      <c r="U4" s="1"/>
      <c r="V4" s="1"/>
      <c r="W4" s="1"/>
      <c r="X4" s="1"/>
      <c r="Y4" s="1"/>
      <c r="Z4" s="1"/>
    </row>
    <row r="5" ht="105.0" customHeight="1">
      <c r="A5" s="1"/>
      <c r="B5" s="72" t="s">
        <v>37</v>
      </c>
      <c r="C5" s="75" t="s">
        <v>39</v>
      </c>
      <c r="D5" s="76"/>
      <c r="E5" s="76"/>
      <c r="F5" s="76"/>
      <c r="G5" s="76"/>
      <c r="H5" s="76"/>
      <c r="I5" s="76"/>
      <c r="J5" s="76"/>
      <c r="K5" s="76"/>
      <c r="L5" s="76"/>
      <c r="M5" s="76"/>
      <c r="N5" s="76"/>
      <c r="O5" s="76"/>
      <c r="P5" s="79"/>
      <c r="Q5" s="1"/>
      <c r="R5" s="1"/>
      <c r="S5" s="1"/>
      <c r="T5" s="1"/>
      <c r="U5" s="1"/>
      <c r="V5" s="1"/>
      <c r="W5" s="1"/>
      <c r="X5" s="1"/>
      <c r="Y5" s="1"/>
      <c r="Z5" s="1"/>
    </row>
    <row r="6" ht="22.5" customHeight="1">
      <c r="A6" s="1"/>
      <c r="B6" s="85" t="s">
        <v>45</v>
      </c>
      <c r="C6" s="88" t="s">
        <v>48</v>
      </c>
      <c r="D6" s="90">
        <v>46285.0</v>
      </c>
      <c r="E6" s="34"/>
      <c r="F6" s="25"/>
      <c r="G6" s="94" t="s">
        <v>11</v>
      </c>
      <c r="H6" s="95"/>
      <c r="I6" s="97" t="s">
        <v>54</v>
      </c>
      <c r="J6" s="100"/>
      <c r="K6" s="95"/>
      <c r="L6" s="94" t="s">
        <v>57</v>
      </c>
      <c r="M6" s="95"/>
      <c r="N6" s="101" t="s">
        <v>58</v>
      </c>
      <c r="O6" s="100"/>
      <c r="P6" s="102"/>
      <c r="Q6" s="1"/>
      <c r="R6" s="1"/>
      <c r="S6" s="1"/>
      <c r="T6" s="1"/>
      <c r="U6" s="1"/>
      <c r="V6" s="1"/>
      <c r="W6" s="1"/>
      <c r="X6" s="1"/>
      <c r="Y6" s="1"/>
      <c r="Z6" s="1"/>
    </row>
    <row r="7" ht="22.5" customHeight="1">
      <c r="A7" s="1"/>
      <c r="B7" s="104"/>
      <c r="C7" s="106" t="s">
        <v>63</v>
      </c>
      <c r="D7" s="109" t="s">
        <v>64</v>
      </c>
      <c r="E7" s="111"/>
      <c r="F7" s="113"/>
      <c r="G7" s="114"/>
      <c r="H7" s="115"/>
      <c r="I7" s="114"/>
      <c r="J7" s="41"/>
      <c r="K7" s="115"/>
      <c r="L7" s="114"/>
      <c r="M7" s="115"/>
      <c r="N7" s="114"/>
      <c r="O7" s="41"/>
      <c r="P7" s="45"/>
      <c r="Q7" s="1"/>
      <c r="R7" s="1"/>
      <c r="S7" s="1"/>
      <c r="T7" s="1"/>
      <c r="U7" s="1"/>
      <c r="V7" s="1"/>
      <c r="W7" s="1"/>
      <c r="X7" s="1"/>
      <c r="Y7" s="1"/>
      <c r="Z7" s="1"/>
    </row>
    <row r="8" ht="19.5" customHeight="1">
      <c r="A8" s="1"/>
      <c r="B8" s="118"/>
      <c r="C8" s="119" t="s">
        <v>72</v>
      </c>
      <c r="D8" s="120"/>
      <c r="E8" s="120"/>
      <c r="F8" s="120"/>
      <c r="G8" s="120"/>
      <c r="H8" s="120"/>
      <c r="I8" s="120"/>
      <c r="J8" s="120"/>
      <c r="K8" s="120"/>
      <c r="L8" s="120"/>
      <c r="M8" s="120"/>
      <c r="N8" s="120"/>
      <c r="O8" s="120"/>
      <c r="P8" s="121"/>
      <c r="Q8" s="1"/>
      <c r="R8" s="1"/>
      <c r="S8" s="1"/>
      <c r="T8" s="1"/>
      <c r="U8" s="1"/>
      <c r="V8" s="1"/>
      <c r="W8" s="1"/>
      <c r="X8" s="1"/>
      <c r="Y8" s="1"/>
      <c r="Z8" s="1"/>
    </row>
    <row r="9" ht="19.5" customHeight="1">
      <c r="A9" s="1"/>
      <c r="B9" s="42"/>
      <c r="C9" s="122" t="s">
        <v>18</v>
      </c>
      <c r="D9" s="25"/>
      <c r="E9" s="124" t="s">
        <v>19</v>
      </c>
      <c r="F9" s="34"/>
      <c r="G9" s="34"/>
      <c r="H9" s="34"/>
      <c r="I9" s="25"/>
      <c r="J9" s="124" t="s">
        <v>57</v>
      </c>
      <c r="K9" s="25"/>
      <c r="L9" s="124" t="s">
        <v>17</v>
      </c>
      <c r="M9" s="25"/>
      <c r="N9" s="124" t="s">
        <v>14</v>
      </c>
      <c r="O9" s="34"/>
      <c r="P9" s="127"/>
      <c r="Q9" s="1"/>
      <c r="R9" s="1"/>
      <c r="S9" s="1"/>
      <c r="T9" s="1"/>
      <c r="U9" s="1"/>
      <c r="V9" s="1"/>
      <c r="W9" s="1"/>
      <c r="X9" s="1"/>
      <c r="Y9" s="1"/>
      <c r="Z9" s="1"/>
    </row>
    <row r="10" ht="33.75" customHeight="1">
      <c r="A10" s="1"/>
      <c r="B10" s="42"/>
      <c r="C10" s="128" t="s">
        <v>81</v>
      </c>
      <c r="D10" s="25"/>
      <c r="E10" s="131" t="s">
        <v>82</v>
      </c>
      <c r="F10" s="34"/>
      <c r="G10" s="34"/>
      <c r="H10" s="34"/>
      <c r="I10" s="25"/>
      <c r="J10" s="131" t="s">
        <v>85</v>
      </c>
      <c r="K10" s="25"/>
      <c r="L10" s="131"/>
      <c r="M10" s="25"/>
      <c r="N10" s="137" t="s">
        <v>87</v>
      </c>
      <c r="O10" s="34"/>
      <c r="P10" s="127"/>
      <c r="Q10" s="1"/>
      <c r="R10" s="1"/>
      <c r="S10" s="1"/>
      <c r="T10" s="1"/>
      <c r="U10" s="1"/>
      <c r="V10" s="1"/>
      <c r="W10" s="1"/>
      <c r="X10" s="1"/>
      <c r="Y10" s="1"/>
      <c r="Z10" s="1"/>
    </row>
    <row r="11" ht="19.5" customHeight="1">
      <c r="A11" s="1"/>
      <c r="B11" s="42"/>
      <c r="C11" s="140" t="s">
        <v>81</v>
      </c>
      <c r="D11" s="95"/>
      <c r="E11" s="101" t="s">
        <v>93</v>
      </c>
      <c r="F11" s="100"/>
      <c r="G11" s="100"/>
      <c r="H11" s="100"/>
      <c r="I11" s="95"/>
      <c r="J11" s="101" t="s">
        <v>85</v>
      </c>
      <c r="K11" s="95"/>
      <c r="L11" s="101"/>
      <c r="M11" s="95"/>
      <c r="N11" s="143" t="s">
        <v>98</v>
      </c>
      <c r="O11" s="100"/>
      <c r="P11" s="102"/>
      <c r="Q11" s="1"/>
      <c r="R11" s="1"/>
      <c r="S11" s="1"/>
      <c r="T11" s="1"/>
      <c r="U11" s="1"/>
      <c r="V11" s="1"/>
      <c r="W11" s="1"/>
      <c r="X11" s="1"/>
      <c r="Y11" s="1"/>
      <c r="Z11" s="1"/>
    </row>
    <row r="12" ht="19.5" customHeight="1">
      <c r="A12" s="1"/>
      <c r="B12" s="42"/>
      <c r="C12" s="131" t="s">
        <v>81</v>
      </c>
      <c r="D12" s="25"/>
      <c r="E12" s="131" t="s">
        <v>101</v>
      </c>
      <c r="F12" s="34"/>
      <c r="G12" s="34"/>
      <c r="H12" s="34"/>
      <c r="I12" s="25"/>
      <c r="J12" s="131" t="s">
        <v>85</v>
      </c>
      <c r="K12" s="25"/>
      <c r="L12" s="131"/>
      <c r="M12" s="25"/>
      <c r="N12" s="137" t="s">
        <v>105</v>
      </c>
      <c r="O12" s="34"/>
      <c r="P12" s="127"/>
      <c r="Q12" s="1"/>
      <c r="R12" s="1"/>
      <c r="S12" s="1"/>
      <c r="T12" s="1"/>
      <c r="U12" s="1"/>
      <c r="V12" s="1"/>
      <c r="W12" s="1"/>
      <c r="X12" s="1"/>
      <c r="Y12" s="1"/>
      <c r="Z12" s="1"/>
    </row>
    <row r="13" ht="19.5" customHeight="1">
      <c r="A13" s="1"/>
      <c r="B13" s="42"/>
      <c r="C13" s="69" t="s">
        <v>109</v>
      </c>
      <c r="P13" s="151"/>
      <c r="Q13" s="1"/>
      <c r="R13" s="1"/>
      <c r="S13" s="1"/>
      <c r="T13" s="1"/>
      <c r="U13" s="1"/>
      <c r="V13" s="1"/>
      <c r="W13" s="1"/>
      <c r="X13" s="1"/>
      <c r="Y13" s="1"/>
      <c r="Z13" s="1"/>
    </row>
    <row r="14" ht="19.5" customHeight="1">
      <c r="A14" s="1"/>
      <c r="B14" s="42"/>
      <c r="C14" s="152" t="s">
        <v>11</v>
      </c>
      <c r="D14" s="62"/>
      <c r="E14" s="154" t="s">
        <v>57</v>
      </c>
      <c r="F14" s="59"/>
      <c r="G14" s="154" t="s">
        <v>19</v>
      </c>
      <c r="H14" s="59"/>
      <c r="I14" s="59"/>
      <c r="J14" s="59"/>
      <c r="K14" s="59"/>
      <c r="L14" s="154" t="s">
        <v>113</v>
      </c>
      <c r="M14" s="62"/>
      <c r="N14" s="154" t="s">
        <v>114</v>
      </c>
      <c r="O14" s="59"/>
      <c r="P14" s="68"/>
      <c r="Q14" s="1"/>
      <c r="R14" s="1"/>
      <c r="S14" s="1"/>
      <c r="T14" s="1"/>
      <c r="U14" s="1"/>
      <c r="V14" s="1"/>
      <c r="W14" s="1"/>
      <c r="X14" s="1"/>
      <c r="Y14" s="1"/>
      <c r="Z14" s="1"/>
    </row>
    <row r="15" ht="31.5" customHeight="1">
      <c r="A15" s="1"/>
      <c r="B15" s="42"/>
      <c r="C15" s="157" t="s">
        <v>115</v>
      </c>
      <c r="D15" s="158"/>
      <c r="E15" s="158"/>
      <c r="F15" s="158"/>
      <c r="G15" s="158"/>
      <c r="H15" s="158"/>
      <c r="I15" s="158"/>
      <c r="J15" s="158"/>
      <c r="K15" s="158"/>
      <c r="L15" s="158"/>
      <c r="M15" s="158"/>
      <c r="N15" s="158"/>
      <c r="O15" s="158"/>
      <c r="P15" s="159"/>
      <c r="Q15" s="1"/>
      <c r="R15" s="1"/>
      <c r="S15" s="1"/>
      <c r="T15" s="1"/>
      <c r="U15" s="1"/>
      <c r="V15" s="1"/>
      <c r="W15" s="1"/>
      <c r="X15" s="1"/>
      <c r="Y15" s="1"/>
      <c r="Z15" s="1"/>
    </row>
    <row r="16" ht="70.5" customHeight="1">
      <c r="A16" s="1"/>
      <c r="B16" s="42"/>
      <c r="C16" s="101" t="s">
        <v>117</v>
      </c>
      <c r="D16" s="95"/>
      <c r="E16" s="101" t="s">
        <v>118</v>
      </c>
      <c r="F16" s="95"/>
      <c r="G16" s="131" t="s">
        <v>29</v>
      </c>
      <c r="H16" s="34"/>
      <c r="I16" s="34"/>
      <c r="J16" s="34"/>
      <c r="K16" s="25"/>
      <c r="L16" s="162" t="s">
        <v>119</v>
      </c>
      <c r="M16" s="25"/>
      <c r="N16" s="163" t="s">
        <v>121</v>
      </c>
      <c r="O16" s="34"/>
      <c r="P16" s="127"/>
      <c r="Q16" s="1"/>
      <c r="R16" s="1"/>
      <c r="S16" s="1"/>
      <c r="T16" s="1"/>
      <c r="U16" s="1"/>
      <c r="V16" s="1"/>
      <c r="W16" s="1"/>
      <c r="X16" s="1"/>
      <c r="Y16" s="1"/>
      <c r="Z16" s="1"/>
    </row>
    <row r="17" ht="57.75" customHeight="1">
      <c r="A17" s="1"/>
      <c r="B17" s="42"/>
      <c r="C17" s="133"/>
      <c r="D17" s="78"/>
      <c r="E17" s="133"/>
      <c r="F17" s="78"/>
      <c r="G17" s="164" t="s">
        <v>36</v>
      </c>
      <c r="H17" s="76"/>
      <c r="I17" s="76"/>
      <c r="J17" s="76"/>
      <c r="K17" s="78"/>
      <c r="L17" s="166" t="s">
        <v>73</v>
      </c>
      <c r="M17" s="78"/>
      <c r="N17" s="168" t="s">
        <v>122</v>
      </c>
      <c r="O17" s="76"/>
      <c r="P17" s="79"/>
      <c r="Q17" s="1"/>
      <c r="R17" s="1"/>
      <c r="S17" s="1"/>
      <c r="T17" s="1"/>
      <c r="U17" s="1"/>
      <c r="V17" s="1"/>
      <c r="W17" s="1"/>
      <c r="X17" s="1"/>
      <c r="Y17" s="1"/>
      <c r="Z17" s="1"/>
    </row>
    <row r="18" ht="84.0" customHeight="1">
      <c r="A18" s="1"/>
      <c r="B18" s="42"/>
      <c r="C18" s="131" t="s">
        <v>53</v>
      </c>
      <c r="D18" s="25"/>
      <c r="E18" s="164" t="s">
        <v>124</v>
      </c>
      <c r="F18" s="78"/>
      <c r="G18" s="131" t="s">
        <v>43</v>
      </c>
      <c r="H18" s="34"/>
      <c r="I18" s="34"/>
      <c r="J18" s="34"/>
      <c r="K18" s="25"/>
      <c r="L18" s="162" t="s">
        <v>125</v>
      </c>
      <c r="M18" s="25"/>
      <c r="N18" s="163" t="s">
        <v>126</v>
      </c>
      <c r="O18" s="34"/>
      <c r="P18" s="127"/>
      <c r="Q18" s="1"/>
      <c r="R18" s="1"/>
      <c r="S18" s="1"/>
      <c r="T18" s="1"/>
      <c r="U18" s="1"/>
      <c r="V18" s="1"/>
      <c r="W18" s="1"/>
      <c r="X18" s="1"/>
      <c r="Y18" s="1"/>
      <c r="Z18" s="1"/>
    </row>
    <row r="19" ht="78.75" customHeight="1">
      <c r="A19" s="1"/>
      <c r="B19" s="42"/>
      <c r="C19" s="131" t="s">
        <v>128</v>
      </c>
      <c r="D19" s="25"/>
      <c r="E19" s="164" t="s">
        <v>129</v>
      </c>
      <c r="F19" s="78"/>
      <c r="G19" s="131" t="s">
        <v>130</v>
      </c>
      <c r="H19" s="34"/>
      <c r="I19" s="34"/>
      <c r="J19" s="34"/>
      <c r="K19" s="25"/>
      <c r="L19" s="162" t="s">
        <v>131</v>
      </c>
      <c r="M19" s="25"/>
      <c r="N19" s="163" t="s">
        <v>132</v>
      </c>
      <c r="O19" s="34"/>
      <c r="P19" s="127"/>
      <c r="Q19" s="1"/>
      <c r="R19" s="1"/>
      <c r="S19" s="1"/>
      <c r="T19" s="1"/>
      <c r="U19" s="1"/>
      <c r="V19" s="1"/>
      <c r="W19" s="1"/>
      <c r="X19" s="1"/>
      <c r="Y19" s="1"/>
      <c r="Z19" s="1"/>
    </row>
    <row r="20" ht="37.5" customHeight="1">
      <c r="A20" s="1"/>
      <c r="B20" s="42"/>
      <c r="C20" s="171" t="s">
        <v>134</v>
      </c>
      <c r="D20" s="120"/>
      <c r="E20" s="120"/>
      <c r="F20" s="120"/>
      <c r="G20" s="120"/>
      <c r="H20" s="120"/>
      <c r="I20" s="120"/>
      <c r="J20" s="120"/>
      <c r="K20" s="120"/>
      <c r="L20" s="120"/>
      <c r="M20" s="120"/>
      <c r="N20" s="120"/>
      <c r="O20" s="120"/>
      <c r="P20" s="121"/>
      <c r="Q20" s="1"/>
      <c r="R20" s="1"/>
      <c r="S20" s="1"/>
      <c r="T20" s="1"/>
      <c r="U20" s="1"/>
      <c r="V20" s="1"/>
      <c r="W20" s="1"/>
      <c r="X20" s="1"/>
      <c r="Y20" s="1"/>
      <c r="Z20" s="1"/>
    </row>
    <row r="21" ht="77.25" customHeight="1">
      <c r="A21" s="1"/>
      <c r="B21" s="42"/>
      <c r="C21" s="174">
        <v>0.375</v>
      </c>
      <c r="D21" s="78"/>
      <c r="E21" s="175" t="s">
        <v>136</v>
      </c>
      <c r="F21" s="76"/>
      <c r="G21" s="164" t="s">
        <v>137</v>
      </c>
      <c r="H21" s="76"/>
      <c r="I21" s="76"/>
      <c r="J21" s="76"/>
      <c r="K21" s="76"/>
      <c r="L21" s="166" t="s">
        <v>138</v>
      </c>
      <c r="M21" s="76"/>
      <c r="N21" s="176" t="s">
        <v>139</v>
      </c>
      <c r="O21" s="120"/>
      <c r="P21" s="121"/>
      <c r="Q21" s="1"/>
      <c r="R21" s="1"/>
      <c r="S21" s="1"/>
      <c r="T21" s="1"/>
      <c r="U21" s="1"/>
      <c r="V21" s="1"/>
      <c r="W21" s="1"/>
      <c r="X21" s="1"/>
      <c r="Y21" s="1"/>
      <c r="Z21" s="1"/>
    </row>
    <row r="22" ht="33.75" customHeight="1">
      <c r="A22" s="1"/>
      <c r="B22" s="42"/>
      <c r="C22" s="177" t="s">
        <v>53</v>
      </c>
      <c r="D22" s="56"/>
      <c r="E22" s="128" t="s">
        <v>140</v>
      </c>
      <c r="F22" s="25"/>
      <c r="G22" s="178" t="s">
        <v>141</v>
      </c>
      <c r="H22" s="34"/>
      <c r="I22" s="34"/>
      <c r="J22" s="34"/>
      <c r="K22" s="25"/>
      <c r="L22" s="162" t="s">
        <v>142</v>
      </c>
      <c r="M22" s="25"/>
      <c r="N22" s="181" t="s">
        <v>143</v>
      </c>
      <c r="O22" s="34"/>
      <c r="P22" s="127"/>
      <c r="Q22" s="1"/>
      <c r="R22" s="1"/>
      <c r="S22" s="1"/>
      <c r="T22" s="1"/>
      <c r="U22" s="1"/>
      <c r="V22" s="1"/>
      <c r="W22" s="1"/>
      <c r="X22" s="1"/>
      <c r="Y22" s="1"/>
      <c r="Z22" s="1"/>
    </row>
    <row r="23" ht="57.75" customHeight="1">
      <c r="A23" s="1"/>
      <c r="B23" s="42"/>
      <c r="C23" s="112"/>
      <c r="D23" s="56"/>
      <c r="E23" s="140" t="s">
        <v>147</v>
      </c>
      <c r="F23" s="95"/>
      <c r="G23" s="101" t="s">
        <v>148</v>
      </c>
      <c r="H23" s="100"/>
      <c r="I23" s="100"/>
      <c r="J23" s="100"/>
      <c r="K23" s="95"/>
      <c r="L23" s="162" t="s">
        <v>148</v>
      </c>
      <c r="M23" s="25"/>
      <c r="N23" s="184" t="s">
        <v>149</v>
      </c>
      <c r="O23" s="34"/>
      <c r="P23" s="127"/>
      <c r="Q23" s="1"/>
      <c r="R23" s="1"/>
      <c r="S23" s="1"/>
      <c r="T23" s="1"/>
      <c r="U23" s="1"/>
      <c r="V23" s="1"/>
      <c r="W23" s="1"/>
      <c r="X23" s="1"/>
      <c r="Y23" s="1"/>
      <c r="Z23" s="1"/>
    </row>
    <row r="24" ht="44.25" customHeight="1">
      <c r="A24" s="1"/>
      <c r="B24" s="42"/>
      <c r="C24" s="112"/>
      <c r="D24" s="56"/>
      <c r="E24" s="76"/>
      <c r="F24" s="78"/>
      <c r="G24" s="133"/>
      <c r="H24" s="76"/>
      <c r="I24" s="76"/>
      <c r="J24" s="76"/>
      <c r="K24" s="78"/>
      <c r="L24" s="162" t="s">
        <v>73</v>
      </c>
      <c r="M24" s="25"/>
      <c r="N24" s="187" t="s">
        <v>151</v>
      </c>
      <c r="O24" s="34"/>
      <c r="P24" s="127"/>
      <c r="Q24" s="1"/>
      <c r="R24" s="1"/>
      <c r="S24" s="1"/>
      <c r="T24" s="1"/>
      <c r="U24" s="1"/>
      <c r="V24" s="1"/>
      <c r="W24" s="1"/>
      <c r="X24" s="1"/>
      <c r="Y24" s="1"/>
      <c r="Z24" s="1"/>
    </row>
    <row r="25" ht="30.75" customHeight="1">
      <c r="A25" s="1"/>
      <c r="B25" s="42"/>
      <c r="C25" s="133"/>
      <c r="D25" s="78"/>
      <c r="E25" s="128" t="s">
        <v>152</v>
      </c>
      <c r="F25" s="25"/>
      <c r="G25" s="131" t="s">
        <v>55</v>
      </c>
      <c r="H25" s="34"/>
      <c r="I25" s="34"/>
      <c r="J25" s="34"/>
      <c r="K25" s="25"/>
      <c r="L25" s="162" t="s">
        <v>153</v>
      </c>
      <c r="M25" s="25"/>
      <c r="N25" s="163" t="s">
        <v>154</v>
      </c>
      <c r="O25" s="34"/>
      <c r="P25" s="127"/>
      <c r="Q25" s="1"/>
      <c r="R25" s="1"/>
      <c r="S25" s="1"/>
      <c r="T25" s="1"/>
      <c r="U25" s="1"/>
      <c r="V25" s="1"/>
      <c r="W25" s="1"/>
      <c r="X25" s="1"/>
      <c r="Y25" s="1"/>
      <c r="Z25" s="1"/>
    </row>
    <row r="26" ht="110.25" customHeight="1">
      <c r="A26" s="1"/>
      <c r="B26" s="42"/>
      <c r="C26" s="188" t="s">
        <v>92</v>
      </c>
      <c r="D26" s="190"/>
      <c r="E26" s="177" t="s">
        <v>156</v>
      </c>
      <c r="F26" s="56"/>
      <c r="G26" s="191" t="s">
        <v>157</v>
      </c>
      <c r="K26" s="56"/>
      <c r="L26" s="166" t="s">
        <v>158</v>
      </c>
      <c r="M26" s="78"/>
      <c r="N26" s="192" t="s">
        <v>159</v>
      </c>
      <c r="O26" s="76"/>
      <c r="P26" s="79"/>
      <c r="Q26" s="1"/>
      <c r="R26" s="1"/>
      <c r="S26" s="1"/>
      <c r="T26" s="1"/>
      <c r="U26" s="1"/>
      <c r="V26" s="1"/>
      <c r="W26" s="1"/>
      <c r="X26" s="1"/>
      <c r="Y26" s="1"/>
      <c r="Z26" s="1"/>
    </row>
    <row r="27" ht="136.5" customHeight="1">
      <c r="A27" s="1"/>
      <c r="B27" s="42"/>
      <c r="C27" s="194"/>
      <c r="D27" s="56"/>
      <c r="E27" s="112"/>
      <c r="F27" s="56"/>
      <c r="G27" s="112"/>
      <c r="K27" s="56"/>
      <c r="L27" s="162" t="s">
        <v>108</v>
      </c>
      <c r="M27" s="25"/>
      <c r="N27" s="163" t="s">
        <v>161</v>
      </c>
      <c r="O27" s="34"/>
      <c r="P27" s="127"/>
      <c r="Q27" s="1"/>
      <c r="R27" s="1"/>
      <c r="S27" s="1"/>
      <c r="T27" s="1"/>
      <c r="U27" s="1"/>
      <c r="V27" s="1"/>
      <c r="W27" s="1"/>
      <c r="X27" s="1"/>
      <c r="Y27" s="1"/>
      <c r="Z27" s="1"/>
    </row>
    <row r="28" ht="96.75" customHeight="1">
      <c r="A28" s="1"/>
      <c r="B28" s="42"/>
      <c r="C28" s="194"/>
      <c r="D28" s="56"/>
      <c r="E28" s="112"/>
      <c r="F28" s="56"/>
      <c r="G28" s="112"/>
      <c r="K28" s="56"/>
      <c r="L28" s="162" t="s">
        <v>116</v>
      </c>
      <c r="M28" s="25"/>
      <c r="N28" s="163" t="s">
        <v>162</v>
      </c>
      <c r="O28" s="34"/>
      <c r="P28" s="127"/>
      <c r="Q28" s="1"/>
      <c r="R28" s="1"/>
      <c r="S28" s="1"/>
      <c r="T28" s="1"/>
      <c r="U28" s="1"/>
      <c r="V28" s="1"/>
      <c r="W28" s="1"/>
      <c r="X28" s="1"/>
      <c r="Y28" s="1"/>
      <c r="Z28" s="1"/>
    </row>
    <row r="29" ht="96.75" customHeight="1">
      <c r="A29" s="1"/>
      <c r="B29" s="42"/>
      <c r="C29" s="194"/>
      <c r="D29" s="56"/>
      <c r="E29" s="112"/>
      <c r="F29" s="56"/>
      <c r="G29" s="112"/>
      <c r="K29" s="56"/>
      <c r="L29" s="162" t="s">
        <v>123</v>
      </c>
      <c r="M29" s="25"/>
      <c r="N29" s="198" t="s">
        <v>164</v>
      </c>
      <c r="O29" s="34"/>
      <c r="P29" s="127"/>
      <c r="Q29" s="1"/>
      <c r="R29" s="1"/>
      <c r="S29" s="1"/>
      <c r="T29" s="1"/>
      <c r="U29" s="1"/>
      <c r="V29" s="1"/>
      <c r="W29" s="1"/>
      <c r="X29" s="1"/>
      <c r="Y29" s="1"/>
      <c r="Z29" s="1"/>
    </row>
    <row r="30" ht="44.25" customHeight="1">
      <c r="A30" s="1"/>
      <c r="B30" s="42"/>
      <c r="C30" s="194"/>
      <c r="D30" s="56"/>
      <c r="E30" s="112"/>
      <c r="F30" s="56"/>
      <c r="G30" s="112"/>
      <c r="K30" s="56"/>
      <c r="L30" s="200" t="s">
        <v>135</v>
      </c>
      <c r="M30" s="95"/>
      <c r="N30" s="202" t="s">
        <v>165</v>
      </c>
      <c r="O30" s="100"/>
      <c r="P30" s="102"/>
      <c r="Q30" s="1"/>
      <c r="R30" s="1"/>
      <c r="S30" s="1"/>
      <c r="T30" s="1"/>
      <c r="U30" s="1"/>
      <c r="V30" s="1"/>
      <c r="W30" s="1"/>
      <c r="X30" s="1"/>
      <c r="Y30" s="1"/>
      <c r="Z30" s="1"/>
    </row>
    <row r="31" ht="44.25" customHeight="1">
      <c r="A31" s="1"/>
      <c r="B31" s="42"/>
      <c r="C31" s="204"/>
      <c r="D31" s="115"/>
      <c r="E31" s="114"/>
      <c r="F31" s="115"/>
      <c r="G31" s="114"/>
      <c r="H31" s="41"/>
      <c r="I31" s="41"/>
      <c r="J31" s="41"/>
      <c r="K31" s="115"/>
      <c r="L31" s="206" t="s">
        <v>133</v>
      </c>
      <c r="M31" s="113"/>
      <c r="N31" s="207" t="s">
        <v>167</v>
      </c>
      <c r="O31" s="111"/>
      <c r="P31" s="209"/>
      <c r="Q31" s="1"/>
      <c r="R31" s="1"/>
      <c r="S31" s="1"/>
      <c r="T31" s="1"/>
      <c r="U31" s="1"/>
      <c r="V31" s="1"/>
      <c r="W31" s="1"/>
      <c r="X31" s="1"/>
      <c r="Y31" s="1"/>
      <c r="Z31" s="1"/>
    </row>
    <row r="32" ht="39.0" customHeight="1">
      <c r="A32" s="1"/>
      <c r="B32" s="42"/>
      <c r="C32" s="212" t="s">
        <v>169</v>
      </c>
      <c r="D32" s="120"/>
      <c r="E32" s="120"/>
      <c r="F32" s="120"/>
      <c r="G32" s="120"/>
      <c r="H32" s="120"/>
      <c r="I32" s="120"/>
      <c r="J32" s="120"/>
      <c r="K32" s="120"/>
      <c r="L32" s="120"/>
      <c r="M32" s="120"/>
      <c r="N32" s="120"/>
      <c r="O32" s="120"/>
      <c r="P32" s="121"/>
      <c r="Q32" s="1"/>
      <c r="R32" s="1"/>
      <c r="S32" s="1"/>
      <c r="T32" s="1"/>
      <c r="U32" s="1"/>
      <c r="V32" s="1"/>
      <c r="W32" s="1"/>
      <c r="X32" s="1"/>
      <c r="Y32" s="1"/>
      <c r="Z32" s="1"/>
    </row>
    <row r="33" ht="30.75" customHeight="1">
      <c r="A33" s="1"/>
      <c r="B33" s="42"/>
      <c r="C33" s="69" t="s">
        <v>173</v>
      </c>
      <c r="D33" s="56"/>
      <c r="E33" s="177" t="s">
        <v>156</v>
      </c>
      <c r="F33" s="56"/>
      <c r="G33" s="191" t="s">
        <v>175</v>
      </c>
      <c r="K33" s="56"/>
      <c r="L33" s="222" t="s">
        <v>176</v>
      </c>
      <c r="M33" s="56"/>
      <c r="N33" s="224" t="s">
        <v>177</v>
      </c>
      <c r="P33" s="151"/>
      <c r="Q33" s="1"/>
      <c r="R33" s="1"/>
      <c r="S33" s="1"/>
      <c r="T33" s="1"/>
      <c r="U33" s="1"/>
      <c r="V33" s="1"/>
      <c r="W33" s="1"/>
      <c r="X33" s="1"/>
      <c r="Y33" s="1"/>
      <c r="Z33" s="1"/>
    </row>
    <row r="34" ht="30.75" customHeight="1">
      <c r="A34" s="1"/>
      <c r="B34" s="42"/>
      <c r="D34" s="56"/>
      <c r="E34" s="112"/>
      <c r="F34" s="56"/>
      <c r="G34" s="112"/>
      <c r="K34" s="56"/>
      <c r="L34" s="162" t="s">
        <v>146</v>
      </c>
      <c r="M34" s="25"/>
      <c r="N34" s="163" t="s">
        <v>178</v>
      </c>
      <c r="O34" s="34"/>
      <c r="P34" s="127"/>
      <c r="Q34" s="1"/>
      <c r="R34" s="1"/>
      <c r="S34" s="1"/>
      <c r="T34" s="1"/>
      <c r="U34" s="1"/>
      <c r="V34" s="1"/>
      <c r="W34" s="1"/>
      <c r="X34" s="1"/>
      <c r="Y34" s="1"/>
      <c r="Z34" s="1"/>
    </row>
    <row r="35" ht="102.75" customHeight="1">
      <c r="A35" s="1"/>
      <c r="B35" s="42"/>
      <c r="D35" s="56"/>
      <c r="E35" s="112"/>
      <c r="F35" s="56"/>
      <c r="G35" s="112"/>
      <c r="K35" s="56"/>
      <c r="L35" s="166" t="s">
        <v>180</v>
      </c>
      <c r="M35" s="78"/>
      <c r="N35" s="168" t="s">
        <v>181</v>
      </c>
      <c r="O35" s="76"/>
      <c r="P35" s="79"/>
      <c r="Q35" s="1"/>
      <c r="R35" s="1"/>
      <c r="S35" s="1"/>
      <c r="T35" s="1"/>
      <c r="U35" s="1"/>
      <c r="V35" s="1"/>
      <c r="W35" s="1"/>
      <c r="X35" s="1"/>
      <c r="Y35" s="1"/>
      <c r="Z35" s="1"/>
    </row>
    <row r="36" ht="94.5" customHeight="1">
      <c r="A36" s="1"/>
      <c r="B36" s="42"/>
      <c r="D36" s="56"/>
      <c r="E36" s="112"/>
      <c r="F36" s="56"/>
      <c r="G36" s="112"/>
      <c r="K36" s="56"/>
      <c r="L36" s="162" t="s">
        <v>185</v>
      </c>
      <c r="M36" s="25"/>
      <c r="N36" s="163" t="s">
        <v>186</v>
      </c>
      <c r="O36" s="34"/>
      <c r="P36" s="127"/>
      <c r="Q36" s="1"/>
      <c r="R36" s="1"/>
      <c r="S36" s="1"/>
      <c r="T36" s="1"/>
      <c r="U36" s="1"/>
      <c r="V36" s="1"/>
      <c r="W36" s="1"/>
      <c r="X36" s="1"/>
      <c r="Y36" s="1"/>
      <c r="Z36" s="1"/>
    </row>
    <row r="37" ht="63.0" customHeight="1">
      <c r="A37" s="1"/>
      <c r="B37" s="42"/>
      <c r="C37" s="41"/>
      <c r="D37" s="115"/>
      <c r="E37" s="114"/>
      <c r="F37" s="115"/>
      <c r="G37" s="114"/>
      <c r="H37" s="41"/>
      <c r="I37" s="41"/>
      <c r="J37" s="41"/>
      <c r="K37" s="115"/>
      <c r="L37" s="206" t="s">
        <v>188</v>
      </c>
      <c r="M37" s="113"/>
      <c r="N37" s="230" t="s">
        <v>189</v>
      </c>
      <c r="O37" s="111"/>
      <c r="P37" s="209"/>
      <c r="Q37" s="1"/>
      <c r="R37" s="1"/>
      <c r="S37" s="1"/>
      <c r="T37" s="1"/>
      <c r="U37" s="1"/>
      <c r="V37" s="1"/>
      <c r="W37" s="1"/>
      <c r="X37" s="1"/>
      <c r="Y37" s="1"/>
      <c r="Z37" s="1"/>
    </row>
    <row r="38" ht="77.25" customHeight="1">
      <c r="A38" s="1"/>
      <c r="B38" s="42"/>
      <c r="C38" s="177" t="s">
        <v>190</v>
      </c>
      <c r="D38" s="56"/>
      <c r="E38" s="177" t="s">
        <v>156</v>
      </c>
      <c r="F38" s="56"/>
      <c r="G38" s="177" t="s">
        <v>171</v>
      </c>
      <c r="K38" s="56"/>
      <c r="L38" s="166" t="s">
        <v>192</v>
      </c>
      <c r="M38" s="78"/>
      <c r="N38" s="168" t="s">
        <v>194</v>
      </c>
      <c r="O38" s="76"/>
      <c r="P38" s="79"/>
      <c r="Q38" s="1"/>
      <c r="R38" s="1"/>
      <c r="S38" s="1"/>
      <c r="T38" s="1"/>
      <c r="U38" s="1"/>
      <c r="V38" s="1"/>
      <c r="W38" s="1"/>
      <c r="X38" s="1"/>
      <c r="Y38" s="1"/>
      <c r="Z38" s="1"/>
    </row>
    <row r="39" ht="44.25" customHeight="1">
      <c r="A39" s="1"/>
      <c r="B39" s="42"/>
      <c r="C39" s="114"/>
      <c r="D39" s="115"/>
      <c r="E39" s="114"/>
      <c r="F39" s="115"/>
      <c r="G39" s="114"/>
      <c r="H39" s="41"/>
      <c r="I39" s="41"/>
      <c r="J39" s="41"/>
      <c r="K39" s="115"/>
      <c r="L39" s="206" t="s">
        <v>179</v>
      </c>
      <c r="M39" s="113"/>
      <c r="N39" s="207" t="s">
        <v>196</v>
      </c>
      <c r="O39" s="111"/>
      <c r="P39" s="209"/>
      <c r="Q39" s="1"/>
      <c r="R39" s="1"/>
      <c r="S39" s="1"/>
      <c r="T39" s="1"/>
      <c r="U39" s="1"/>
      <c r="V39" s="1"/>
      <c r="W39" s="1"/>
      <c r="X39" s="1"/>
      <c r="Y39" s="1"/>
      <c r="Z39" s="1"/>
    </row>
    <row r="40" ht="44.25" customHeight="1">
      <c r="A40" s="1"/>
      <c r="B40" s="42"/>
      <c r="C40" s="177" t="s">
        <v>198</v>
      </c>
      <c r="D40" s="56"/>
      <c r="E40" s="177" t="s">
        <v>156</v>
      </c>
      <c r="F40" s="56"/>
      <c r="G40" s="177" t="s">
        <v>199</v>
      </c>
      <c r="K40" s="56"/>
      <c r="L40" s="166" t="s">
        <v>200</v>
      </c>
      <c r="M40" s="78"/>
      <c r="N40" s="168" t="s">
        <v>202</v>
      </c>
      <c r="O40" s="76"/>
      <c r="P40" s="79"/>
      <c r="Q40" s="1"/>
      <c r="R40" s="1"/>
      <c r="S40" s="1"/>
      <c r="T40" s="1"/>
      <c r="U40" s="1"/>
      <c r="V40" s="1"/>
      <c r="W40" s="1"/>
      <c r="X40" s="1"/>
      <c r="Y40" s="1"/>
      <c r="Z40" s="1"/>
    </row>
    <row r="41" ht="110.25" customHeight="1">
      <c r="A41" s="1"/>
      <c r="B41" s="42"/>
      <c r="C41" s="112"/>
      <c r="D41" s="56"/>
      <c r="E41" s="112"/>
      <c r="F41" s="56"/>
      <c r="G41" s="112"/>
      <c r="K41" s="56"/>
      <c r="L41" s="162" t="s">
        <v>187</v>
      </c>
      <c r="M41" s="25"/>
      <c r="N41" s="163" t="s">
        <v>205</v>
      </c>
      <c r="O41" s="34"/>
      <c r="P41" s="127"/>
      <c r="Q41" s="1"/>
      <c r="R41" s="1"/>
      <c r="S41" s="1"/>
      <c r="T41" s="1"/>
      <c r="U41" s="1"/>
      <c r="V41" s="1"/>
      <c r="W41" s="1"/>
      <c r="X41" s="1"/>
      <c r="Y41" s="1"/>
      <c r="Z41" s="1"/>
    </row>
    <row r="42" ht="96.75" customHeight="1">
      <c r="A42" s="1"/>
      <c r="B42" s="42"/>
      <c r="C42" s="112"/>
      <c r="D42" s="56"/>
      <c r="E42" s="112"/>
      <c r="F42" s="56"/>
      <c r="G42" s="112"/>
      <c r="K42" s="56"/>
      <c r="L42" s="162" t="s">
        <v>191</v>
      </c>
      <c r="M42" s="25"/>
      <c r="N42" s="163" t="s">
        <v>210</v>
      </c>
      <c r="O42" s="34"/>
      <c r="P42" s="127"/>
      <c r="Q42" s="1"/>
      <c r="R42" s="1"/>
      <c r="S42" s="1"/>
      <c r="T42" s="1"/>
      <c r="U42" s="1"/>
      <c r="V42" s="1"/>
      <c r="W42" s="1"/>
      <c r="X42" s="1"/>
      <c r="Y42" s="1"/>
      <c r="Z42" s="1"/>
    </row>
    <row r="43" ht="136.5" customHeight="1">
      <c r="A43" s="1"/>
      <c r="B43" s="42"/>
      <c r="C43" s="112"/>
      <c r="D43" s="56"/>
      <c r="E43" s="112"/>
      <c r="F43" s="56"/>
      <c r="G43" s="112"/>
      <c r="K43" s="56"/>
      <c r="L43" s="162" t="s">
        <v>212</v>
      </c>
      <c r="M43" s="25"/>
      <c r="N43" s="163" t="s">
        <v>214</v>
      </c>
      <c r="O43" s="34"/>
      <c r="P43" s="127"/>
      <c r="Q43" s="1"/>
      <c r="R43" s="1"/>
      <c r="S43" s="1"/>
      <c r="T43" s="1"/>
      <c r="U43" s="1"/>
      <c r="V43" s="1"/>
      <c r="W43" s="1"/>
      <c r="X43" s="1"/>
      <c r="Y43" s="1"/>
      <c r="Z43" s="1"/>
    </row>
    <row r="44" ht="30.75" customHeight="1">
      <c r="A44" s="1"/>
      <c r="B44" s="42"/>
      <c r="C44" s="112"/>
      <c r="D44" s="56"/>
      <c r="E44" s="112"/>
      <c r="F44" s="56"/>
      <c r="G44" s="112"/>
      <c r="K44" s="56"/>
      <c r="L44" s="162" t="s">
        <v>197</v>
      </c>
      <c r="M44" s="25"/>
      <c r="N44" s="163" t="s">
        <v>219</v>
      </c>
      <c r="O44" s="34"/>
      <c r="P44" s="127"/>
      <c r="Q44" s="1"/>
      <c r="R44" s="1"/>
      <c r="S44" s="1"/>
      <c r="T44" s="1"/>
      <c r="U44" s="1"/>
      <c r="V44" s="1"/>
      <c r="W44" s="1"/>
      <c r="X44" s="1"/>
      <c r="Y44" s="1"/>
      <c r="Z44" s="1"/>
    </row>
    <row r="45" ht="110.25" customHeight="1">
      <c r="A45" s="1"/>
      <c r="B45" s="42"/>
      <c r="C45" s="112"/>
      <c r="D45" s="56"/>
      <c r="E45" s="112"/>
      <c r="F45" s="56"/>
      <c r="G45" s="133"/>
      <c r="H45" s="76"/>
      <c r="I45" s="76"/>
      <c r="J45" s="76"/>
      <c r="K45" s="78"/>
      <c r="L45" s="200" t="s">
        <v>201</v>
      </c>
      <c r="M45" s="95"/>
      <c r="N45" s="202" t="s">
        <v>221</v>
      </c>
      <c r="O45" s="100"/>
      <c r="P45" s="102"/>
      <c r="Q45" s="1"/>
      <c r="R45" s="1"/>
      <c r="S45" s="1"/>
      <c r="T45" s="1"/>
      <c r="U45" s="1"/>
      <c r="V45" s="1"/>
      <c r="W45" s="1"/>
      <c r="X45" s="1"/>
      <c r="Y45" s="1"/>
      <c r="Z45" s="1"/>
    </row>
    <row r="46" ht="64.5" customHeight="1">
      <c r="A46" s="1"/>
      <c r="B46" s="42"/>
      <c r="C46" s="112"/>
      <c r="D46" s="56"/>
      <c r="E46" s="112"/>
      <c r="F46" s="56"/>
      <c r="G46" s="177" t="s">
        <v>223</v>
      </c>
      <c r="K46" s="56"/>
      <c r="L46" s="260" t="s">
        <v>200</v>
      </c>
      <c r="M46" s="262"/>
      <c r="N46" s="265" t="s">
        <v>228</v>
      </c>
      <c r="O46" s="267"/>
      <c r="P46" s="268"/>
      <c r="Q46" s="1"/>
      <c r="R46" s="1"/>
      <c r="S46" s="1"/>
      <c r="T46" s="1"/>
      <c r="U46" s="1"/>
      <c r="V46" s="1"/>
      <c r="W46" s="1"/>
      <c r="X46" s="1"/>
      <c r="Y46" s="1"/>
      <c r="Z46" s="1"/>
    </row>
    <row r="47" ht="57.75" customHeight="1">
      <c r="A47" s="1"/>
      <c r="B47" s="42"/>
      <c r="C47" s="112"/>
      <c r="D47" s="56"/>
      <c r="E47" s="112"/>
      <c r="F47" s="56"/>
      <c r="G47" s="112"/>
      <c r="K47" s="56"/>
      <c r="L47" s="162" t="s">
        <v>187</v>
      </c>
      <c r="M47" s="25"/>
      <c r="N47" s="163" t="s">
        <v>238</v>
      </c>
      <c r="O47" s="34"/>
      <c r="P47" s="127"/>
      <c r="Q47" s="1"/>
      <c r="R47" s="1"/>
      <c r="S47" s="1"/>
      <c r="T47" s="1"/>
      <c r="U47" s="1"/>
      <c r="V47" s="1"/>
      <c r="W47" s="1"/>
      <c r="X47" s="1"/>
      <c r="Y47" s="1"/>
      <c r="Z47" s="1"/>
    </row>
    <row r="48" ht="110.25" customHeight="1">
      <c r="A48" s="1"/>
      <c r="B48" s="42"/>
      <c r="C48" s="112"/>
      <c r="D48" s="56"/>
      <c r="E48" s="112"/>
      <c r="F48" s="56"/>
      <c r="G48" s="112"/>
      <c r="K48" s="56"/>
      <c r="L48" s="162" t="s">
        <v>191</v>
      </c>
      <c r="M48" s="25"/>
      <c r="N48" s="163" t="s">
        <v>252</v>
      </c>
      <c r="O48" s="34"/>
      <c r="P48" s="127"/>
      <c r="Q48" s="1"/>
      <c r="R48" s="1"/>
      <c r="S48" s="1"/>
      <c r="T48" s="1"/>
      <c r="U48" s="1"/>
      <c r="V48" s="1"/>
      <c r="W48" s="1"/>
      <c r="X48" s="1"/>
      <c r="Y48" s="1"/>
      <c r="Z48" s="1"/>
    </row>
    <row r="49" ht="19.5" customHeight="1">
      <c r="A49" s="1"/>
      <c r="B49" s="42"/>
      <c r="C49" s="112"/>
      <c r="D49" s="56"/>
      <c r="E49" s="112"/>
      <c r="F49" s="56"/>
      <c r="G49" s="112"/>
      <c r="K49" s="56"/>
      <c r="L49" s="162" t="s">
        <v>212</v>
      </c>
      <c r="M49" s="25"/>
      <c r="N49" s="163" t="s">
        <v>212</v>
      </c>
      <c r="O49" s="34"/>
      <c r="P49" s="127"/>
      <c r="Q49" s="1"/>
      <c r="R49" s="1"/>
      <c r="S49" s="1"/>
      <c r="T49" s="1"/>
      <c r="U49" s="1"/>
      <c r="V49" s="1"/>
      <c r="W49" s="1"/>
      <c r="X49" s="1"/>
      <c r="Y49" s="1"/>
      <c r="Z49" s="1"/>
    </row>
    <row r="50" ht="19.5" customHeight="1">
      <c r="A50" s="1"/>
      <c r="B50" s="42"/>
      <c r="C50" s="112"/>
      <c r="D50" s="56"/>
      <c r="E50" s="112"/>
      <c r="F50" s="56"/>
      <c r="G50" s="112"/>
      <c r="K50" s="56"/>
      <c r="L50" s="162" t="s">
        <v>266</v>
      </c>
      <c r="M50" s="25"/>
      <c r="N50" s="163" t="s">
        <v>269</v>
      </c>
      <c r="O50" s="34"/>
      <c r="P50" s="127"/>
      <c r="Q50" s="1"/>
      <c r="R50" s="1"/>
      <c r="S50" s="1"/>
      <c r="T50" s="1"/>
      <c r="U50" s="1"/>
      <c r="V50" s="1"/>
      <c r="W50" s="1"/>
      <c r="X50" s="1"/>
      <c r="Y50" s="1"/>
      <c r="Z50" s="1"/>
    </row>
    <row r="51" ht="30.75" customHeight="1">
      <c r="A51" s="1"/>
      <c r="B51" s="42"/>
      <c r="C51" s="114"/>
      <c r="D51" s="115"/>
      <c r="E51" s="114"/>
      <c r="F51" s="115"/>
      <c r="G51" s="114"/>
      <c r="H51" s="41"/>
      <c r="I51" s="41"/>
      <c r="J51" s="41"/>
      <c r="K51" s="115"/>
      <c r="L51" s="206" t="s">
        <v>273</v>
      </c>
      <c r="M51" s="113"/>
      <c r="N51" s="207" t="s">
        <v>276</v>
      </c>
      <c r="O51" s="111"/>
      <c r="P51" s="209"/>
      <c r="Q51" s="1"/>
      <c r="R51" s="1"/>
      <c r="S51" s="1"/>
      <c r="T51" s="1"/>
      <c r="U51" s="1"/>
      <c r="V51" s="1"/>
      <c r="W51" s="1"/>
      <c r="X51" s="1"/>
      <c r="Y51" s="1"/>
      <c r="Z51" s="1"/>
    </row>
    <row r="52" ht="136.5" customHeight="1">
      <c r="A52" s="1"/>
      <c r="B52" s="42"/>
      <c r="C52" s="177" t="s">
        <v>280</v>
      </c>
      <c r="D52" s="56"/>
      <c r="E52" s="177" t="s">
        <v>156</v>
      </c>
      <c r="F52" s="56"/>
      <c r="G52" s="251" t="s">
        <v>217</v>
      </c>
      <c r="H52" s="294"/>
      <c r="I52" s="294"/>
      <c r="J52" s="294"/>
      <c r="K52" s="190"/>
      <c r="L52" s="166" t="s">
        <v>282</v>
      </c>
      <c r="M52" s="78"/>
      <c r="N52" s="296" t="s">
        <v>284</v>
      </c>
      <c r="O52" s="76"/>
      <c r="P52" s="79"/>
      <c r="Q52" s="1"/>
      <c r="R52" s="1"/>
      <c r="S52" s="1"/>
      <c r="T52" s="1"/>
      <c r="U52" s="1"/>
      <c r="V52" s="1"/>
      <c r="W52" s="1"/>
      <c r="X52" s="1"/>
      <c r="Y52" s="1"/>
      <c r="Z52" s="1"/>
    </row>
    <row r="53" ht="176.25" customHeight="1">
      <c r="A53" s="1"/>
      <c r="B53" s="42"/>
      <c r="C53" s="112"/>
      <c r="D53" s="56"/>
      <c r="E53" s="112"/>
      <c r="F53" s="56"/>
      <c r="G53" s="112"/>
      <c r="K53" s="56"/>
      <c r="L53" s="222" t="s">
        <v>239</v>
      </c>
      <c r="M53" s="56"/>
      <c r="N53" s="224" t="s">
        <v>286</v>
      </c>
      <c r="P53" s="151"/>
      <c r="Q53" s="1"/>
      <c r="R53" s="1"/>
      <c r="S53" s="1"/>
      <c r="T53" s="1"/>
      <c r="U53" s="1"/>
      <c r="V53" s="1"/>
      <c r="W53" s="1"/>
      <c r="X53" s="1"/>
      <c r="Y53" s="1"/>
      <c r="Z53" s="1"/>
    </row>
    <row r="54" ht="123.75" customHeight="1">
      <c r="A54" s="1"/>
      <c r="B54" s="42"/>
      <c r="C54" s="112"/>
      <c r="D54" s="56"/>
      <c r="E54" s="112"/>
      <c r="F54" s="56"/>
      <c r="G54" s="112"/>
      <c r="K54" s="56"/>
      <c r="L54" s="222" t="s">
        <v>253</v>
      </c>
      <c r="M54" s="56"/>
      <c r="N54" s="224" t="s">
        <v>287</v>
      </c>
      <c r="P54" s="151"/>
      <c r="Q54" s="1"/>
      <c r="R54" s="1"/>
      <c r="S54" s="1"/>
      <c r="T54" s="1"/>
      <c r="U54" s="1"/>
      <c r="V54" s="1"/>
      <c r="W54" s="1"/>
      <c r="X54" s="1"/>
      <c r="Y54" s="1"/>
      <c r="Z54" s="1"/>
    </row>
    <row r="55" ht="44.25" customHeight="1">
      <c r="A55" s="1"/>
      <c r="B55" s="42"/>
      <c r="C55" s="112"/>
      <c r="D55" s="56"/>
      <c r="E55" s="112"/>
      <c r="F55" s="56"/>
      <c r="G55" s="312"/>
      <c r="H55" s="313"/>
      <c r="I55" s="313"/>
      <c r="J55" s="313"/>
      <c r="K55" s="315"/>
      <c r="L55" s="316" t="s">
        <v>289</v>
      </c>
      <c r="M55" s="317"/>
      <c r="N55" s="318" t="s">
        <v>290</v>
      </c>
      <c r="O55" s="319"/>
      <c r="P55" s="321"/>
      <c r="Q55" s="1"/>
      <c r="R55" s="1"/>
      <c r="S55" s="1"/>
      <c r="T55" s="1"/>
      <c r="U55" s="1"/>
      <c r="V55" s="1"/>
      <c r="W55" s="1"/>
      <c r="X55" s="1"/>
      <c r="Y55" s="1"/>
      <c r="Z55" s="1"/>
    </row>
    <row r="56" ht="30.75" customHeight="1">
      <c r="A56" s="1"/>
      <c r="B56" s="42"/>
      <c r="C56" s="112"/>
      <c r="D56" s="56"/>
      <c r="E56" s="112"/>
      <c r="F56" s="56"/>
      <c r="G56" s="177" t="s">
        <v>292</v>
      </c>
      <c r="H56" s="56"/>
      <c r="I56" s="325" t="s">
        <v>293</v>
      </c>
      <c r="J56" s="294"/>
      <c r="K56" s="190"/>
      <c r="L56" s="166" t="s">
        <v>281</v>
      </c>
      <c r="M56" s="78"/>
      <c r="N56" s="168" t="s">
        <v>294</v>
      </c>
      <c r="O56" s="76"/>
      <c r="P56" s="79"/>
      <c r="Q56" s="1"/>
      <c r="R56" s="1"/>
      <c r="S56" s="1"/>
      <c r="T56" s="1"/>
      <c r="U56" s="1"/>
      <c r="V56" s="1"/>
      <c r="W56" s="1"/>
      <c r="X56" s="1"/>
      <c r="Y56" s="1"/>
      <c r="Z56" s="1"/>
    </row>
    <row r="57" ht="84.0" customHeight="1">
      <c r="A57" s="1"/>
      <c r="B57" s="42"/>
      <c r="C57" s="112"/>
      <c r="D57" s="56"/>
      <c r="E57" s="112"/>
      <c r="F57" s="56"/>
      <c r="G57" s="112"/>
      <c r="H57" s="56"/>
      <c r="I57" s="112"/>
      <c r="K57" s="56"/>
      <c r="L57" s="162" t="s">
        <v>295</v>
      </c>
      <c r="M57" s="25"/>
      <c r="N57" s="163" t="s">
        <v>296</v>
      </c>
      <c r="O57" s="34"/>
      <c r="P57" s="127"/>
      <c r="Q57" s="1"/>
      <c r="R57" s="1"/>
      <c r="S57" s="1"/>
      <c r="T57" s="1"/>
      <c r="U57" s="1"/>
      <c r="V57" s="1"/>
      <c r="W57" s="1"/>
      <c r="X57" s="1"/>
      <c r="Y57" s="1"/>
      <c r="Z57" s="1"/>
    </row>
    <row r="58" ht="120.75" customHeight="1">
      <c r="A58" s="1"/>
      <c r="B58" s="42"/>
      <c r="C58" s="112"/>
      <c r="D58" s="56"/>
      <c r="E58" s="112"/>
      <c r="F58" s="56"/>
      <c r="G58" s="112"/>
      <c r="H58" s="56"/>
      <c r="I58" s="112"/>
      <c r="K58" s="56"/>
      <c r="L58" s="162" t="s">
        <v>288</v>
      </c>
      <c r="M58" s="25"/>
      <c r="N58" s="163" t="s">
        <v>297</v>
      </c>
      <c r="O58" s="34"/>
      <c r="P58" s="127"/>
      <c r="Q58" s="1"/>
      <c r="R58" s="1"/>
      <c r="S58" s="1"/>
      <c r="T58" s="1"/>
      <c r="U58" s="1"/>
      <c r="V58" s="1"/>
      <c r="W58" s="1"/>
      <c r="X58" s="1"/>
      <c r="Y58" s="1"/>
      <c r="Z58" s="1"/>
    </row>
    <row r="59" ht="289.5" customHeight="1">
      <c r="A59" s="1"/>
      <c r="B59" s="42"/>
      <c r="C59" s="112"/>
      <c r="D59" s="56"/>
      <c r="E59" s="112"/>
      <c r="F59" s="56"/>
      <c r="G59" s="112"/>
      <c r="H59" s="56"/>
      <c r="I59" s="112"/>
      <c r="K59" s="56"/>
      <c r="L59" s="162" t="s">
        <v>291</v>
      </c>
      <c r="M59" s="25"/>
      <c r="N59" s="163" t="s">
        <v>298</v>
      </c>
      <c r="O59" s="34"/>
      <c r="P59" s="127"/>
      <c r="Q59" s="1"/>
      <c r="R59" s="1"/>
      <c r="S59" s="1"/>
      <c r="T59" s="1"/>
      <c r="U59" s="1"/>
      <c r="V59" s="1"/>
      <c r="W59" s="1"/>
      <c r="X59" s="1"/>
      <c r="Y59" s="1"/>
      <c r="Z59" s="1"/>
    </row>
    <row r="60" ht="70.5" customHeight="1">
      <c r="A60" s="1"/>
      <c r="B60" s="42"/>
      <c r="C60" s="112"/>
      <c r="D60" s="56"/>
      <c r="E60" s="112"/>
      <c r="F60" s="56"/>
      <c r="G60" s="112"/>
      <c r="H60" s="56"/>
      <c r="I60" s="312"/>
      <c r="J60" s="313"/>
      <c r="K60" s="315"/>
      <c r="L60" s="316" t="s">
        <v>273</v>
      </c>
      <c r="M60" s="317"/>
      <c r="N60" s="318" t="s">
        <v>300</v>
      </c>
      <c r="O60" s="319"/>
      <c r="P60" s="321"/>
      <c r="Q60" s="1"/>
      <c r="R60" s="1"/>
      <c r="S60" s="1"/>
      <c r="T60" s="1"/>
      <c r="U60" s="1"/>
      <c r="V60" s="1"/>
      <c r="W60" s="1"/>
      <c r="X60" s="1"/>
      <c r="Y60" s="1"/>
      <c r="Z60" s="1"/>
    </row>
    <row r="61" ht="30.75" customHeight="1">
      <c r="A61" s="1"/>
      <c r="B61" s="42"/>
      <c r="C61" s="112"/>
      <c r="D61" s="56"/>
      <c r="E61" s="112"/>
      <c r="F61" s="56"/>
      <c r="G61" s="112"/>
      <c r="H61" s="56"/>
      <c r="I61" s="325" t="s">
        <v>301</v>
      </c>
      <c r="J61" s="294"/>
      <c r="K61" s="190"/>
      <c r="L61" s="166" t="s">
        <v>281</v>
      </c>
      <c r="M61" s="78"/>
      <c r="N61" s="168" t="s">
        <v>294</v>
      </c>
      <c r="O61" s="76"/>
      <c r="P61" s="79"/>
      <c r="Q61" s="1"/>
      <c r="R61" s="1"/>
      <c r="S61" s="1"/>
      <c r="T61" s="1"/>
      <c r="U61" s="1"/>
      <c r="V61" s="1"/>
      <c r="W61" s="1"/>
      <c r="X61" s="1"/>
      <c r="Y61" s="1"/>
      <c r="Z61" s="1"/>
    </row>
    <row r="62" ht="84.0" customHeight="1">
      <c r="A62" s="1"/>
      <c r="B62" s="42"/>
      <c r="C62" s="112"/>
      <c r="D62" s="56"/>
      <c r="E62" s="112"/>
      <c r="F62" s="56"/>
      <c r="G62" s="112"/>
      <c r="H62" s="56"/>
      <c r="I62" s="112"/>
      <c r="K62" s="56"/>
      <c r="L62" s="162" t="s">
        <v>295</v>
      </c>
      <c r="M62" s="25"/>
      <c r="N62" s="163" t="s">
        <v>296</v>
      </c>
      <c r="O62" s="34"/>
      <c r="P62" s="127"/>
      <c r="Q62" s="1"/>
      <c r="R62" s="1"/>
      <c r="S62" s="1"/>
      <c r="T62" s="1"/>
      <c r="U62" s="1"/>
      <c r="V62" s="1"/>
      <c r="W62" s="1"/>
      <c r="X62" s="1"/>
      <c r="Y62" s="1"/>
      <c r="Z62" s="1"/>
    </row>
    <row r="63" ht="30.75" customHeight="1">
      <c r="A63" s="1"/>
      <c r="B63" s="42"/>
      <c r="C63" s="112"/>
      <c r="D63" s="56"/>
      <c r="E63" s="112"/>
      <c r="F63" s="56"/>
      <c r="G63" s="112"/>
      <c r="H63" s="56"/>
      <c r="I63" s="112"/>
      <c r="K63" s="56"/>
      <c r="L63" s="162" t="s">
        <v>288</v>
      </c>
      <c r="M63" s="25"/>
      <c r="N63" s="163" t="s">
        <v>302</v>
      </c>
      <c r="O63" s="34"/>
      <c r="P63" s="127"/>
      <c r="Q63" s="1"/>
      <c r="R63" s="1"/>
      <c r="S63" s="1"/>
      <c r="T63" s="1"/>
      <c r="U63" s="1"/>
      <c r="V63" s="1"/>
      <c r="W63" s="1"/>
      <c r="X63" s="1"/>
      <c r="Y63" s="1"/>
      <c r="Z63" s="1"/>
    </row>
    <row r="64" ht="409.5" customHeight="1">
      <c r="A64" s="1"/>
      <c r="B64" s="42"/>
      <c r="C64" s="112"/>
      <c r="D64" s="56"/>
      <c r="E64" s="112"/>
      <c r="F64" s="56"/>
      <c r="G64" s="112"/>
      <c r="H64" s="56"/>
      <c r="I64" s="112"/>
      <c r="K64" s="56"/>
      <c r="L64" s="162" t="s">
        <v>291</v>
      </c>
      <c r="M64" s="25"/>
      <c r="N64" s="163" t="s">
        <v>303</v>
      </c>
      <c r="O64" s="34"/>
      <c r="P64" s="127"/>
      <c r="Q64" s="1"/>
      <c r="R64" s="1"/>
      <c r="S64" s="1"/>
      <c r="T64" s="1"/>
      <c r="U64" s="1"/>
      <c r="V64" s="1"/>
      <c r="W64" s="1"/>
      <c r="X64" s="1"/>
      <c r="Y64" s="1"/>
      <c r="Z64" s="1"/>
    </row>
    <row r="65" ht="57.75" customHeight="1">
      <c r="A65" s="1"/>
      <c r="B65" s="42"/>
      <c r="C65" s="112"/>
      <c r="D65" s="56"/>
      <c r="E65" s="112"/>
      <c r="F65" s="56"/>
      <c r="G65" s="112"/>
      <c r="H65" s="56"/>
      <c r="I65" s="133"/>
      <c r="J65" s="76"/>
      <c r="K65" s="78"/>
      <c r="L65" s="200" t="s">
        <v>273</v>
      </c>
      <c r="M65" s="95"/>
      <c r="N65" s="202" t="s">
        <v>304</v>
      </c>
      <c r="O65" s="100"/>
      <c r="P65" s="102"/>
      <c r="Q65" s="1"/>
      <c r="R65" s="1"/>
      <c r="S65" s="1"/>
      <c r="T65" s="1"/>
      <c r="U65" s="1"/>
      <c r="V65" s="1"/>
      <c r="W65" s="1"/>
      <c r="X65" s="1"/>
      <c r="Y65" s="1"/>
      <c r="Z65" s="1"/>
    </row>
    <row r="66" ht="364.5" customHeight="1">
      <c r="A66" s="1"/>
      <c r="B66" s="42"/>
      <c r="C66" s="112"/>
      <c r="D66" s="56"/>
      <c r="E66" s="112"/>
      <c r="F66" s="56"/>
      <c r="G66" s="112"/>
      <c r="H66" s="56"/>
      <c r="I66" s="345" t="s">
        <v>305</v>
      </c>
      <c r="J66" s="294"/>
      <c r="K66" s="190"/>
      <c r="L66" s="260" t="s">
        <v>291</v>
      </c>
      <c r="M66" s="262"/>
      <c r="N66" s="348" t="s">
        <v>306</v>
      </c>
      <c r="O66" s="267"/>
      <c r="P66" s="268"/>
      <c r="Q66" s="1"/>
      <c r="R66" s="1"/>
      <c r="S66" s="1"/>
      <c r="T66" s="1"/>
      <c r="U66" s="1"/>
      <c r="V66" s="1"/>
      <c r="W66" s="1"/>
      <c r="X66" s="1"/>
      <c r="Y66" s="1"/>
      <c r="Z66" s="1"/>
    </row>
    <row r="67" ht="123.75" customHeight="1">
      <c r="A67" s="1"/>
      <c r="B67" s="42"/>
      <c r="C67" s="112"/>
      <c r="D67" s="56"/>
      <c r="E67" s="112"/>
      <c r="F67" s="56"/>
      <c r="G67" s="133"/>
      <c r="H67" s="78"/>
      <c r="I67" s="133"/>
      <c r="J67" s="76"/>
      <c r="K67" s="78"/>
      <c r="L67" s="200" t="s">
        <v>307</v>
      </c>
      <c r="M67" s="95"/>
      <c r="N67" s="351" t="s">
        <v>308</v>
      </c>
      <c r="O67" s="34"/>
      <c r="P67" s="127"/>
      <c r="Q67" s="1"/>
      <c r="R67" s="1"/>
      <c r="S67" s="1"/>
      <c r="T67" s="1"/>
      <c r="U67" s="1"/>
      <c r="V67" s="1"/>
      <c r="W67" s="1"/>
      <c r="X67" s="1"/>
      <c r="Y67" s="1"/>
      <c r="Z67" s="1"/>
    </row>
    <row r="68" ht="30.75" customHeight="1">
      <c r="A68" s="1"/>
      <c r="B68" s="42"/>
      <c r="C68" s="112"/>
      <c r="D68" s="56"/>
      <c r="E68" s="112"/>
      <c r="F68" s="56"/>
      <c r="G68" s="357" t="s">
        <v>311</v>
      </c>
      <c r="H68" s="190"/>
      <c r="I68" s="325" t="s">
        <v>313</v>
      </c>
      <c r="J68" s="294"/>
      <c r="K68" s="190"/>
      <c r="L68" s="260" t="s">
        <v>281</v>
      </c>
      <c r="M68" s="262"/>
      <c r="N68" s="168" t="s">
        <v>294</v>
      </c>
      <c r="O68" s="76"/>
      <c r="P68" s="79"/>
      <c r="Q68" s="1"/>
      <c r="R68" s="1"/>
      <c r="S68" s="1"/>
      <c r="T68" s="1"/>
      <c r="U68" s="1"/>
      <c r="V68" s="1"/>
      <c r="W68" s="1"/>
      <c r="X68" s="1"/>
      <c r="Y68" s="1"/>
      <c r="Z68" s="1"/>
    </row>
    <row r="69" ht="70.5" customHeight="1">
      <c r="A69" s="1"/>
      <c r="B69" s="42"/>
      <c r="C69" s="112"/>
      <c r="D69" s="56"/>
      <c r="E69" s="112"/>
      <c r="F69" s="56"/>
      <c r="G69" s="112"/>
      <c r="H69" s="56"/>
      <c r="I69" s="112"/>
      <c r="K69" s="56"/>
      <c r="L69" s="162" t="s">
        <v>295</v>
      </c>
      <c r="M69" s="25"/>
      <c r="N69" s="163" t="s">
        <v>314</v>
      </c>
      <c r="O69" s="34"/>
      <c r="P69" s="127"/>
      <c r="Q69" s="1"/>
      <c r="R69" s="1"/>
      <c r="S69" s="1"/>
      <c r="T69" s="1"/>
      <c r="U69" s="1"/>
      <c r="V69" s="1"/>
      <c r="W69" s="1"/>
      <c r="X69" s="1"/>
      <c r="Y69" s="1"/>
      <c r="Z69" s="1"/>
    </row>
    <row r="70" ht="30.75" customHeight="1">
      <c r="A70" s="1"/>
      <c r="B70" s="42"/>
      <c r="C70" s="112"/>
      <c r="D70" s="56"/>
      <c r="E70" s="112"/>
      <c r="F70" s="56"/>
      <c r="G70" s="112"/>
      <c r="H70" s="56"/>
      <c r="I70" s="112"/>
      <c r="K70" s="56"/>
      <c r="L70" s="162" t="s">
        <v>288</v>
      </c>
      <c r="M70" s="25"/>
      <c r="N70" s="163" t="s">
        <v>316</v>
      </c>
      <c r="O70" s="34"/>
      <c r="P70" s="127"/>
      <c r="Q70" s="1"/>
      <c r="R70" s="1"/>
      <c r="S70" s="1"/>
      <c r="T70" s="1"/>
      <c r="U70" s="1"/>
      <c r="V70" s="1"/>
      <c r="W70" s="1"/>
      <c r="X70" s="1"/>
      <c r="Y70" s="1"/>
      <c r="Z70" s="1"/>
    </row>
    <row r="71" ht="409.5" customHeight="1">
      <c r="A71" s="1"/>
      <c r="B71" s="42"/>
      <c r="C71" s="112"/>
      <c r="D71" s="56"/>
      <c r="E71" s="112"/>
      <c r="F71" s="56"/>
      <c r="G71" s="112"/>
      <c r="H71" s="56"/>
      <c r="I71" s="112"/>
      <c r="K71" s="56"/>
      <c r="L71" s="162" t="s">
        <v>291</v>
      </c>
      <c r="M71" s="25"/>
      <c r="N71" s="163" t="s">
        <v>318</v>
      </c>
      <c r="O71" s="34"/>
      <c r="P71" s="127"/>
      <c r="Q71" s="1"/>
      <c r="R71" s="1"/>
      <c r="S71" s="1"/>
      <c r="T71" s="1"/>
      <c r="U71" s="1"/>
      <c r="V71" s="1"/>
      <c r="W71" s="1"/>
      <c r="X71" s="1"/>
      <c r="Y71" s="1"/>
      <c r="Z71" s="1"/>
    </row>
    <row r="72" ht="30.75" customHeight="1">
      <c r="A72" s="1"/>
      <c r="B72" s="42"/>
      <c r="C72" s="133"/>
      <c r="D72" s="78"/>
      <c r="E72" s="133"/>
      <c r="F72" s="78"/>
      <c r="G72" s="114"/>
      <c r="H72" s="115"/>
      <c r="I72" s="114"/>
      <c r="J72" s="41"/>
      <c r="K72" s="115"/>
      <c r="L72" s="200" t="s">
        <v>273</v>
      </c>
      <c r="M72" s="95"/>
      <c r="N72" s="202" t="s">
        <v>322</v>
      </c>
      <c r="O72" s="100"/>
      <c r="P72" s="102"/>
      <c r="Q72" s="1"/>
      <c r="R72" s="1"/>
      <c r="S72" s="1"/>
      <c r="T72" s="1"/>
      <c r="U72" s="1"/>
      <c r="V72" s="1"/>
      <c r="W72" s="1"/>
      <c r="X72" s="1"/>
      <c r="Y72" s="1"/>
      <c r="Z72" s="1"/>
    </row>
    <row r="73" ht="33.75" customHeight="1">
      <c r="A73" s="1"/>
      <c r="B73" s="42"/>
      <c r="C73" s="177" t="s">
        <v>323</v>
      </c>
      <c r="D73" s="56"/>
      <c r="E73" s="177" t="s">
        <v>156</v>
      </c>
      <c r="F73" s="56"/>
      <c r="G73" s="374" t="s">
        <v>324</v>
      </c>
      <c r="H73" s="15"/>
      <c r="I73" s="15"/>
      <c r="J73" s="15"/>
      <c r="K73" s="375"/>
      <c r="L73" s="376" t="s">
        <v>325</v>
      </c>
      <c r="M73" s="62"/>
      <c r="N73" s="379" t="s">
        <v>326</v>
      </c>
      <c r="O73" s="59"/>
      <c r="P73" s="68"/>
      <c r="Q73" s="1"/>
      <c r="R73" s="1"/>
      <c r="S73" s="1"/>
      <c r="T73" s="1"/>
      <c r="U73" s="1"/>
      <c r="V73" s="1"/>
      <c r="W73" s="1"/>
      <c r="X73" s="1"/>
      <c r="Y73" s="1"/>
      <c r="Z73" s="1"/>
    </row>
    <row r="74" ht="70.5" customHeight="1">
      <c r="A74" s="1"/>
      <c r="B74" s="42"/>
      <c r="C74" s="112"/>
      <c r="D74" s="56"/>
      <c r="E74" s="112"/>
      <c r="F74" s="56"/>
      <c r="G74" s="112"/>
      <c r="K74" s="56"/>
      <c r="L74" s="200" t="s">
        <v>328</v>
      </c>
      <c r="M74" s="95"/>
      <c r="N74" s="163" t="s">
        <v>329</v>
      </c>
      <c r="O74" s="34"/>
      <c r="P74" s="127"/>
      <c r="Q74" s="1"/>
      <c r="R74" s="1"/>
      <c r="S74" s="1"/>
      <c r="T74" s="1"/>
      <c r="U74" s="1"/>
      <c r="V74" s="1"/>
      <c r="W74" s="1"/>
      <c r="X74" s="1"/>
      <c r="Y74" s="1"/>
      <c r="Z74" s="1"/>
    </row>
    <row r="75" ht="22.5" customHeight="1">
      <c r="A75" s="1"/>
      <c r="B75" s="42"/>
      <c r="C75" s="112"/>
      <c r="D75" s="56"/>
      <c r="E75" s="133"/>
      <c r="F75" s="78"/>
      <c r="G75" s="133"/>
      <c r="H75" s="76"/>
      <c r="I75" s="76"/>
      <c r="J75" s="76"/>
      <c r="K75" s="78"/>
      <c r="L75" s="133"/>
      <c r="M75" s="78"/>
      <c r="N75" s="163" t="s">
        <v>330</v>
      </c>
      <c r="O75" s="34"/>
      <c r="P75" s="127"/>
      <c r="Q75" s="1"/>
      <c r="R75" s="1"/>
      <c r="S75" s="1"/>
      <c r="T75" s="1"/>
      <c r="U75" s="1"/>
      <c r="V75" s="1"/>
      <c r="W75" s="1"/>
      <c r="X75" s="1"/>
      <c r="Y75" s="1"/>
      <c r="Z75" s="1"/>
    </row>
    <row r="76" ht="19.5" customHeight="1">
      <c r="A76" s="1"/>
      <c r="B76" s="42"/>
      <c r="C76" s="114"/>
      <c r="D76" s="115"/>
      <c r="E76" s="384" t="s">
        <v>332</v>
      </c>
      <c r="F76" s="111"/>
      <c r="G76" s="111"/>
      <c r="H76" s="111"/>
      <c r="I76" s="111"/>
      <c r="J76" s="111"/>
      <c r="K76" s="111"/>
      <c r="L76" s="111"/>
      <c r="M76" s="111"/>
      <c r="N76" s="111"/>
      <c r="O76" s="111"/>
      <c r="P76" s="209"/>
      <c r="Q76" s="1"/>
      <c r="R76" s="1"/>
      <c r="S76" s="1"/>
      <c r="T76" s="1"/>
      <c r="U76" s="1"/>
      <c r="V76" s="1"/>
      <c r="W76" s="1"/>
      <c r="X76" s="1"/>
      <c r="Y76" s="1"/>
      <c r="Z76" s="1"/>
    </row>
    <row r="77" ht="126.0" customHeight="1">
      <c r="A77" s="1"/>
      <c r="B77" s="42"/>
      <c r="C77" s="177" t="s">
        <v>333</v>
      </c>
      <c r="D77" s="56"/>
      <c r="E77" s="177" t="s">
        <v>156</v>
      </c>
      <c r="F77" s="56"/>
      <c r="G77" s="251" t="s">
        <v>334</v>
      </c>
      <c r="H77" s="294"/>
      <c r="I77" s="294"/>
      <c r="J77" s="294"/>
      <c r="K77" s="190"/>
      <c r="L77" s="166" t="s">
        <v>282</v>
      </c>
      <c r="M77" s="78"/>
      <c r="N77" s="168" t="s">
        <v>284</v>
      </c>
      <c r="O77" s="76"/>
      <c r="P77" s="79"/>
      <c r="Q77" s="1"/>
      <c r="R77" s="1"/>
      <c r="S77" s="1"/>
      <c r="T77" s="1"/>
      <c r="U77" s="1"/>
      <c r="V77" s="1"/>
      <c r="W77" s="1"/>
      <c r="X77" s="1"/>
      <c r="Y77" s="1"/>
      <c r="Z77" s="1"/>
    </row>
    <row r="78" ht="176.25" customHeight="1">
      <c r="A78" s="1"/>
      <c r="B78" s="42"/>
      <c r="C78" s="112"/>
      <c r="D78" s="56"/>
      <c r="E78" s="112"/>
      <c r="F78" s="56"/>
      <c r="G78" s="112"/>
      <c r="K78" s="56"/>
      <c r="L78" s="222" t="s">
        <v>239</v>
      </c>
      <c r="M78" s="56"/>
      <c r="N78" s="224" t="s">
        <v>286</v>
      </c>
      <c r="P78" s="151"/>
      <c r="Q78" s="1"/>
      <c r="R78" s="1"/>
      <c r="S78" s="1"/>
      <c r="T78" s="1"/>
      <c r="U78" s="1"/>
      <c r="V78" s="1"/>
      <c r="W78" s="1"/>
      <c r="X78" s="1"/>
      <c r="Y78" s="1"/>
      <c r="Z78" s="1"/>
    </row>
    <row r="79" ht="123.75" customHeight="1">
      <c r="A79" s="1"/>
      <c r="B79" s="42"/>
      <c r="C79" s="112"/>
      <c r="D79" s="56"/>
      <c r="E79" s="112"/>
      <c r="F79" s="56"/>
      <c r="G79" s="112"/>
      <c r="K79" s="56"/>
      <c r="L79" s="222" t="s">
        <v>253</v>
      </c>
      <c r="M79" s="56"/>
      <c r="N79" s="224" t="s">
        <v>287</v>
      </c>
      <c r="P79" s="151"/>
      <c r="Q79" s="1"/>
      <c r="R79" s="1"/>
      <c r="S79" s="1"/>
      <c r="T79" s="1"/>
      <c r="U79" s="1"/>
      <c r="V79" s="1"/>
      <c r="W79" s="1"/>
      <c r="X79" s="1"/>
      <c r="Y79" s="1"/>
      <c r="Z79" s="1"/>
    </row>
    <row r="80" ht="44.25" customHeight="1">
      <c r="A80" s="1"/>
      <c r="B80" s="42"/>
      <c r="C80" s="112"/>
      <c r="D80" s="56"/>
      <c r="E80" s="112"/>
      <c r="F80" s="56"/>
      <c r="G80" s="133"/>
      <c r="H80" s="76"/>
      <c r="I80" s="76"/>
      <c r="J80" s="76"/>
      <c r="K80" s="78"/>
      <c r="L80" s="388" t="s">
        <v>289</v>
      </c>
      <c r="M80" s="317"/>
      <c r="N80" s="389" t="s">
        <v>290</v>
      </c>
      <c r="O80" s="319"/>
      <c r="P80" s="321"/>
      <c r="Q80" s="1"/>
      <c r="R80" s="1"/>
      <c r="S80" s="1"/>
      <c r="T80" s="1"/>
      <c r="U80" s="1"/>
      <c r="V80" s="1"/>
      <c r="W80" s="1"/>
      <c r="X80" s="1"/>
      <c r="Y80" s="1"/>
      <c r="Z80" s="1"/>
    </row>
    <row r="81" ht="19.5" customHeight="1">
      <c r="A81" s="1"/>
      <c r="B81" s="42"/>
      <c r="C81" s="112"/>
      <c r="D81" s="56"/>
      <c r="E81" s="112"/>
      <c r="F81" s="56"/>
      <c r="G81" s="177" t="s">
        <v>337</v>
      </c>
      <c r="I81" s="325" t="s">
        <v>338</v>
      </c>
      <c r="J81" s="294"/>
      <c r="K81" s="190"/>
      <c r="L81" s="260" t="s">
        <v>281</v>
      </c>
      <c r="M81" s="262"/>
      <c r="N81" s="265" t="s">
        <v>339</v>
      </c>
      <c r="O81" s="267"/>
      <c r="P81" s="268"/>
      <c r="Q81" s="1"/>
      <c r="R81" s="1"/>
      <c r="S81" s="1"/>
      <c r="T81" s="1"/>
      <c r="U81" s="1"/>
      <c r="V81" s="1"/>
      <c r="W81" s="1"/>
      <c r="X81" s="1"/>
      <c r="Y81" s="1"/>
      <c r="Z81" s="1"/>
    </row>
    <row r="82" ht="84.0" customHeight="1">
      <c r="A82" s="1"/>
      <c r="B82" s="42"/>
      <c r="C82" s="112"/>
      <c r="D82" s="56"/>
      <c r="E82" s="112"/>
      <c r="F82" s="56"/>
      <c r="G82" s="112"/>
      <c r="I82" s="112"/>
      <c r="K82" s="56"/>
      <c r="L82" s="162" t="s">
        <v>295</v>
      </c>
      <c r="M82" s="25"/>
      <c r="N82" s="163" t="s">
        <v>296</v>
      </c>
      <c r="O82" s="34"/>
      <c r="P82" s="127"/>
      <c r="Q82" s="1"/>
      <c r="R82" s="1"/>
      <c r="S82" s="1"/>
      <c r="T82" s="1"/>
      <c r="U82" s="1"/>
      <c r="V82" s="1"/>
      <c r="W82" s="1"/>
      <c r="X82" s="1"/>
      <c r="Y82" s="1"/>
      <c r="Z82" s="1"/>
    </row>
    <row r="83" ht="19.5" customHeight="1">
      <c r="A83" s="1"/>
      <c r="B83" s="42"/>
      <c r="C83" s="112"/>
      <c r="D83" s="56"/>
      <c r="E83" s="112"/>
      <c r="F83" s="56"/>
      <c r="G83" s="112"/>
      <c r="I83" s="112"/>
      <c r="K83" s="56"/>
      <c r="L83" s="162" t="s">
        <v>288</v>
      </c>
      <c r="M83" s="25"/>
      <c r="N83" s="163" t="s">
        <v>342</v>
      </c>
      <c r="O83" s="34"/>
      <c r="P83" s="127"/>
      <c r="Q83" s="1"/>
      <c r="R83" s="1"/>
      <c r="S83" s="1"/>
      <c r="T83" s="1"/>
      <c r="U83" s="1"/>
      <c r="V83" s="1"/>
      <c r="W83" s="1"/>
      <c r="X83" s="1"/>
      <c r="Y83" s="1"/>
      <c r="Z83" s="1"/>
    </row>
    <row r="84" ht="409.5" customHeight="1">
      <c r="A84" s="1"/>
      <c r="B84" s="42"/>
      <c r="C84" s="112"/>
      <c r="D84" s="56"/>
      <c r="E84" s="112"/>
      <c r="F84" s="56"/>
      <c r="G84" s="112"/>
      <c r="I84" s="112"/>
      <c r="K84" s="56"/>
      <c r="L84" s="162" t="s">
        <v>291</v>
      </c>
      <c r="M84" s="25"/>
      <c r="N84" s="163" t="s">
        <v>343</v>
      </c>
      <c r="O84" s="34"/>
      <c r="P84" s="127"/>
      <c r="Q84" s="1"/>
      <c r="R84" s="1"/>
      <c r="S84" s="1"/>
      <c r="T84" s="1"/>
      <c r="U84" s="1"/>
      <c r="V84" s="1"/>
      <c r="W84" s="1"/>
      <c r="X84" s="1"/>
      <c r="Y84" s="1"/>
      <c r="Z84" s="1"/>
    </row>
    <row r="85" ht="57.75" customHeight="1">
      <c r="A85" s="1"/>
      <c r="B85" s="42"/>
      <c r="C85" s="112"/>
      <c r="D85" s="56"/>
      <c r="E85" s="112"/>
      <c r="F85" s="56"/>
      <c r="G85" s="112"/>
      <c r="I85" s="312"/>
      <c r="J85" s="313"/>
      <c r="K85" s="315"/>
      <c r="L85" s="316" t="s">
        <v>273</v>
      </c>
      <c r="M85" s="317"/>
      <c r="N85" s="318" t="s">
        <v>345</v>
      </c>
      <c r="O85" s="319"/>
      <c r="P85" s="321"/>
      <c r="Q85" s="1"/>
      <c r="R85" s="1"/>
      <c r="S85" s="1"/>
      <c r="T85" s="1"/>
      <c r="U85" s="1"/>
      <c r="V85" s="1"/>
      <c r="W85" s="1"/>
      <c r="X85" s="1"/>
      <c r="Y85" s="1"/>
      <c r="Z85" s="1"/>
    </row>
    <row r="86" ht="19.5" customHeight="1">
      <c r="A86" s="1"/>
      <c r="B86" s="42"/>
      <c r="C86" s="112"/>
      <c r="D86" s="56"/>
      <c r="E86" s="112"/>
      <c r="F86" s="56"/>
      <c r="G86" s="112"/>
      <c r="I86" s="325" t="s">
        <v>347</v>
      </c>
      <c r="J86" s="294"/>
      <c r="K86" s="190"/>
      <c r="L86" s="166" t="s">
        <v>281</v>
      </c>
      <c r="M86" s="78"/>
      <c r="N86" s="168" t="s">
        <v>339</v>
      </c>
      <c r="O86" s="76"/>
      <c r="P86" s="79"/>
      <c r="Q86" s="1"/>
      <c r="R86" s="1"/>
      <c r="S86" s="1"/>
      <c r="T86" s="1"/>
      <c r="U86" s="1"/>
      <c r="V86" s="1"/>
      <c r="W86" s="1"/>
      <c r="X86" s="1"/>
      <c r="Y86" s="1"/>
      <c r="Z86" s="1"/>
    </row>
    <row r="87" ht="84.0" customHeight="1">
      <c r="A87" s="1"/>
      <c r="B87" s="42"/>
      <c r="C87" s="112"/>
      <c r="D87" s="56"/>
      <c r="E87" s="112"/>
      <c r="F87" s="56"/>
      <c r="G87" s="112"/>
      <c r="I87" s="112"/>
      <c r="K87" s="56"/>
      <c r="L87" s="162" t="s">
        <v>295</v>
      </c>
      <c r="M87" s="25"/>
      <c r="N87" s="163" t="s">
        <v>296</v>
      </c>
      <c r="O87" s="34"/>
      <c r="P87" s="127"/>
      <c r="Q87" s="1"/>
      <c r="R87" s="1"/>
      <c r="S87" s="1"/>
      <c r="T87" s="1"/>
      <c r="U87" s="1"/>
      <c r="V87" s="1"/>
      <c r="W87" s="1"/>
      <c r="X87" s="1"/>
      <c r="Y87" s="1"/>
      <c r="Z87" s="1"/>
    </row>
    <row r="88" ht="30.75" customHeight="1">
      <c r="A88" s="1"/>
      <c r="B88" s="42"/>
      <c r="C88" s="112"/>
      <c r="D88" s="56"/>
      <c r="E88" s="112"/>
      <c r="F88" s="56"/>
      <c r="G88" s="112"/>
      <c r="I88" s="112"/>
      <c r="K88" s="56"/>
      <c r="L88" s="162" t="s">
        <v>288</v>
      </c>
      <c r="M88" s="25"/>
      <c r="N88" s="163" t="s">
        <v>348</v>
      </c>
      <c r="O88" s="34"/>
      <c r="P88" s="127"/>
      <c r="Q88" s="1"/>
      <c r="R88" s="1"/>
      <c r="S88" s="1"/>
      <c r="T88" s="1"/>
      <c r="U88" s="1"/>
      <c r="V88" s="1"/>
      <c r="W88" s="1"/>
      <c r="X88" s="1"/>
      <c r="Y88" s="1"/>
      <c r="Z88" s="1"/>
    </row>
    <row r="89" ht="400.5" customHeight="1">
      <c r="A89" s="1"/>
      <c r="B89" s="42"/>
      <c r="C89" s="112"/>
      <c r="D89" s="56"/>
      <c r="E89" s="112"/>
      <c r="F89" s="56"/>
      <c r="G89" s="112"/>
      <c r="I89" s="112"/>
      <c r="K89" s="56"/>
      <c r="L89" s="200" t="s">
        <v>291</v>
      </c>
      <c r="M89" s="95"/>
      <c r="N89" s="202" t="s">
        <v>349</v>
      </c>
      <c r="O89" s="100"/>
      <c r="P89" s="102"/>
      <c r="Q89" s="1"/>
      <c r="R89" s="1"/>
      <c r="S89" s="1"/>
      <c r="T89" s="1"/>
      <c r="U89" s="1"/>
      <c r="V89" s="1"/>
      <c r="W89" s="1"/>
      <c r="X89" s="1"/>
      <c r="Y89" s="1"/>
      <c r="Z89" s="1"/>
    </row>
    <row r="90" ht="57.75" customHeight="1">
      <c r="A90" s="1"/>
      <c r="B90" s="42"/>
      <c r="C90" s="112"/>
      <c r="D90" s="56"/>
      <c r="E90" s="112"/>
      <c r="F90" s="56"/>
      <c r="G90" s="112"/>
      <c r="I90" s="312"/>
      <c r="J90" s="313"/>
      <c r="K90" s="315"/>
      <c r="L90" s="222" t="s">
        <v>350</v>
      </c>
      <c r="M90" s="56"/>
      <c r="N90" s="224" t="s">
        <v>351</v>
      </c>
      <c r="P90" s="151"/>
      <c r="Q90" s="1"/>
      <c r="R90" s="1"/>
      <c r="S90" s="1"/>
      <c r="T90" s="1"/>
      <c r="U90" s="1"/>
      <c r="V90" s="1"/>
      <c r="W90" s="1"/>
      <c r="X90" s="1"/>
      <c r="Y90" s="1"/>
      <c r="Z90" s="1"/>
    </row>
    <row r="91" ht="360.75" customHeight="1">
      <c r="A91" s="1"/>
      <c r="B91" s="42"/>
      <c r="C91" s="112"/>
      <c r="D91" s="56"/>
      <c r="E91" s="112"/>
      <c r="F91" s="56"/>
      <c r="G91" s="112"/>
      <c r="I91" s="345" t="s">
        <v>352</v>
      </c>
      <c r="J91" s="294"/>
      <c r="K91" s="190"/>
      <c r="L91" s="166" t="s">
        <v>291</v>
      </c>
      <c r="M91" s="78"/>
      <c r="N91" s="395" t="s">
        <v>353</v>
      </c>
      <c r="O91" s="76"/>
      <c r="P91" s="79"/>
      <c r="Q91" s="1"/>
      <c r="R91" s="1"/>
      <c r="S91" s="1"/>
      <c r="T91" s="1"/>
      <c r="U91" s="1"/>
      <c r="V91" s="1"/>
      <c r="W91" s="1"/>
      <c r="X91" s="1"/>
      <c r="Y91" s="1"/>
      <c r="Z91" s="1"/>
    </row>
    <row r="92" ht="123.75" customHeight="1">
      <c r="A92" s="1"/>
      <c r="B92" s="42"/>
      <c r="C92" s="112"/>
      <c r="D92" s="56"/>
      <c r="E92" s="112"/>
      <c r="F92" s="56"/>
      <c r="G92" s="312"/>
      <c r="H92" s="313"/>
      <c r="I92" s="312"/>
      <c r="J92" s="313"/>
      <c r="K92" s="315"/>
      <c r="L92" s="316" t="s">
        <v>273</v>
      </c>
      <c r="M92" s="317"/>
      <c r="N92" s="396" t="s">
        <v>308</v>
      </c>
      <c r="O92" s="319"/>
      <c r="P92" s="321"/>
      <c r="Q92" s="1"/>
      <c r="R92" s="1"/>
      <c r="S92" s="1"/>
      <c r="T92" s="1"/>
      <c r="U92" s="1"/>
      <c r="V92" s="1"/>
      <c r="W92" s="1"/>
      <c r="X92" s="1"/>
      <c r="Y92" s="1"/>
      <c r="Z92" s="1"/>
    </row>
    <row r="93" ht="19.5" customHeight="1">
      <c r="A93" s="1"/>
      <c r="B93" s="42"/>
      <c r="C93" s="112"/>
      <c r="D93" s="56"/>
      <c r="E93" s="112"/>
      <c r="F93" s="56"/>
      <c r="G93" s="397" t="s">
        <v>354</v>
      </c>
      <c r="H93" s="398"/>
      <c r="I93" s="325" t="s">
        <v>355</v>
      </c>
      <c r="J93" s="294"/>
      <c r="K93" s="190"/>
      <c r="L93" s="166" t="s">
        <v>281</v>
      </c>
      <c r="M93" s="78"/>
      <c r="N93" s="168" t="s">
        <v>339</v>
      </c>
      <c r="O93" s="76"/>
      <c r="P93" s="79"/>
      <c r="Q93" s="1"/>
      <c r="R93" s="1"/>
      <c r="S93" s="1"/>
      <c r="T93" s="1"/>
      <c r="U93" s="1"/>
      <c r="V93" s="1"/>
      <c r="W93" s="1"/>
      <c r="X93" s="1"/>
      <c r="Y93" s="1"/>
      <c r="Z93" s="1"/>
    </row>
    <row r="94" ht="70.5" customHeight="1">
      <c r="A94" s="1"/>
      <c r="B94" s="42"/>
      <c r="C94" s="112"/>
      <c r="D94" s="56"/>
      <c r="E94" s="112"/>
      <c r="F94" s="56"/>
      <c r="G94" s="112"/>
      <c r="H94" s="399"/>
      <c r="I94" s="112"/>
      <c r="K94" s="56"/>
      <c r="L94" s="162" t="s">
        <v>295</v>
      </c>
      <c r="M94" s="25"/>
      <c r="N94" s="163" t="s">
        <v>356</v>
      </c>
      <c r="O94" s="34"/>
      <c r="P94" s="127"/>
      <c r="Q94" s="1"/>
      <c r="R94" s="1"/>
      <c r="S94" s="1"/>
      <c r="T94" s="1"/>
      <c r="U94" s="1"/>
      <c r="V94" s="1"/>
      <c r="W94" s="1"/>
      <c r="X94" s="1"/>
      <c r="Y94" s="1"/>
      <c r="Z94" s="1"/>
    </row>
    <row r="95" ht="30.75" customHeight="1">
      <c r="A95" s="1"/>
      <c r="B95" s="42"/>
      <c r="C95" s="112"/>
      <c r="D95" s="56"/>
      <c r="E95" s="112"/>
      <c r="F95" s="56"/>
      <c r="G95" s="112"/>
      <c r="H95" s="399"/>
      <c r="I95" s="112"/>
      <c r="K95" s="56"/>
      <c r="L95" s="162" t="s">
        <v>288</v>
      </c>
      <c r="M95" s="25"/>
      <c r="N95" s="163" t="s">
        <v>357</v>
      </c>
      <c r="O95" s="34"/>
      <c r="P95" s="127"/>
      <c r="Q95" s="1"/>
      <c r="R95" s="1"/>
      <c r="S95" s="1"/>
      <c r="T95" s="1"/>
      <c r="U95" s="1"/>
      <c r="V95" s="1"/>
      <c r="W95" s="1"/>
      <c r="X95" s="1"/>
      <c r="Y95" s="1"/>
      <c r="Z95" s="1"/>
    </row>
    <row r="96" ht="242.25" customHeight="1">
      <c r="A96" s="1"/>
      <c r="B96" s="42"/>
      <c r="C96" s="112"/>
      <c r="D96" s="56"/>
      <c r="E96" s="112"/>
      <c r="F96" s="56"/>
      <c r="G96" s="112"/>
      <c r="H96" s="399"/>
      <c r="I96" s="112"/>
      <c r="K96" s="56"/>
      <c r="L96" s="162" t="s">
        <v>291</v>
      </c>
      <c r="M96" s="25"/>
      <c r="N96" s="163" t="s">
        <v>359</v>
      </c>
      <c r="O96" s="34"/>
      <c r="P96" s="127"/>
      <c r="Q96" s="1"/>
      <c r="R96" s="1"/>
      <c r="S96" s="1"/>
      <c r="T96" s="1"/>
      <c r="U96" s="1"/>
      <c r="V96" s="1"/>
      <c r="W96" s="1"/>
      <c r="X96" s="1"/>
      <c r="Y96" s="1"/>
      <c r="Z96" s="1"/>
    </row>
    <row r="97" ht="44.25" customHeight="1">
      <c r="A97" s="1"/>
      <c r="B97" s="42"/>
      <c r="C97" s="112"/>
      <c r="D97" s="56"/>
      <c r="E97" s="112"/>
      <c r="F97" s="56"/>
      <c r="G97" s="112"/>
      <c r="H97" s="399"/>
      <c r="I97" s="112"/>
      <c r="K97" s="56"/>
      <c r="L97" s="206" t="s">
        <v>273</v>
      </c>
      <c r="M97" s="113"/>
      <c r="N97" s="207" t="s">
        <v>360</v>
      </c>
      <c r="O97" s="111"/>
      <c r="P97" s="209"/>
      <c r="Q97" s="1"/>
      <c r="R97" s="1"/>
      <c r="S97" s="1"/>
      <c r="T97" s="1"/>
      <c r="U97" s="1"/>
      <c r="V97" s="1"/>
      <c r="W97" s="1"/>
      <c r="X97" s="1"/>
      <c r="Y97" s="1"/>
      <c r="Z97" s="1"/>
    </row>
    <row r="98" ht="33.75" customHeight="1">
      <c r="A98" s="1"/>
      <c r="B98" s="42"/>
      <c r="C98" s="114"/>
      <c r="D98" s="115"/>
      <c r="E98" s="114"/>
      <c r="F98" s="115"/>
      <c r="G98" s="114"/>
      <c r="H98" s="400"/>
      <c r="I98" s="114"/>
      <c r="J98" s="41"/>
      <c r="K98" s="115"/>
      <c r="L98" s="206" t="s">
        <v>363</v>
      </c>
      <c r="M98" s="113"/>
      <c r="N98" s="207" t="s">
        <v>364</v>
      </c>
      <c r="O98" s="111"/>
      <c r="P98" s="209"/>
      <c r="Q98" s="1"/>
      <c r="R98" s="1"/>
      <c r="S98" s="1"/>
      <c r="T98" s="1"/>
      <c r="U98" s="1"/>
      <c r="V98" s="1"/>
      <c r="W98" s="1"/>
      <c r="X98" s="1"/>
      <c r="Y98" s="1"/>
      <c r="Z98" s="1"/>
    </row>
    <row r="99" ht="30.75" customHeight="1">
      <c r="A99" s="1"/>
      <c r="B99" s="42"/>
      <c r="C99" s="177" t="s">
        <v>365</v>
      </c>
      <c r="D99" s="56"/>
      <c r="E99" s="177" t="s">
        <v>156</v>
      </c>
      <c r="F99" s="56"/>
      <c r="G99" s="177" t="s">
        <v>366</v>
      </c>
      <c r="K99" s="56"/>
      <c r="L99" s="166" t="s">
        <v>367</v>
      </c>
      <c r="M99" s="78"/>
      <c r="N99" s="168" t="s">
        <v>368</v>
      </c>
      <c r="O99" s="76"/>
      <c r="P99" s="79"/>
      <c r="Q99" s="1"/>
      <c r="R99" s="1"/>
      <c r="S99" s="1"/>
      <c r="T99" s="1"/>
      <c r="U99" s="1"/>
      <c r="V99" s="1"/>
      <c r="W99" s="1"/>
      <c r="X99" s="1"/>
      <c r="Y99" s="1"/>
      <c r="Z99" s="1"/>
    </row>
    <row r="100" ht="96.75" customHeight="1">
      <c r="A100" s="1"/>
      <c r="B100" s="42"/>
      <c r="C100" s="114"/>
      <c r="D100" s="115"/>
      <c r="E100" s="114"/>
      <c r="F100" s="115"/>
      <c r="G100" s="114"/>
      <c r="H100" s="41"/>
      <c r="I100" s="41"/>
      <c r="J100" s="41"/>
      <c r="K100" s="115"/>
      <c r="L100" s="206" t="s">
        <v>369</v>
      </c>
      <c r="M100" s="113"/>
      <c r="N100" s="207" t="s">
        <v>370</v>
      </c>
      <c r="O100" s="111"/>
      <c r="P100" s="209"/>
      <c r="Q100" s="1"/>
      <c r="R100" s="1"/>
      <c r="S100" s="1"/>
      <c r="T100" s="1"/>
      <c r="U100" s="1"/>
      <c r="V100" s="1"/>
      <c r="W100" s="1"/>
      <c r="X100" s="1"/>
      <c r="Y100" s="1"/>
      <c r="Z100" s="1"/>
    </row>
    <row r="101" ht="84.0" customHeight="1">
      <c r="A101" s="1"/>
      <c r="B101" s="150"/>
      <c r="C101" s="401" t="s">
        <v>371</v>
      </c>
      <c r="D101" s="115"/>
      <c r="E101" s="401" t="s">
        <v>156</v>
      </c>
      <c r="F101" s="115"/>
      <c r="G101" s="401" t="s">
        <v>372</v>
      </c>
      <c r="H101" s="41"/>
      <c r="I101" s="41"/>
      <c r="J101" s="41"/>
      <c r="K101" s="115"/>
      <c r="L101" s="403" t="s">
        <v>373</v>
      </c>
      <c r="M101" s="115"/>
      <c r="N101" s="404" t="s">
        <v>374</v>
      </c>
      <c r="O101" s="41"/>
      <c r="P101" s="45"/>
      <c r="Q101" s="1"/>
      <c r="R101" s="1"/>
      <c r="S101" s="1"/>
      <c r="T101" s="1"/>
      <c r="U101" s="1"/>
      <c r="V101" s="1"/>
      <c r="W101" s="1"/>
      <c r="X101" s="1"/>
      <c r="Y101" s="1"/>
      <c r="Z101" s="1"/>
    </row>
    <row r="102" ht="33.75" customHeight="1">
      <c r="A102" s="2"/>
      <c r="B102" s="405" t="s">
        <v>375</v>
      </c>
      <c r="C102" s="407">
        <v>0.7708333333333334</v>
      </c>
      <c r="D102" s="115"/>
      <c r="E102" s="408" t="s">
        <v>376</v>
      </c>
      <c r="F102" s="115"/>
      <c r="G102" s="408" t="s">
        <v>377</v>
      </c>
      <c r="H102" s="41"/>
      <c r="I102" s="41"/>
      <c r="J102" s="41"/>
      <c r="K102" s="115"/>
      <c r="L102" s="409" t="s">
        <v>378</v>
      </c>
      <c r="M102" s="115"/>
      <c r="N102" s="410" t="s">
        <v>379</v>
      </c>
      <c r="O102" s="41"/>
      <c r="P102" s="45"/>
      <c r="Q102" s="412"/>
      <c r="R102" s="1"/>
      <c r="S102" s="1"/>
      <c r="T102" s="1"/>
      <c r="U102" s="1"/>
      <c r="V102" s="1"/>
      <c r="W102" s="1"/>
      <c r="X102" s="1"/>
      <c r="Y102" s="1"/>
      <c r="Z102" s="1"/>
    </row>
    <row r="103" ht="106.5" customHeight="1">
      <c r="A103" s="2"/>
      <c r="B103" s="42"/>
      <c r="C103" s="415" t="s">
        <v>381</v>
      </c>
      <c r="P103" s="151"/>
      <c r="Q103" s="1"/>
      <c r="R103" s="1"/>
      <c r="S103" s="1"/>
      <c r="T103" s="1"/>
      <c r="U103" s="1"/>
      <c r="V103" s="1"/>
      <c r="W103" s="1"/>
      <c r="X103" s="1"/>
      <c r="Y103" s="1"/>
      <c r="Z103" s="1"/>
    </row>
    <row r="104" ht="19.5" customHeight="1">
      <c r="A104" s="2"/>
      <c r="B104" s="150"/>
      <c r="C104" s="417" t="s">
        <v>382</v>
      </c>
      <c r="D104" s="15"/>
      <c r="E104" s="15"/>
      <c r="F104" s="15"/>
      <c r="G104" s="15"/>
      <c r="H104" s="15"/>
      <c r="I104" s="15"/>
      <c r="J104" s="15"/>
      <c r="K104" s="15"/>
      <c r="L104" s="15"/>
      <c r="M104" s="15"/>
      <c r="N104" s="15"/>
      <c r="O104" s="15"/>
      <c r="P104" s="17"/>
      <c r="Q104" s="419"/>
      <c r="R104" s="1"/>
      <c r="S104" s="1"/>
      <c r="T104" s="1"/>
      <c r="U104" s="1"/>
      <c r="V104" s="1"/>
      <c r="W104" s="1"/>
      <c r="X104" s="1"/>
      <c r="Y104" s="1"/>
      <c r="Z104" s="1"/>
    </row>
    <row r="105" ht="19.5" customHeight="1">
      <c r="A105" s="2"/>
      <c r="B105" s="2"/>
      <c r="C105" s="420"/>
      <c r="D105" s="421"/>
      <c r="E105" s="421"/>
      <c r="F105" s="421"/>
      <c r="G105" s="421"/>
      <c r="H105" s="421"/>
      <c r="I105" s="421"/>
      <c r="J105" s="421"/>
      <c r="K105" s="421"/>
      <c r="L105" s="421"/>
      <c r="M105" s="421"/>
      <c r="N105" s="421"/>
      <c r="O105" s="421"/>
      <c r="P105" s="421"/>
      <c r="Q105" s="1"/>
      <c r="R105" s="1"/>
      <c r="S105" s="1"/>
      <c r="T105" s="1"/>
      <c r="U105" s="1"/>
      <c r="V105" s="1"/>
      <c r="W105" s="1"/>
      <c r="X105" s="1"/>
      <c r="Y105" s="1"/>
      <c r="Z105" s="1"/>
    </row>
    <row r="106" ht="23.25" customHeight="1">
      <c r="A106" s="2"/>
      <c r="B106" s="2"/>
      <c r="C106" s="422"/>
      <c r="D106" s="8"/>
      <c r="E106" s="8"/>
      <c r="F106" s="8"/>
      <c r="G106" s="8"/>
      <c r="H106" s="8"/>
      <c r="I106" s="8"/>
      <c r="J106" s="8"/>
      <c r="K106" s="8"/>
      <c r="L106" s="8"/>
      <c r="M106" s="8"/>
      <c r="N106" s="8"/>
      <c r="O106" s="8"/>
      <c r="P106" s="8"/>
      <c r="Q106" s="1"/>
      <c r="R106" s="1"/>
      <c r="S106" s="1"/>
      <c r="T106" s="1"/>
      <c r="U106" s="1"/>
      <c r="V106" s="1"/>
      <c r="W106" s="1"/>
      <c r="X106" s="1"/>
      <c r="Y106" s="1"/>
      <c r="Z106" s="1"/>
    </row>
    <row r="107" ht="13.5" customHeight="1">
      <c r="A107" s="2"/>
      <c r="B107" s="2"/>
      <c r="C107" s="422"/>
      <c r="D107" s="8"/>
      <c r="E107" s="8"/>
      <c r="F107" s="8"/>
      <c r="G107" s="8"/>
      <c r="H107" s="8"/>
      <c r="I107" s="8"/>
      <c r="J107" s="8"/>
      <c r="K107" s="8"/>
      <c r="L107" s="8"/>
      <c r="M107" s="8"/>
      <c r="N107" s="8"/>
      <c r="O107" s="8"/>
      <c r="P107" s="8"/>
      <c r="Q107" s="1"/>
      <c r="R107" s="1"/>
      <c r="S107" s="1"/>
      <c r="T107" s="1"/>
      <c r="U107" s="1"/>
      <c r="V107" s="1"/>
      <c r="W107" s="1"/>
      <c r="X107" s="1"/>
      <c r="Y107" s="1"/>
      <c r="Z107" s="1"/>
    </row>
    <row r="108" ht="16.5" customHeight="1">
      <c r="A108" s="2"/>
      <c r="B108" s="2"/>
      <c r="C108" s="423"/>
      <c r="D108" s="1"/>
      <c r="E108" s="1"/>
      <c r="F108" s="1"/>
      <c r="G108" s="1"/>
      <c r="H108" s="1"/>
      <c r="I108" s="1"/>
      <c r="J108" s="1"/>
      <c r="K108" s="1"/>
      <c r="L108" s="1"/>
      <c r="M108" s="1"/>
      <c r="N108" s="1"/>
      <c r="O108" s="1"/>
      <c r="P108" s="1"/>
      <c r="Q108" s="1"/>
      <c r="R108" s="1"/>
      <c r="S108" s="1"/>
      <c r="T108" s="1"/>
      <c r="U108" s="1"/>
      <c r="V108" s="1"/>
      <c r="W108" s="1"/>
      <c r="X108" s="1"/>
      <c r="Y108" s="1"/>
      <c r="Z108" s="1"/>
    </row>
    <row r="109" ht="16.5" customHeight="1">
      <c r="A109" s="2"/>
      <c r="B109" s="2"/>
      <c r="C109" s="423"/>
      <c r="D109" s="1"/>
      <c r="E109" s="1"/>
      <c r="F109" s="1"/>
      <c r="G109" s="1"/>
      <c r="H109" s="1"/>
      <c r="I109" s="1"/>
      <c r="J109" s="1"/>
      <c r="K109" s="1"/>
      <c r="L109" s="1"/>
      <c r="M109" s="1"/>
      <c r="N109" s="1"/>
      <c r="O109" s="1"/>
      <c r="P109" s="1"/>
      <c r="Q109" s="1"/>
      <c r="R109" s="1"/>
      <c r="S109" s="1"/>
      <c r="T109" s="1"/>
      <c r="U109" s="1"/>
      <c r="V109" s="1"/>
      <c r="W109" s="1"/>
      <c r="X109" s="1"/>
      <c r="Y109" s="1"/>
      <c r="Z109" s="1"/>
    </row>
    <row r="110" ht="16.5" customHeight="1">
      <c r="A110" s="2"/>
      <c r="B110" s="2"/>
      <c r="C110" s="423"/>
      <c r="D110" s="1"/>
      <c r="E110" s="1"/>
      <c r="F110" s="1"/>
      <c r="G110" s="1"/>
      <c r="H110" s="1"/>
      <c r="I110" s="1"/>
      <c r="J110" s="1"/>
      <c r="K110" s="1"/>
      <c r="L110" s="1"/>
      <c r="M110" s="1"/>
      <c r="N110" s="1"/>
      <c r="O110" s="1"/>
      <c r="P110" s="1"/>
      <c r="Q110" s="1"/>
      <c r="R110" s="1"/>
      <c r="S110" s="1"/>
      <c r="T110" s="1"/>
      <c r="U110" s="1"/>
      <c r="V110" s="1"/>
      <c r="W110" s="1"/>
      <c r="X110" s="1"/>
      <c r="Y110" s="1"/>
      <c r="Z110" s="1"/>
    </row>
    <row r="111" ht="16.5" customHeight="1">
      <c r="A111" s="1"/>
      <c r="B111" s="2"/>
      <c r="C111" s="423"/>
      <c r="D111" s="1"/>
      <c r="E111" s="1"/>
      <c r="F111" s="1"/>
      <c r="G111" s="1"/>
      <c r="H111" s="1"/>
      <c r="I111" s="1"/>
      <c r="J111" s="1"/>
      <c r="K111" s="1"/>
      <c r="L111" s="1"/>
      <c r="M111" s="1"/>
      <c r="N111" s="1"/>
      <c r="O111" s="1"/>
      <c r="P111" s="1"/>
      <c r="Q111" s="1"/>
      <c r="R111" s="1"/>
      <c r="S111" s="1"/>
      <c r="T111" s="1"/>
      <c r="U111" s="1"/>
      <c r="V111" s="1"/>
      <c r="W111" s="1"/>
      <c r="X111" s="1"/>
      <c r="Y111" s="1"/>
      <c r="Z111" s="1"/>
    </row>
    <row r="112" ht="16.5" customHeight="1">
      <c r="A112" s="1"/>
      <c r="B112" s="2"/>
      <c r="C112" s="2"/>
      <c r="D112" s="1"/>
      <c r="E112" s="1"/>
      <c r="F112" s="1"/>
      <c r="G112" s="1"/>
      <c r="H112" s="1"/>
      <c r="I112" s="1"/>
      <c r="J112" s="1"/>
      <c r="K112" s="1"/>
      <c r="L112" s="1"/>
      <c r="M112" s="1"/>
      <c r="N112" s="1"/>
      <c r="O112" s="1"/>
      <c r="P112" s="1"/>
      <c r="Q112" s="1"/>
      <c r="R112" s="1"/>
      <c r="S112" s="1"/>
      <c r="T112" s="1"/>
      <c r="U112" s="1"/>
      <c r="V112" s="1"/>
      <c r="W112" s="1"/>
      <c r="X112" s="1"/>
      <c r="Y112" s="1"/>
      <c r="Z112" s="1"/>
    </row>
    <row r="113" ht="16.5" customHeight="1">
      <c r="A113" s="1"/>
      <c r="B113" s="2"/>
      <c r="C113" s="2"/>
      <c r="D113" s="1"/>
      <c r="E113" s="1"/>
      <c r="F113" s="1"/>
      <c r="G113" s="1"/>
      <c r="H113" s="1"/>
      <c r="I113" s="1"/>
      <c r="J113" s="1"/>
      <c r="K113" s="1"/>
      <c r="L113" s="1"/>
      <c r="M113" s="1"/>
      <c r="N113" s="1"/>
      <c r="O113" s="1"/>
      <c r="P113" s="1"/>
      <c r="Q113" s="1"/>
      <c r="R113" s="1"/>
      <c r="S113" s="1"/>
      <c r="T113" s="1"/>
      <c r="U113" s="1"/>
      <c r="V113" s="1"/>
      <c r="W113" s="1"/>
      <c r="X113" s="1"/>
      <c r="Y113" s="1"/>
      <c r="Z113" s="1"/>
    </row>
    <row r="114" ht="16.5" customHeight="1">
      <c r="A114" s="1"/>
      <c r="B114" s="2"/>
      <c r="C114" s="423"/>
      <c r="D114" s="1"/>
      <c r="E114" s="1"/>
      <c r="F114" s="1"/>
      <c r="G114" s="1"/>
      <c r="H114" s="1"/>
      <c r="I114" s="1"/>
      <c r="J114" s="1"/>
      <c r="K114" s="1"/>
      <c r="L114" s="1"/>
      <c r="M114" s="1"/>
      <c r="N114" s="1"/>
      <c r="O114" s="1"/>
      <c r="P114" s="1"/>
      <c r="Q114" s="1"/>
      <c r="R114" s="1"/>
      <c r="S114" s="1"/>
      <c r="T114" s="1"/>
      <c r="U114" s="1"/>
      <c r="V114" s="1"/>
      <c r="W114" s="1"/>
      <c r="X114" s="1"/>
      <c r="Y114" s="1"/>
      <c r="Z114" s="1"/>
    </row>
    <row r="115" ht="16.5" customHeight="1">
      <c r="A115" s="1"/>
      <c r="B115" s="2"/>
      <c r="C115" s="2"/>
      <c r="D115" s="1"/>
      <c r="E115" s="1"/>
      <c r="F115" s="1"/>
      <c r="G115" s="1"/>
      <c r="H115" s="1"/>
      <c r="I115" s="1"/>
      <c r="J115" s="1"/>
      <c r="K115" s="1"/>
      <c r="L115" s="1"/>
      <c r="M115" s="1"/>
      <c r="N115" s="1"/>
      <c r="O115" s="1"/>
      <c r="P115" s="1"/>
      <c r="Q115" s="1"/>
      <c r="R115" s="1"/>
      <c r="S115" s="1"/>
      <c r="T115" s="1"/>
      <c r="U115" s="1"/>
      <c r="V115" s="1"/>
      <c r="W115" s="1"/>
      <c r="X115" s="1"/>
      <c r="Y115" s="1"/>
      <c r="Z115" s="1"/>
    </row>
    <row r="116" ht="16.5" customHeight="1">
      <c r="A116" s="1"/>
      <c r="B116" s="2"/>
      <c r="C116" s="2"/>
      <c r="D116" s="1"/>
      <c r="E116" s="1"/>
      <c r="F116" s="1"/>
      <c r="G116" s="1"/>
      <c r="H116" s="1"/>
      <c r="I116" s="1"/>
      <c r="J116" s="1"/>
      <c r="K116" s="1"/>
      <c r="L116" s="1"/>
      <c r="M116" s="1"/>
      <c r="N116" s="1"/>
      <c r="O116" s="1"/>
      <c r="P116" s="1"/>
      <c r="Q116" s="1"/>
      <c r="R116" s="1"/>
      <c r="S116" s="1"/>
      <c r="T116" s="1"/>
      <c r="U116" s="1"/>
      <c r="V116" s="1"/>
      <c r="W116" s="1"/>
      <c r="X116" s="1"/>
      <c r="Y116" s="1"/>
      <c r="Z116" s="1"/>
    </row>
    <row r="117" ht="16.5" customHeight="1">
      <c r="A117" s="1"/>
      <c r="B117" s="1"/>
      <c r="C117" s="423"/>
      <c r="D117" s="1"/>
      <c r="E117" s="1"/>
      <c r="F117" s="1"/>
      <c r="G117" s="1"/>
      <c r="H117" s="1"/>
      <c r="I117" s="1"/>
      <c r="J117" s="1"/>
      <c r="K117" s="1"/>
      <c r="L117" s="1"/>
      <c r="M117" s="1"/>
      <c r="N117" s="1"/>
      <c r="O117" s="1"/>
      <c r="P117" s="1"/>
      <c r="Q117" s="1"/>
      <c r="R117" s="1"/>
      <c r="S117" s="1"/>
      <c r="T117" s="1"/>
      <c r="U117" s="1"/>
      <c r="V117" s="1"/>
      <c r="W117" s="1"/>
      <c r="X117" s="1"/>
      <c r="Y117" s="1"/>
      <c r="Z117" s="1"/>
    </row>
    <row r="118" ht="16.5" customHeight="1">
      <c r="A118" s="1"/>
      <c r="B118" s="1"/>
      <c r="C118" s="1"/>
      <c r="D118" s="1"/>
      <c r="E118" s="1"/>
      <c r="F118" s="2"/>
      <c r="G118" s="1"/>
      <c r="H118" s="1"/>
      <c r="I118" s="1"/>
      <c r="J118" s="1"/>
      <c r="K118" s="1"/>
      <c r="L118" s="1"/>
      <c r="M118" s="1"/>
      <c r="N118" s="1"/>
      <c r="O118" s="1"/>
      <c r="P118" s="1"/>
      <c r="Q118" s="1"/>
      <c r="R118" s="1"/>
      <c r="S118" s="1"/>
      <c r="T118" s="1"/>
      <c r="U118" s="1"/>
      <c r="V118" s="1"/>
      <c r="W118" s="1"/>
      <c r="X118" s="1"/>
      <c r="Y118" s="1"/>
      <c r="Z118" s="1"/>
    </row>
    <row r="119" ht="16.5" customHeight="1">
      <c r="A119" s="1"/>
      <c r="B119" s="1"/>
      <c r="C119" s="2"/>
      <c r="D119" s="1"/>
      <c r="E119" s="1"/>
      <c r="F119" s="2"/>
      <c r="G119" s="1"/>
      <c r="H119" s="1"/>
      <c r="I119" s="1"/>
      <c r="J119" s="1"/>
      <c r="K119" s="1"/>
      <c r="L119" s="1"/>
      <c r="M119" s="1"/>
      <c r="N119" s="1"/>
      <c r="O119" s="1"/>
      <c r="P119" s="1"/>
      <c r="Q119" s="1"/>
      <c r="R119" s="1"/>
      <c r="S119" s="1"/>
      <c r="T119" s="1"/>
      <c r="U119" s="1"/>
      <c r="V119" s="1"/>
      <c r="W119" s="1"/>
      <c r="X119" s="1"/>
      <c r="Y119" s="1"/>
      <c r="Z119" s="1"/>
    </row>
    <row r="120" ht="16.5" customHeight="1">
      <c r="A120" s="1"/>
      <c r="B120" s="1"/>
      <c r="C120" s="423"/>
      <c r="D120" s="1"/>
      <c r="E120" s="1"/>
      <c r="F120" s="1"/>
      <c r="G120" s="1"/>
      <c r="H120" s="1"/>
      <c r="I120" s="1"/>
      <c r="J120" s="1"/>
      <c r="K120" s="1"/>
      <c r="L120" s="1"/>
      <c r="M120" s="1"/>
      <c r="N120" s="1"/>
      <c r="O120" s="1"/>
      <c r="P120" s="1"/>
      <c r="Q120" s="1"/>
      <c r="R120" s="1"/>
      <c r="S120" s="1"/>
      <c r="T120" s="1"/>
      <c r="U120" s="1"/>
      <c r="V120" s="1"/>
      <c r="W120" s="1"/>
      <c r="X120" s="1"/>
      <c r="Y120" s="1"/>
      <c r="Z120" s="1"/>
    </row>
    <row r="121" ht="16.5" customHeight="1">
      <c r="A121" s="1"/>
      <c r="B121" s="1"/>
      <c r="C121" s="423"/>
      <c r="D121" s="1"/>
      <c r="E121" s="1"/>
      <c r="F121" s="1"/>
      <c r="G121" s="1"/>
      <c r="H121" s="1"/>
      <c r="I121" s="1"/>
      <c r="J121" s="1"/>
      <c r="K121" s="1"/>
      <c r="L121" s="1"/>
      <c r="M121" s="1"/>
      <c r="N121" s="1"/>
      <c r="O121" s="1"/>
      <c r="P121" s="1"/>
      <c r="Q121" s="1"/>
      <c r="R121" s="1"/>
      <c r="S121" s="1"/>
      <c r="T121" s="1"/>
      <c r="U121" s="1"/>
      <c r="V121" s="1"/>
      <c r="W121" s="1"/>
      <c r="X121" s="1"/>
      <c r="Y121" s="1"/>
      <c r="Z121" s="1"/>
    </row>
    <row r="122" ht="16.5" customHeight="1">
      <c r="A122" s="1"/>
      <c r="B122" s="1"/>
      <c r="C122" s="423"/>
      <c r="D122" s="1"/>
      <c r="E122" s="1"/>
      <c r="F122" s="1"/>
      <c r="G122" s="1"/>
      <c r="H122" s="1"/>
      <c r="I122" s="1"/>
      <c r="J122" s="1"/>
      <c r="K122" s="1"/>
      <c r="L122" s="1"/>
      <c r="M122" s="1"/>
      <c r="N122" s="1"/>
      <c r="O122" s="1"/>
      <c r="P122" s="1"/>
      <c r="Q122" s="1"/>
      <c r="R122" s="1"/>
      <c r="S122" s="1"/>
      <c r="T122" s="1"/>
      <c r="U122" s="1"/>
      <c r="V122" s="1"/>
      <c r="W122" s="1"/>
      <c r="X122" s="1"/>
      <c r="Y122" s="1"/>
      <c r="Z122" s="1"/>
    </row>
    <row r="123" ht="16.5" customHeight="1">
      <c r="A123" s="1"/>
      <c r="B123" s="1"/>
      <c r="C123" s="423"/>
      <c r="D123" s="1"/>
      <c r="E123" s="1"/>
      <c r="F123" s="1"/>
      <c r="G123" s="1"/>
      <c r="H123" s="1"/>
      <c r="I123" s="1"/>
      <c r="J123" s="1"/>
      <c r="K123" s="1"/>
      <c r="L123" s="1"/>
      <c r="M123" s="1"/>
      <c r="N123" s="1"/>
      <c r="O123" s="1"/>
      <c r="P123" s="1"/>
      <c r="Q123" s="1"/>
      <c r="R123" s="1"/>
      <c r="S123" s="1"/>
      <c r="T123" s="1"/>
      <c r="U123" s="1"/>
      <c r="V123" s="1"/>
      <c r="W123" s="1"/>
      <c r="X123" s="1"/>
      <c r="Y123" s="1"/>
      <c r="Z123" s="1"/>
    </row>
    <row r="124" ht="16.5" customHeight="1">
      <c r="A124" s="1"/>
      <c r="B124" s="1"/>
      <c r="C124" s="2"/>
      <c r="D124" s="1"/>
      <c r="E124" s="1"/>
      <c r="F124" s="1"/>
      <c r="G124" s="1"/>
      <c r="H124" s="1"/>
      <c r="I124" s="1"/>
      <c r="J124" s="1"/>
      <c r="K124" s="1"/>
      <c r="L124" s="1"/>
      <c r="M124" s="1"/>
      <c r="N124" s="1"/>
      <c r="O124" s="1"/>
      <c r="P124" s="1"/>
      <c r="Q124" s="1"/>
      <c r="R124" s="1"/>
      <c r="S124" s="1"/>
      <c r="T124" s="1"/>
      <c r="U124" s="1"/>
      <c r="V124" s="1"/>
      <c r="W124" s="1"/>
      <c r="X124" s="1"/>
      <c r="Y124" s="1"/>
      <c r="Z124" s="1"/>
    </row>
    <row r="125" ht="16.5" customHeight="1">
      <c r="A125" s="1"/>
      <c r="B125" s="1"/>
      <c r="C125" s="2"/>
      <c r="D125" s="1"/>
      <c r="E125" s="1"/>
      <c r="F125" s="2"/>
      <c r="G125" s="1"/>
      <c r="H125" s="1"/>
      <c r="I125" s="1"/>
      <c r="J125" s="1"/>
      <c r="K125" s="1"/>
      <c r="L125" s="1"/>
      <c r="M125" s="1"/>
      <c r="N125" s="1"/>
      <c r="O125" s="1"/>
      <c r="P125" s="1"/>
      <c r="Q125" s="1"/>
      <c r="R125" s="1"/>
      <c r="S125" s="1"/>
      <c r="T125" s="1"/>
      <c r="U125" s="1"/>
      <c r="V125" s="1"/>
      <c r="W125" s="1"/>
      <c r="X125" s="1"/>
      <c r="Y125" s="1"/>
      <c r="Z125" s="1"/>
    </row>
    <row r="126" ht="16.5" customHeight="1">
      <c r="A126" s="1"/>
      <c r="B126" s="1"/>
      <c r="C126" s="2"/>
      <c r="D126" s="1"/>
      <c r="E126" s="1"/>
      <c r="F126" s="1"/>
      <c r="G126" s="1"/>
      <c r="H126" s="1"/>
      <c r="I126" s="1"/>
      <c r="J126" s="1"/>
      <c r="K126" s="1"/>
      <c r="L126" s="1"/>
      <c r="M126" s="1"/>
      <c r="N126" s="1"/>
      <c r="O126" s="1"/>
      <c r="P126" s="1"/>
      <c r="Q126" s="1"/>
      <c r="R126" s="1"/>
      <c r="S126" s="1"/>
      <c r="T126" s="1"/>
      <c r="U126" s="1"/>
      <c r="V126" s="1"/>
      <c r="W126" s="1"/>
      <c r="X126" s="1"/>
      <c r="Y126" s="1"/>
      <c r="Z126" s="1"/>
    </row>
    <row r="127" ht="16.5" customHeight="1">
      <c r="A127" s="1"/>
      <c r="B127" s="1"/>
      <c r="C127" s="423"/>
      <c r="D127" s="1"/>
      <c r="E127" s="1"/>
      <c r="F127" s="1"/>
      <c r="G127" s="1"/>
      <c r="H127" s="1"/>
      <c r="I127" s="1"/>
      <c r="J127" s="1"/>
      <c r="K127" s="1"/>
      <c r="L127" s="1"/>
      <c r="M127" s="1"/>
      <c r="N127" s="1"/>
      <c r="O127" s="1"/>
      <c r="P127" s="1"/>
      <c r="Q127" s="1"/>
      <c r="R127" s="1"/>
      <c r="S127" s="1"/>
      <c r="T127" s="1"/>
      <c r="U127" s="1"/>
      <c r="V127" s="1"/>
      <c r="W127" s="1"/>
      <c r="X127" s="1"/>
      <c r="Y127" s="1"/>
      <c r="Z127" s="1"/>
    </row>
    <row r="128" ht="16.5" customHeight="1">
      <c r="A128" s="1"/>
      <c r="B128" s="1"/>
      <c r="C128" s="2"/>
      <c r="D128" s="1"/>
      <c r="E128" s="1"/>
      <c r="F128" s="1"/>
      <c r="G128" s="1"/>
      <c r="H128" s="1"/>
      <c r="I128" s="1"/>
      <c r="J128" s="1"/>
      <c r="K128" s="1"/>
      <c r="L128" s="1"/>
      <c r="M128" s="1"/>
      <c r="N128" s="1"/>
      <c r="O128" s="1"/>
      <c r="P128" s="1"/>
      <c r="Q128" s="1"/>
      <c r="R128" s="1"/>
      <c r="S128" s="1"/>
      <c r="T128" s="1"/>
      <c r="U128" s="1"/>
      <c r="V128" s="1"/>
      <c r="W128" s="1"/>
      <c r="X128" s="1"/>
      <c r="Y128" s="1"/>
      <c r="Z128" s="1"/>
    </row>
    <row r="129" ht="16.5" customHeight="1">
      <c r="A129" s="1"/>
      <c r="B129" s="1"/>
      <c r="C129" s="2"/>
      <c r="D129" s="1"/>
      <c r="E129" s="1"/>
      <c r="F129" s="2"/>
      <c r="G129" s="1"/>
      <c r="H129" s="1"/>
      <c r="I129" s="1"/>
      <c r="J129" s="1"/>
      <c r="K129" s="1"/>
      <c r="L129" s="1"/>
      <c r="M129" s="1"/>
      <c r="N129" s="1"/>
      <c r="O129" s="1"/>
      <c r="P129" s="1"/>
      <c r="Q129" s="1"/>
      <c r="R129" s="1"/>
      <c r="S129" s="1"/>
      <c r="T129" s="1"/>
      <c r="U129" s="1"/>
      <c r="V129" s="1"/>
      <c r="W129" s="1"/>
      <c r="X129" s="1"/>
      <c r="Y129" s="1"/>
      <c r="Z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6.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6.5" customHeight="1">
      <c r="A132" s="1"/>
      <c r="B132" s="419"/>
      <c r="C132" s="431"/>
      <c r="D132" s="1"/>
      <c r="E132" s="1"/>
      <c r="F132" s="1"/>
      <c r="G132" s="1"/>
      <c r="H132" s="1"/>
      <c r="I132" s="1"/>
      <c r="J132" s="1"/>
      <c r="K132" s="1"/>
      <c r="L132" s="1"/>
      <c r="M132" s="1"/>
      <c r="N132" s="1"/>
      <c r="O132" s="1"/>
      <c r="P132" s="1"/>
      <c r="Q132" s="419"/>
      <c r="R132" s="1"/>
      <c r="S132" s="1"/>
      <c r="T132" s="1"/>
      <c r="U132" s="1"/>
      <c r="V132" s="1"/>
      <c r="W132" s="1"/>
      <c r="X132" s="1"/>
      <c r="Y132" s="1"/>
      <c r="Z132" s="1"/>
    </row>
    <row r="133" ht="16.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6.5" customHeight="1">
      <c r="A134" s="1"/>
      <c r="B134" s="1"/>
      <c r="C134" s="419"/>
      <c r="D134" s="419"/>
      <c r="E134" s="419"/>
      <c r="F134" s="419"/>
      <c r="G134" s="419"/>
      <c r="H134" s="419"/>
      <c r="I134" s="419"/>
      <c r="J134" s="419"/>
      <c r="K134" s="419"/>
      <c r="L134" s="419"/>
      <c r="M134" s="432"/>
      <c r="N134" s="419"/>
      <c r="O134" s="1"/>
      <c r="P134" s="419"/>
      <c r="Q134" s="1"/>
      <c r="R134" s="1"/>
      <c r="S134" s="1"/>
      <c r="T134" s="1"/>
      <c r="U134" s="1"/>
      <c r="V134" s="1"/>
      <c r="W134" s="1"/>
      <c r="X134" s="1"/>
      <c r="Y134" s="1"/>
      <c r="Z134" s="1"/>
    </row>
    <row r="135" ht="16.5" customHeight="1">
      <c r="A135" s="1"/>
      <c r="B135" s="1"/>
      <c r="C135" s="431"/>
      <c r="D135" s="1"/>
      <c r="E135" s="1"/>
      <c r="F135" s="1"/>
      <c r="G135" s="1"/>
      <c r="H135" s="1"/>
      <c r="I135" s="1"/>
      <c r="J135" s="1"/>
      <c r="K135" s="1"/>
      <c r="L135" s="1"/>
      <c r="M135" s="1"/>
      <c r="N135" s="1"/>
      <c r="O135" s="1"/>
      <c r="P135" s="1"/>
      <c r="Q135" s="1"/>
      <c r="R135" s="1"/>
      <c r="S135" s="1"/>
      <c r="T135" s="1"/>
      <c r="U135" s="1"/>
      <c r="V135" s="1"/>
      <c r="W135" s="1"/>
      <c r="X135" s="1"/>
      <c r="Y135" s="1"/>
      <c r="Z135" s="1"/>
    </row>
    <row r="136" ht="16.5" customHeight="1">
      <c r="A136" s="1"/>
      <c r="B136" s="1"/>
      <c r="C136" s="1"/>
      <c r="D136" s="1"/>
      <c r="E136" s="1"/>
      <c r="F136" s="1"/>
      <c r="G136" s="1"/>
      <c r="H136" s="1"/>
      <c r="I136" s="422"/>
      <c r="J136" s="422"/>
      <c r="K136" s="1"/>
      <c r="L136" s="1"/>
      <c r="M136" s="422"/>
      <c r="N136" s="422"/>
      <c r="O136" s="422"/>
      <c r="P136" s="1"/>
      <c r="Q136" s="1"/>
      <c r="R136" s="1"/>
      <c r="S136" s="1"/>
      <c r="T136" s="1"/>
      <c r="U136" s="1"/>
      <c r="V136" s="1"/>
      <c r="W136" s="1"/>
      <c r="X136" s="1"/>
      <c r="Y136" s="1"/>
      <c r="Z136" s="1"/>
    </row>
    <row r="137" ht="16.5" customHeight="1">
      <c r="A137" s="1"/>
      <c r="B137" s="1"/>
      <c r="C137" s="1"/>
      <c r="D137" s="1"/>
      <c r="E137" s="1"/>
      <c r="F137" s="1"/>
      <c r="G137" s="1"/>
      <c r="H137" s="1"/>
      <c r="I137" s="422"/>
      <c r="J137" s="422"/>
      <c r="K137" s="1"/>
      <c r="L137" s="1"/>
      <c r="M137" s="422"/>
      <c r="N137" s="422"/>
      <c r="O137" s="422"/>
      <c r="P137" s="1"/>
      <c r="Q137" s="1"/>
      <c r="R137" s="1"/>
      <c r="S137" s="1"/>
      <c r="T137" s="1"/>
      <c r="U137" s="1"/>
      <c r="V137" s="1"/>
      <c r="W137" s="1"/>
      <c r="X137" s="1"/>
      <c r="Y137" s="1"/>
      <c r="Z137" s="1"/>
    </row>
    <row r="138" ht="16.5" customHeight="1">
      <c r="A138" s="1"/>
      <c r="B138" s="1"/>
      <c r="C138" s="1"/>
      <c r="D138" s="1"/>
      <c r="E138" s="1"/>
      <c r="F138" s="1"/>
      <c r="G138" s="1"/>
      <c r="H138" s="1"/>
      <c r="I138" s="422"/>
      <c r="J138" s="422"/>
      <c r="K138" s="1"/>
      <c r="L138" s="1"/>
      <c r="M138" s="422"/>
      <c r="N138" s="422"/>
      <c r="O138" s="422"/>
      <c r="P138" s="1"/>
      <c r="Q138" s="1"/>
      <c r="R138" s="1"/>
      <c r="S138" s="1"/>
      <c r="T138" s="1"/>
      <c r="U138" s="1"/>
      <c r="V138" s="1"/>
      <c r="W138" s="1"/>
      <c r="X138" s="1"/>
      <c r="Y138" s="1"/>
      <c r="Z138" s="1"/>
    </row>
    <row r="139" ht="16.5" customHeight="1">
      <c r="A139" s="1"/>
      <c r="B139" s="1"/>
      <c r="C139" s="1"/>
      <c r="D139" s="1"/>
      <c r="E139" s="1"/>
      <c r="F139" s="1"/>
      <c r="G139" s="1"/>
      <c r="H139" s="1"/>
      <c r="I139" s="422"/>
      <c r="J139" s="422"/>
      <c r="K139" s="1"/>
      <c r="L139" s="1"/>
      <c r="M139" s="422"/>
      <c r="N139" s="422"/>
      <c r="O139" s="422"/>
      <c r="P139" s="1"/>
      <c r="Q139" s="1"/>
      <c r="R139" s="1"/>
      <c r="S139" s="1"/>
      <c r="T139" s="1"/>
      <c r="U139" s="1"/>
      <c r="V139" s="1"/>
      <c r="W139" s="1"/>
      <c r="X139" s="1"/>
      <c r="Y139" s="1"/>
      <c r="Z139" s="1"/>
    </row>
    <row r="140" ht="16.5" customHeight="1">
      <c r="A140" s="1"/>
      <c r="B140" s="1"/>
      <c r="C140" s="1"/>
      <c r="D140" s="1"/>
      <c r="E140" s="1"/>
      <c r="F140" s="1"/>
      <c r="G140" s="1"/>
      <c r="H140" s="1"/>
      <c r="I140" s="422"/>
      <c r="J140" s="422"/>
      <c r="K140" s="1"/>
      <c r="L140" s="1"/>
      <c r="M140" s="422"/>
      <c r="N140" s="422"/>
      <c r="O140" s="422"/>
      <c r="P140" s="1"/>
      <c r="Q140" s="1"/>
      <c r="R140" s="1"/>
      <c r="S140" s="1"/>
      <c r="T140" s="1"/>
      <c r="U140" s="1"/>
      <c r="V140" s="1"/>
      <c r="W140" s="1"/>
      <c r="X140" s="1"/>
      <c r="Y140" s="1"/>
      <c r="Z140" s="1"/>
    </row>
    <row r="141" ht="16.5" customHeight="1">
      <c r="A141" s="1"/>
      <c r="B141" s="1"/>
      <c r="C141" s="1"/>
      <c r="D141" s="1"/>
      <c r="E141" s="1"/>
      <c r="F141" s="1"/>
      <c r="G141" s="1"/>
      <c r="H141" s="1"/>
      <c r="I141" s="422"/>
      <c r="J141" s="422"/>
      <c r="K141" s="1"/>
      <c r="L141" s="1"/>
      <c r="M141" s="422"/>
      <c r="N141" s="422"/>
      <c r="O141" s="422"/>
      <c r="P141" s="1"/>
      <c r="Q141" s="1"/>
      <c r="R141" s="1"/>
      <c r="S141" s="1"/>
      <c r="T141" s="1"/>
      <c r="U141" s="1"/>
      <c r="V141" s="1"/>
      <c r="W141" s="1"/>
      <c r="X141" s="1"/>
      <c r="Y141" s="1"/>
      <c r="Z141" s="1"/>
    </row>
    <row r="142" ht="16.5" customHeight="1">
      <c r="A142" s="1"/>
      <c r="B142" s="1"/>
      <c r="C142" s="1"/>
      <c r="D142" s="1"/>
      <c r="E142" s="1"/>
      <c r="F142" s="1"/>
      <c r="G142" s="1"/>
      <c r="H142" s="1"/>
      <c r="I142" s="422"/>
      <c r="J142" s="422"/>
      <c r="K142" s="1"/>
      <c r="L142" s="1"/>
      <c r="M142" s="422"/>
      <c r="N142" s="422"/>
      <c r="O142" s="422"/>
      <c r="P142" s="1"/>
      <c r="Q142" s="1"/>
      <c r="R142" s="1"/>
      <c r="S142" s="1"/>
      <c r="T142" s="1"/>
      <c r="U142" s="1"/>
      <c r="V142" s="1"/>
      <c r="W142" s="1"/>
      <c r="X142" s="1"/>
      <c r="Y142" s="1"/>
      <c r="Z142" s="1"/>
    </row>
    <row r="143" ht="16.5" customHeight="1">
      <c r="A143" s="1"/>
      <c r="B143" s="1"/>
      <c r="C143" s="1"/>
      <c r="D143" s="1"/>
      <c r="E143" s="1"/>
      <c r="F143" s="1"/>
      <c r="G143" s="1"/>
      <c r="H143" s="1"/>
      <c r="I143" s="422"/>
      <c r="J143" s="422"/>
      <c r="K143" s="1"/>
      <c r="L143" s="1"/>
      <c r="M143" s="422"/>
      <c r="N143" s="422"/>
      <c r="O143" s="422"/>
      <c r="P143" s="1"/>
      <c r="Q143" s="1"/>
      <c r="R143" s="1"/>
      <c r="S143" s="1"/>
      <c r="T143" s="1"/>
      <c r="U143" s="1"/>
      <c r="V143" s="1"/>
      <c r="W143" s="1"/>
      <c r="X143" s="1"/>
      <c r="Y143" s="1"/>
      <c r="Z143" s="1"/>
    </row>
    <row r="144" ht="16.5" customHeight="1">
      <c r="A144" s="1"/>
      <c r="B144" s="1"/>
      <c r="C144" s="1"/>
      <c r="D144" s="1"/>
      <c r="E144" s="1"/>
      <c r="F144" s="1"/>
      <c r="G144" s="1"/>
      <c r="H144" s="1"/>
      <c r="I144" s="422"/>
      <c r="J144" s="422"/>
      <c r="K144" s="1"/>
      <c r="L144" s="1"/>
      <c r="M144" s="422"/>
      <c r="N144" s="422"/>
      <c r="O144" s="422"/>
      <c r="P144" s="1"/>
      <c r="Q144" s="1"/>
      <c r="R144" s="1"/>
      <c r="S144" s="1"/>
      <c r="T144" s="1"/>
      <c r="U144" s="1"/>
      <c r="V144" s="1"/>
      <c r="W144" s="1"/>
      <c r="X144" s="1"/>
      <c r="Y144" s="1"/>
      <c r="Z144" s="1"/>
    </row>
    <row r="145" ht="16.5" customHeight="1">
      <c r="A145" s="1"/>
      <c r="B145" s="1"/>
      <c r="C145" s="1"/>
      <c r="D145" s="1"/>
      <c r="E145" s="1"/>
      <c r="F145" s="1"/>
      <c r="G145" s="1"/>
      <c r="H145" s="1"/>
      <c r="I145" s="422"/>
      <c r="J145" s="422"/>
      <c r="K145" s="1"/>
      <c r="L145" s="1"/>
      <c r="M145" s="422"/>
      <c r="N145" s="422"/>
      <c r="O145" s="422"/>
      <c r="P145" s="1"/>
      <c r="Q145" s="1"/>
      <c r="R145" s="1"/>
      <c r="S145" s="1"/>
      <c r="T145" s="1"/>
      <c r="U145" s="1"/>
      <c r="V145" s="1"/>
      <c r="W145" s="1"/>
      <c r="X145" s="1"/>
      <c r="Y145" s="1"/>
      <c r="Z145" s="1"/>
    </row>
    <row r="146" ht="16.5" customHeight="1">
      <c r="A146" s="1"/>
      <c r="B146" s="1"/>
      <c r="C146" s="1"/>
      <c r="D146" s="1"/>
      <c r="E146" s="1"/>
      <c r="F146" s="1"/>
      <c r="G146" s="1"/>
      <c r="H146" s="1"/>
      <c r="I146" s="422"/>
      <c r="J146" s="422"/>
      <c r="K146" s="1"/>
      <c r="L146" s="1"/>
      <c r="M146" s="422"/>
      <c r="N146" s="422"/>
      <c r="O146" s="422"/>
      <c r="P146" s="1"/>
      <c r="Q146" s="1"/>
      <c r="R146" s="1"/>
      <c r="S146" s="1"/>
      <c r="T146" s="1"/>
      <c r="U146" s="1"/>
      <c r="V146" s="1"/>
      <c r="W146" s="1"/>
      <c r="X146" s="1"/>
      <c r="Y146" s="1"/>
      <c r="Z146" s="1"/>
    </row>
    <row r="147" ht="16.5" customHeight="1">
      <c r="A147" s="1"/>
      <c r="B147" s="1"/>
      <c r="C147" s="1"/>
      <c r="D147" s="1"/>
      <c r="E147" s="1"/>
      <c r="F147" s="1"/>
      <c r="G147" s="1"/>
      <c r="H147" s="1"/>
      <c r="I147" s="422"/>
      <c r="J147" s="422"/>
      <c r="K147" s="1"/>
      <c r="L147" s="1"/>
      <c r="M147" s="422"/>
      <c r="N147" s="422"/>
      <c r="O147" s="422"/>
      <c r="P147" s="1"/>
      <c r="Q147" s="1"/>
      <c r="R147" s="1"/>
      <c r="S147" s="1"/>
      <c r="T147" s="1"/>
      <c r="U147" s="1"/>
      <c r="V147" s="1"/>
      <c r="W147" s="1"/>
      <c r="X147" s="1"/>
      <c r="Y147" s="1"/>
      <c r="Z147" s="1"/>
    </row>
    <row r="148" ht="16.5" customHeight="1">
      <c r="A148" s="1"/>
      <c r="B148" s="1"/>
      <c r="C148" s="1"/>
      <c r="D148" s="1"/>
      <c r="E148" s="1"/>
      <c r="F148" s="1"/>
      <c r="G148" s="1"/>
      <c r="H148" s="1"/>
      <c r="I148" s="422"/>
      <c r="J148" s="422"/>
      <c r="K148" s="1"/>
      <c r="L148" s="1"/>
      <c r="M148" s="422"/>
      <c r="N148" s="422"/>
      <c r="O148" s="422"/>
      <c r="P148" s="1"/>
      <c r="Q148" s="1"/>
      <c r="R148" s="1"/>
      <c r="S148" s="1"/>
      <c r="T148" s="1"/>
      <c r="U148" s="1"/>
      <c r="V148" s="1"/>
      <c r="W148" s="1"/>
      <c r="X148" s="1"/>
      <c r="Y148" s="1"/>
      <c r="Z148" s="1"/>
    </row>
    <row r="149" ht="16.5" customHeight="1">
      <c r="A149" s="1"/>
      <c r="B149" s="1"/>
      <c r="C149" s="1"/>
      <c r="D149" s="1"/>
      <c r="E149" s="1"/>
      <c r="F149" s="1"/>
      <c r="G149" s="1"/>
      <c r="H149" s="1"/>
      <c r="I149" s="422"/>
      <c r="J149" s="422"/>
      <c r="K149" s="1"/>
      <c r="L149" s="1"/>
      <c r="M149" s="422"/>
      <c r="N149" s="422"/>
      <c r="O149" s="422"/>
      <c r="P149" s="1"/>
      <c r="Q149" s="1"/>
      <c r="R149" s="1"/>
      <c r="S149" s="1"/>
      <c r="T149" s="1"/>
      <c r="U149" s="1"/>
      <c r="V149" s="1"/>
      <c r="W149" s="1"/>
      <c r="X149" s="1"/>
      <c r="Y149" s="1"/>
      <c r="Z149" s="1"/>
    </row>
    <row r="150" ht="16.5" customHeight="1">
      <c r="A150" s="1"/>
      <c r="B150" s="1"/>
      <c r="C150" s="1"/>
      <c r="D150" s="1"/>
      <c r="E150" s="1"/>
      <c r="F150" s="1"/>
      <c r="G150" s="1"/>
      <c r="H150" s="1"/>
      <c r="I150" s="422"/>
      <c r="J150" s="422"/>
      <c r="K150" s="1"/>
      <c r="L150" s="1"/>
      <c r="M150" s="422"/>
      <c r="N150" s="422"/>
      <c r="O150" s="422"/>
      <c r="P150" s="1"/>
      <c r="Q150" s="1"/>
      <c r="R150" s="1"/>
      <c r="S150" s="1"/>
      <c r="T150" s="1"/>
      <c r="U150" s="1"/>
      <c r="V150" s="1"/>
      <c r="W150" s="1"/>
      <c r="X150" s="1"/>
      <c r="Y150" s="1"/>
      <c r="Z150" s="1"/>
    </row>
    <row r="151" ht="16.5" customHeight="1">
      <c r="A151" s="1"/>
      <c r="B151" s="1"/>
      <c r="C151" s="1"/>
      <c r="D151" s="1"/>
      <c r="E151" s="1"/>
      <c r="F151" s="1"/>
      <c r="G151" s="1"/>
      <c r="H151" s="1"/>
      <c r="I151" s="422"/>
      <c r="J151" s="422"/>
      <c r="K151" s="1"/>
      <c r="L151" s="1"/>
      <c r="M151" s="422"/>
      <c r="N151" s="422"/>
      <c r="O151" s="422"/>
      <c r="P151" s="1"/>
      <c r="Q151" s="1"/>
      <c r="R151" s="1"/>
      <c r="S151" s="1"/>
      <c r="T151" s="1"/>
      <c r="U151" s="1"/>
      <c r="V151" s="1"/>
      <c r="W151" s="1"/>
      <c r="X151" s="1"/>
      <c r="Y151" s="1"/>
      <c r="Z151" s="1"/>
    </row>
    <row r="152" ht="16.5" customHeight="1">
      <c r="A152" s="1"/>
      <c r="B152" s="1"/>
      <c r="C152" s="1"/>
      <c r="D152" s="1"/>
      <c r="E152" s="1"/>
      <c r="F152" s="1"/>
      <c r="G152" s="1"/>
      <c r="H152" s="1"/>
      <c r="I152" s="422"/>
      <c r="J152" s="422"/>
      <c r="K152" s="1"/>
      <c r="L152" s="1"/>
      <c r="M152" s="422"/>
      <c r="N152" s="422"/>
      <c r="O152" s="422"/>
      <c r="P152" s="1"/>
      <c r="Q152" s="1"/>
      <c r="R152" s="1"/>
      <c r="S152" s="1"/>
      <c r="T152" s="1"/>
      <c r="U152" s="1"/>
      <c r="V152" s="1"/>
      <c r="W152" s="1"/>
      <c r="X152" s="1"/>
      <c r="Y152" s="1"/>
      <c r="Z152" s="1"/>
    </row>
    <row r="153" ht="16.5" customHeight="1">
      <c r="A153" s="1"/>
      <c r="B153" s="1"/>
      <c r="C153" s="1"/>
      <c r="D153" s="1"/>
      <c r="E153" s="1"/>
      <c r="F153" s="1"/>
      <c r="G153" s="1"/>
      <c r="H153" s="1"/>
      <c r="I153" s="422"/>
      <c r="J153" s="422"/>
      <c r="K153" s="1"/>
      <c r="L153" s="1"/>
      <c r="M153" s="422"/>
      <c r="N153" s="422"/>
      <c r="O153" s="422"/>
      <c r="P153" s="1"/>
      <c r="Q153" s="1"/>
      <c r="R153" s="1"/>
      <c r="S153" s="1"/>
      <c r="T153" s="1"/>
      <c r="U153" s="1"/>
      <c r="V153" s="1"/>
      <c r="W153" s="1"/>
      <c r="X153" s="1"/>
      <c r="Y153" s="1"/>
      <c r="Z153" s="1"/>
    </row>
    <row r="154" ht="16.5" customHeight="1">
      <c r="A154" s="1"/>
      <c r="B154" s="1"/>
      <c r="C154" s="1"/>
      <c r="D154" s="1"/>
      <c r="E154" s="1"/>
      <c r="F154" s="1"/>
      <c r="G154" s="1"/>
      <c r="H154" s="1"/>
      <c r="I154" s="422"/>
      <c r="J154" s="422"/>
      <c r="K154" s="1"/>
      <c r="L154" s="1"/>
      <c r="M154" s="422"/>
      <c r="N154" s="422"/>
      <c r="O154" s="422"/>
      <c r="P154" s="1"/>
      <c r="Q154" s="1"/>
      <c r="R154" s="1"/>
      <c r="S154" s="1"/>
      <c r="T154" s="1"/>
      <c r="U154" s="1"/>
      <c r="V154" s="1"/>
      <c r="W154" s="1"/>
      <c r="X154" s="1"/>
      <c r="Y154" s="1"/>
      <c r="Z154" s="1"/>
    </row>
    <row r="155" ht="16.5" customHeight="1">
      <c r="A155" s="1"/>
      <c r="B155" s="1"/>
      <c r="C155" s="1"/>
      <c r="D155" s="1"/>
      <c r="E155" s="1"/>
      <c r="F155" s="1"/>
      <c r="G155" s="1"/>
      <c r="H155" s="1"/>
      <c r="I155" s="422"/>
      <c r="J155" s="422"/>
      <c r="K155" s="1"/>
      <c r="L155" s="1"/>
      <c r="M155" s="422"/>
      <c r="N155" s="422"/>
      <c r="O155" s="422"/>
      <c r="P155" s="1"/>
      <c r="Q155" s="1"/>
      <c r="R155" s="1"/>
      <c r="S155" s="1"/>
      <c r="T155" s="1"/>
      <c r="U155" s="1"/>
      <c r="V155" s="1"/>
      <c r="W155" s="1"/>
      <c r="X155" s="1"/>
      <c r="Y155" s="1"/>
      <c r="Z155" s="1"/>
    </row>
    <row r="156" ht="16.5" customHeight="1">
      <c r="A156" s="1"/>
      <c r="B156" s="1"/>
      <c r="C156" s="1"/>
      <c r="D156" s="1"/>
      <c r="E156" s="1"/>
      <c r="F156" s="1"/>
      <c r="G156" s="1"/>
      <c r="H156" s="1"/>
      <c r="I156" s="422"/>
      <c r="J156" s="422"/>
      <c r="K156" s="1"/>
      <c r="L156" s="1"/>
      <c r="M156" s="422"/>
      <c r="N156" s="422"/>
      <c r="O156" s="422"/>
      <c r="P156" s="1"/>
      <c r="Q156" s="1"/>
      <c r="R156" s="1"/>
      <c r="S156" s="1"/>
      <c r="T156" s="1"/>
      <c r="U156" s="1"/>
      <c r="V156" s="1"/>
      <c r="W156" s="1"/>
      <c r="X156" s="1"/>
      <c r="Y156" s="1"/>
      <c r="Z156" s="1"/>
    </row>
    <row r="157" ht="16.5" customHeight="1">
      <c r="A157" s="1"/>
      <c r="B157" s="1"/>
      <c r="C157" s="1"/>
      <c r="D157" s="1"/>
      <c r="E157" s="1"/>
      <c r="F157" s="1"/>
      <c r="G157" s="1"/>
      <c r="H157" s="1"/>
      <c r="I157" s="422"/>
      <c r="J157" s="422"/>
      <c r="K157" s="1"/>
      <c r="L157" s="1"/>
      <c r="M157" s="422"/>
      <c r="N157" s="422"/>
      <c r="O157" s="422"/>
      <c r="P157" s="1"/>
      <c r="Q157" s="1"/>
      <c r="R157" s="1"/>
      <c r="S157" s="1"/>
      <c r="T157" s="1"/>
      <c r="U157" s="1"/>
      <c r="V157" s="1"/>
      <c r="W157" s="1"/>
      <c r="X157" s="1"/>
      <c r="Y157" s="1"/>
      <c r="Z157" s="1"/>
    </row>
    <row r="158" ht="16.5" customHeight="1">
      <c r="A158" s="1"/>
      <c r="B158" s="1"/>
      <c r="C158" s="1"/>
      <c r="D158" s="1"/>
      <c r="E158" s="1"/>
      <c r="F158" s="1"/>
      <c r="G158" s="1"/>
      <c r="H158" s="1"/>
      <c r="I158" s="422"/>
      <c r="J158" s="422"/>
      <c r="K158" s="1"/>
      <c r="L158" s="1"/>
      <c r="M158" s="422"/>
      <c r="N158" s="422"/>
      <c r="O158" s="422"/>
      <c r="P158" s="1"/>
      <c r="Q158" s="1"/>
      <c r="R158" s="1"/>
      <c r="S158" s="1"/>
      <c r="T158" s="1"/>
      <c r="U158" s="1"/>
      <c r="V158" s="1"/>
      <c r="W158" s="1"/>
      <c r="X158" s="1"/>
      <c r="Y158" s="1"/>
      <c r="Z158" s="1"/>
    </row>
    <row r="159" ht="16.5" customHeight="1">
      <c r="A159" s="1"/>
      <c r="B159" s="1"/>
      <c r="C159" s="1"/>
      <c r="D159" s="1"/>
      <c r="E159" s="1"/>
      <c r="F159" s="1"/>
      <c r="G159" s="1"/>
      <c r="H159" s="1"/>
      <c r="I159" s="422"/>
      <c r="J159" s="422"/>
      <c r="K159" s="1"/>
      <c r="L159" s="1"/>
      <c r="M159" s="422"/>
      <c r="N159" s="422"/>
      <c r="O159" s="422"/>
      <c r="P159" s="1"/>
      <c r="Q159" s="1"/>
      <c r="R159" s="1"/>
      <c r="S159" s="1"/>
      <c r="T159" s="1"/>
      <c r="U159" s="1"/>
      <c r="V159" s="1"/>
      <c r="W159" s="1"/>
      <c r="X159" s="1"/>
      <c r="Y159" s="1"/>
      <c r="Z159" s="1"/>
    </row>
    <row r="160" ht="16.5" customHeight="1">
      <c r="A160" s="1"/>
      <c r="B160" s="1"/>
      <c r="C160" s="1"/>
      <c r="D160" s="1"/>
      <c r="E160" s="1"/>
      <c r="F160" s="1"/>
      <c r="G160" s="1"/>
      <c r="H160" s="1"/>
      <c r="I160" s="422"/>
      <c r="J160" s="422"/>
      <c r="K160" s="1"/>
      <c r="L160" s="1"/>
      <c r="M160" s="422"/>
      <c r="N160" s="422"/>
      <c r="O160" s="422"/>
      <c r="P160" s="1"/>
      <c r="Q160" s="1"/>
      <c r="R160" s="1"/>
      <c r="S160" s="1"/>
      <c r="T160" s="1"/>
      <c r="U160" s="1"/>
      <c r="V160" s="1"/>
      <c r="W160" s="1"/>
      <c r="X160" s="1"/>
      <c r="Y160" s="1"/>
      <c r="Z160" s="1"/>
    </row>
    <row r="161" ht="16.5" customHeight="1">
      <c r="A161" s="1"/>
      <c r="B161" s="1"/>
      <c r="C161" s="1"/>
      <c r="D161" s="1"/>
      <c r="E161" s="1"/>
      <c r="F161" s="1"/>
      <c r="G161" s="1"/>
      <c r="H161" s="1"/>
      <c r="I161" s="422"/>
      <c r="J161" s="422"/>
      <c r="K161" s="1"/>
      <c r="L161" s="1"/>
      <c r="M161" s="422"/>
      <c r="N161" s="422"/>
      <c r="O161" s="422"/>
      <c r="P161" s="1"/>
      <c r="Q161" s="1"/>
      <c r="R161" s="1"/>
      <c r="S161" s="1"/>
      <c r="T161" s="1"/>
      <c r="U161" s="1"/>
      <c r="V161" s="1"/>
      <c r="W161" s="1"/>
      <c r="X161" s="1"/>
      <c r="Y161" s="1"/>
      <c r="Z161" s="1"/>
    </row>
    <row r="162" ht="16.5" customHeight="1">
      <c r="A162" s="1"/>
      <c r="B162" s="1"/>
      <c r="C162" s="1"/>
      <c r="D162" s="1"/>
      <c r="E162" s="1"/>
      <c r="F162" s="1"/>
      <c r="G162" s="1"/>
      <c r="H162" s="1"/>
      <c r="I162" s="422"/>
      <c r="J162" s="422"/>
      <c r="K162" s="1"/>
      <c r="L162" s="1"/>
      <c r="M162" s="422"/>
      <c r="N162" s="422"/>
      <c r="O162" s="422"/>
      <c r="P162" s="1"/>
      <c r="Q162" s="1"/>
      <c r="R162" s="1"/>
      <c r="S162" s="1"/>
      <c r="T162" s="1"/>
      <c r="U162" s="1"/>
      <c r="V162" s="1"/>
      <c r="W162" s="1"/>
      <c r="X162" s="1"/>
      <c r="Y162" s="1"/>
      <c r="Z162" s="1"/>
    </row>
    <row r="163" ht="16.5" customHeight="1">
      <c r="A163" s="1"/>
      <c r="B163" s="1"/>
      <c r="C163" s="1"/>
      <c r="D163" s="1"/>
      <c r="E163" s="1"/>
      <c r="F163" s="1"/>
      <c r="G163" s="1"/>
      <c r="H163" s="1"/>
      <c r="I163" s="422"/>
      <c r="J163" s="422"/>
      <c r="K163" s="1"/>
      <c r="L163" s="1"/>
      <c r="M163" s="422"/>
      <c r="N163" s="422"/>
      <c r="O163" s="422"/>
      <c r="P163" s="1"/>
      <c r="Q163" s="1"/>
      <c r="R163" s="1"/>
      <c r="S163" s="1"/>
      <c r="T163" s="1"/>
      <c r="U163" s="1"/>
      <c r="V163" s="1"/>
      <c r="W163" s="1"/>
      <c r="X163" s="1"/>
      <c r="Y163" s="1"/>
      <c r="Z163" s="1"/>
    </row>
    <row r="164" ht="16.5" customHeight="1">
      <c r="A164" s="1"/>
      <c r="B164" s="1"/>
      <c r="C164" s="1"/>
      <c r="D164" s="1"/>
      <c r="E164" s="1"/>
      <c r="F164" s="1"/>
      <c r="G164" s="1"/>
      <c r="H164" s="1"/>
      <c r="I164" s="422"/>
      <c r="J164" s="422"/>
      <c r="K164" s="1"/>
      <c r="L164" s="1"/>
      <c r="M164" s="422"/>
      <c r="N164" s="422"/>
      <c r="O164" s="422"/>
      <c r="P164" s="1"/>
      <c r="Q164" s="1"/>
      <c r="R164" s="1"/>
      <c r="S164" s="1"/>
      <c r="T164" s="1"/>
      <c r="U164" s="1"/>
      <c r="V164" s="1"/>
      <c r="W164" s="1"/>
      <c r="X164" s="1"/>
      <c r="Y164" s="1"/>
      <c r="Z164" s="1"/>
    </row>
    <row r="165" ht="16.5" customHeight="1">
      <c r="A165" s="1"/>
      <c r="B165" s="1"/>
      <c r="C165" s="1"/>
      <c r="D165" s="1"/>
      <c r="E165" s="1"/>
      <c r="F165" s="1"/>
      <c r="G165" s="1"/>
      <c r="H165" s="1"/>
      <c r="I165" s="422"/>
      <c r="J165" s="422"/>
      <c r="K165" s="1"/>
      <c r="L165" s="1"/>
      <c r="M165" s="422"/>
      <c r="N165" s="422"/>
      <c r="O165" s="422"/>
      <c r="P165" s="1"/>
      <c r="Q165" s="1"/>
      <c r="R165" s="1"/>
      <c r="S165" s="1"/>
      <c r="T165" s="1"/>
      <c r="U165" s="1"/>
      <c r="V165" s="1"/>
      <c r="W165" s="1"/>
      <c r="X165" s="1"/>
      <c r="Y165" s="1"/>
      <c r="Z165" s="1"/>
    </row>
    <row r="166" ht="16.5" customHeight="1">
      <c r="A166" s="1"/>
      <c r="B166" s="1"/>
      <c r="C166" s="1"/>
      <c r="D166" s="1"/>
      <c r="E166" s="1"/>
      <c r="F166" s="1"/>
      <c r="G166" s="1"/>
      <c r="H166" s="1"/>
      <c r="I166" s="422"/>
      <c r="J166" s="422"/>
      <c r="K166" s="1"/>
      <c r="L166" s="1"/>
      <c r="M166" s="422"/>
      <c r="N166" s="422"/>
      <c r="O166" s="422"/>
      <c r="P166" s="1"/>
      <c r="Q166" s="1"/>
      <c r="R166" s="1"/>
      <c r="S166" s="1"/>
      <c r="T166" s="1"/>
      <c r="U166" s="1"/>
      <c r="V166" s="1"/>
      <c r="W166" s="1"/>
      <c r="X166" s="1"/>
      <c r="Y166" s="1"/>
      <c r="Z166" s="1"/>
    </row>
    <row r="167" ht="16.5" customHeight="1">
      <c r="A167" s="1"/>
      <c r="B167" s="1"/>
      <c r="C167" s="1"/>
      <c r="D167" s="1"/>
      <c r="E167" s="1"/>
      <c r="F167" s="1"/>
      <c r="G167" s="1"/>
      <c r="H167" s="1"/>
      <c r="I167" s="422"/>
      <c r="J167" s="422"/>
      <c r="K167" s="1"/>
      <c r="L167" s="1"/>
      <c r="M167" s="422"/>
      <c r="N167" s="422"/>
      <c r="O167" s="422"/>
      <c r="P167" s="1"/>
      <c r="Q167" s="1"/>
      <c r="R167" s="1"/>
      <c r="S167" s="1"/>
      <c r="T167" s="1"/>
      <c r="U167" s="1"/>
      <c r="V167" s="1"/>
      <c r="W167" s="1"/>
      <c r="X167" s="1"/>
      <c r="Y167" s="1"/>
      <c r="Z167" s="1"/>
    </row>
    <row r="168" ht="16.5" customHeight="1">
      <c r="A168" s="1"/>
      <c r="B168" s="1"/>
      <c r="C168" s="1"/>
      <c r="D168" s="1"/>
      <c r="E168" s="1"/>
      <c r="F168" s="1"/>
      <c r="G168" s="1"/>
      <c r="H168" s="1"/>
      <c r="I168" s="422"/>
      <c r="J168" s="422"/>
      <c r="K168" s="1"/>
      <c r="L168" s="1"/>
      <c r="M168" s="422"/>
      <c r="N168" s="422"/>
      <c r="O168" s="422"/>
      <c r="P168" s="1"/>
      <c r="Q168" s="1"/>
      <c r="R168" s="1"/>
      <c r="S168" s="1"/>
      <c r="T168" s="1"/>
      <c r="U168" s="1"/>
      <c r="V168" s="1"/>
      <c r="W168" s="1"/>
      <c r="X168" s="1"/>
      <c r="Y168" s="1"/>
      <c r="Z168" s="1"/>
    </row>
    <row r="169" ht="16.5" customHeight="1">
      <c r="A169" s="1"/>
      <c r="B169" s="1"/>
      <c r="C169" s="1"/>
      <c r="D169" s="1"/>
      <c r="E169" s="1"/>
      <c r="F169" s="1"/>
      <c r="G169" s="1"/>
      <c r="H169" s="1"/>
      <c r="I169" s="422"/>
      <c r="J169" s="422"/>
      <c r="K169" s="1"/>
      <c r="L169" s="1"/>
      <c r="M169" s="422"/>
      <c r="N169" s="422"/>
      <c r="O169" s="422"/>
      <c r="P169" s="1"/>
      <c r="Q169" s="1"/>
      <c r="R169" s="1"/>
      <c r="S169" s="1"/>
      <c r="T169" s="1"/>
      <c r="U169" s="1"/>
      <c r="V169" s="1"/>
      <c r="W169" s="1"/>
      <c r="X169" s="1"/>
      <c r="Y169" s="1"/>
      <c r="Z169" s="1"/>
    </row>
    <row r="170" ht="16.5" customHeight="1">
      <c r="A170" s="1"/>
      <c r="B170" s="1"/>
      <c r="C170" s="1"/>
      <c r="D170" s="1"/>
      <c r="E170" s="1"/>
      <c r="F170" s="1"/>
      <c r="G170" s="1"/>
      <c r="H170" s="1"/>
      <c r="I170" s="422"/>
      <c r="J170" s="422"/>
      <c r="K170" s="1"/>
      <c r="L170" s="1"/>
      <c r="M170" s="422"/>
      <c r="N170" s="422"/>
      <c r="O170" s="422"/>
      <c r="P170" s="1"/>
      <c r="Q170" s="1"/>
      <c r="R170" s="1"/>
      <c r="S170" s="1"/>
      <c r="T170" s="1"/>
      <c r="U170" s="1"/>
      <c r="V170" s="1"/>
      <c r="W170" s="1"/>
      <c r="X170" s="1"/>
      <c r="Y170" s="1"/>
      <c r="Z170" s="1"/>
    </row>
    <row r="171" ht="16.5" customHeight="1">
      <c r="A171" s="1"/>
      <c r="B171" s="1"/>
      <c r="C171" s="1"/>
      <c r="D171" s="1"/>
      <c r="E171" s="1"/>
      <c r="F171" s="1"/>
      <c r="G171" s="1"/>
      <c r="H171" s="1"/>
      <c r="I171" s="422"/>
      <c r="J171" s="422"/>
      <c r="K171" s="1"/>
      <c r="L171" s="1"/>
      <c r="M171" s="422"/>
      <c r="N171" s="422"/>
      <c r="O171" s="422"/>
      <c r="P171" s="1"/>
      <c r="Q171" s="1"/>
      <c r="R171" s="1"/>
      <c r="S171" s="1"/>
      <c r="T171" s="1"/>
      <c r="U171" s="1"/>
      <c r="V171" s="1"/>
      <c r="W171" s="1"/>
      <c r="X171" s="1"/>
      <c r="Y171" s="1"/>
      <c r="Z171" s="1"/>
    </row>
    <row r="172" ht="16.5" customHeight="1">
      <c r="A172" s="1"/>
      <c r="B172" s="1"/>
      <c r="C172" s="1"/>
      <c r="D172" s="1"/>
      <c r="E172" s="1"/>
      <c r="F172" s="1"/>
      <c r="G172" s="1"/>
      <c r="H172" s="1"/>
      <c r="I172" s="422"/>
      <c r="J172" s="422"/>
      <c r="K172" s="1"/>
      <c r="L172" s="1"/>
      <c r="M172" s="422"/>
      <c r="N172" s="422"/>
      <c r="O172" s="422"/>
      <c r="P172" s="1"/>
      <c r="Q172" s="1"/>
      <c r="R172" s="1"/>
      <c r="S172" s="1"/>
      <c r="T172" s="1"/>
      <c r="U172" s="1"/>
      <c r="V172" s="1"/>
      <c r="W172" s="1"/>
      <c r="X172" s="1"/>
      <c r="Y172" s="1"/>
      <c r="Z172" s="1"/>
    </row>
    <row r="173" ht="16.5" customHeight="1">
      <c r="A173" s="1"/>
      <c r="B173" s="1"/>
      <c r="C173" s="1"/>
      <c r="D173" s="1"/>
      <c r="E173" s="1"/>
      <c r="F173" s="1"/>
      <c r="G173" s="1"/>
      <c r="H173" s="1"/>
      <c r="I173" s="422"/>
      <c r="J173" s="422"/>
      <c r="K173" s="1"/>
      <c r="L173" s="1"/>
      <c r="M173" s="422"/>
      <c r="N173" s="422"/>
      <c r="O173" s="422"/>
      <c r="P173" s="1"/>
      <c r="Q173" s="1"/>
      <c r="R173" s="1"/>
      <c r="S173" s="1"/>
      <c r="T173" s="1"/>
      <c r="U173" s="1"/>
      <c r="V173" s="1"/>
      <c r="W173" s="1"/>
      <c r="X173" s="1"/>
      <c r="Y173" s="1"/>
      <c r="Z173" s="1"/>
    </row>
    <row r="174" ht="16.5" customHeight="1">
      <c r="A174" s="1"/>
      <c r="B174" s="1"/>
      <c r="C174" s="1"/>
      <c r="D174" s="1"/>
      <c r="E174" s="1"/>
      <c r="F174" s="1"/>
      <c r="G174" s="1"/>
      <c r="H174" s="1"/>
      <c r="I174" s="422"/>
      <c r="J174" s="422"/>
      <c r="K174" s="1"/>
      <c r="L174" s="1"/>
      <c r="M174" s="422"/>
      <c r="N174" s="422"/>
      <c r="O174" s="422"/>
      <c r="P174" s="1"/>
      <c r="Q174" s="1"/>
      <c r="R174" s="1"/>
      <c r="S174" s="1"/>
      <c r="T174" s="1"/>
      <c r="U174" s="1"/>
      <c r="V174" s="1"/>
      <c r="W174" s="1"/>
      <c r="X174" s="1"/>
      <c r="Y174" s="1"/>
      <c r="Z174" s="1"/>
    </row>
    <row r="175" ht="16.5" customHeight="1">
      <c r="A175" s="1"/>
      <c r="B175" s="1"/>
      <c r="C175" s="1"/>
      <c r="D175" s="1"/>
      <c r="E175" s="1"/>
      <c r="F175" s="1"/>
      <c r="G175" s="1"/>
      <c r="H175" s="1"/>
      <c r="I175" s="422"/>
      <c r="J175" s="422"/>
      <c r="K175" s="1"/>
      <c r="L175" s="1"/>
      <c r="M175" s="422"/>
      <c r="N175" s="422"/>
      <c r="O175" s="422"/>
      <c r="P175" s="1"/>
      <c r="Q175" s="1"/>
      <c r="R175" s="1"/>
      <c r="S175" s="1"/>
      <c r="T175" s="1"/>
      <c r="U175" s="1"/>
      <c r="V175" s="1"/>
      <c r="W175" s="1"/>
      <c r="X175" s="1"/>
      <c r="Y175" s="1"/>
      <c r="Z175" s="1"/>
    </row>
    <row r="176" ht="16.5" customHeight="1">
      <c r="A176" s="1"/>
      <c r="B176" s="1"/>
      <c r="C176" s="1"/>
      <c r="D176" s="1"/>
      <c r="E176" s="1"/>
      <c r="F176" s="1"/>
      <c r="G176" s="1"/>
      <c r="H176" s="1"/>
      <c r="I176" s="422"/>
      <c r="J176" s="422"/>
      <c r="K176" s="1"/>
      <c r="L176" s="1"/>
      <c r="M176" s="422"/>
      <c r="N176" s="422"/>
      <c r="O176" s="422"/>
      <c r="P176" s="1"/>
      <c r="Q176" s="1"/>
      <c r="R176" s="1"/>
      <c r="S176" s="1"/>
      <c r="T176" s="1"/>
      <c r="U176" s="1"/>
      <c r="V176" s="1"/>
      <c r="W176" s="1"/>
      <c r="X176" s="1"/>
      <c r="Y176" s="1"/>
      <c r="Z176" s="1"/>
    </row>
    <row r="177" ht="16.5" customHeight="1">
      <c r="A177" s="1"/>
      <c r="B177" s="1"/>
      <c r="C177" s="1"/>
      <c r="D177" s="1"/>
      <c r="E177" s="1"/>
      <c r="F177" s="1"/>
      <c r="G177" s="1"/>
      <c r="H177" s="1"/>
      <c r="I177" s="422"/>
      <c r="J177" s="422"/>
      <c r="K177" s="1"/>
      <c r="L177" s="1"/>
      <c r="M177" s="422"/>
      <c r="N177" s="422"/>
      <c r="O177" s="422"/>
      <c r="P177" s="1"/>
      <c r="Q177" s="1"/>
      <c r="R177" s="1"/>
      <c r="S177" s="1"/>
      <c r="T177" s="1"/>
      <c r="U177" s="1"/>
      <c r="V177" s="1"/>
      <c r="W177" s="1"/>
      <c r="X177" s="1"/>
      <c r="Y177" s="1"/>
      <c r="Z177" s="1"/>
    </row>
    <row r="178" ht="16.5" customHeight="1">
      <c r="A178" s="1"/>
      <c r="B178" s="1"/>
      <c r="C178" s="1"/>
      <c r="D178" s="1"/>
      <c r="E178" s="1"/>
      <c r="F178" s="1"/>
      <c r="G178" s="1"/>
      <c r="H178" s="1"/>
      <c r="I178" s="422"/>
      <c r="J178" s="422"/>
      <c r="K178" s="1"/>
      <c r="L178" s="1"/>
      <c r="M178" s="422"/>
      <c r="N178" s="422"/>
      <c r="O178" s="422"/>
      <c r="P178" s="1"/>
      <c r="Q178" s="1"/>
      <c r="R178" s="1"/>
      <c r="S178" s="1"/>
      <c r="T178" s="1"/>
      <c r="U178" s="1"/>
      <c r="V178" s="1"/>
      <c r="W178" s="1"/>
      <c r="X178" s="1"/>
      <c r="Y178" s="1"/>
      <c r="Z178" s="1"/>
    </row>
    <row r="179" ht="16.5" customHeight="1">
      <c r="A179" s="1"/>
      <c r="B179" s="1"/>
      <c r="C179" s="1"/>
      <c r="D179" s="1"/>
      <c r="E179" s="1"/>
      <c r="F179" s="1"/>
      <c r="G179" s="1"/>
      <c r="H179" s="1"/>
      <c r="I179" s="422"/>
      <c r="J179" s="422"/>
      <c r="K179" s="1"/>
      <c r="L179" s="1"/>
      <c r="M179" s="422"/>
      <c r="N179" s="422"/>
      <c r="O179" s="422"/>
      <c r="P179" s="1"/>
      <c r="Q179" s="1"/>
      <c r="R179" s="1"/>
      <c r="S179" s="1"/>
      <c r="T179" s="1"/>
      <c r="U179" s="1"/>
      <c r="V179" s="1"/>
      <c r="W179" s="1"/>
      <c r="X179" s="1"/>
      <c r="Y179" s="1"/>
      <c r="Z179" s="1"/>
    </row>
    <row r="180" ht="16.5" customHeight="1">
      <c r="A180" s="1"/>
      <c r="B180" s="1"/>
      <c r="C180" s="1"/>
      <c r="D180" s="1"/>
      <c r="E180" s="1"/>
      <c r="F180" s="1"/>
      <c r="G180" s="1"/>
      <c r="H180" s="1"/>
      <c r="I180" s="422"/>
      <c r="J180" s="422"/>
      <c r="K180" s="1"/>
      <c r="L180" s="1"/>
      <c r="M180" s="422"/>
      <c r="N180" s="422"/>
      <c r="O180" s="422"/>
      <c r="P180" s="1"/>
      <c r="Q180" s="1"/>
      <c r="R180" s="1"/>
      <c r="S180" s="1"/>
      <c r="T180" s="1"/>
      <c r="U180" s="1"/>
      <c r="V180" s="1"/>
      <c r="W180" s="1"/>
      <c r="X180" s="1"/>
      <c r="Y180" s="1"/>
      <c r="Z180" s="1"/>
    </row>
    <row r="181" ht="16.5" customHeight="1">
      <c r="A181" s="1"/>
      <c r="B181" s="1"/>
      <c r="C181" s="1"/>
      <c r="D181" s="1"/>
      <c r="E181" s="1"/>
      <c r="F181" s="1"/>
      <c r="G181" s="1"/>
      <c r="H181" s="1"/>
      <c r="I181" s="422"/>
      <c r="J181" s="422"/>
      <c r="K181" s="1"/>
      <c r="L181" s="1"/>
      <c r="M181" s="422"/>
      <c r="N181" s="422"/>
      <c r="O181" s="422"/>
      <c r="P181" s="1"/>
      <c r="Q181" s="1"/>
      <c r="R181" s="1"/>
      <c r="S181" s="1"/>
      <c r="T181" s="1"/>
      <c r="U181" s="1"/>
      <c r="V181" s="1"/>
      <c r="W181" s="1"/>
      <c r="X181" s="1"/>
      <c r="Y181" s="1"/>
      <c r="Z181" s="1"/>
    </row>
    <row r="182" ht="16.5" customHeight="1">
      <c r="A182" s="1"/>
      <c r="B182" s="1"/>
      <c r="C182" s="1"/>
      <c r="D182" s="1"/>
      <c r="E182" s="1"/>
      <c r="F182" s="1"/>
      <c r="G182" s="1"/>
      <c r="H182" s="1"/>
      <c r="I182" s="422"/>
      <c r="J182" s="422"/>
      <c r="K182" s="1"/>
      <c r="L182" s="1"/>
      <c r="M182" s="422"/>
      <c r="N182" s="422"/>
      <c r="O182" s="422"/>
      <c r="P182" s="1"/>
      <c r="Q182" s="1"/>
      <c r="R182" s="1"/>
      <c r="S182" s="1"/>
      <c r="T182" s="1"/>
      <c r="U182" s="1"/>
      <c r="V182" s="1"/>
      <c r="W182" s="1"/>
      <c r="X182" s="1"/>
      <c r="Y182" s="1"/>
      <c r="Z182" s="1"/>
    </row>
    <row r="183" ht="16.5" customHeight="1">
      <c r="A183" s="1"/>
      <c r="B183" s="1"/>
      <c r="C183" s="1"/>
      <c r="D183" s="1"/>
      <c r="E183" s="1"/>
      <c r="F183" s="1"/>
      <c r="G183" s="1"/>
      <c r="H183" s="1"/>
      <c r="I183" s="422"/>
      <c r="J183" s="422"/>
      <c r="K183" s="1"/>
      <c r="L183" s="1"/>
      <c r="M183" s="422"/>
      <c r="N183" s="422"/>
      <c r="O183" s="422"/>
      <c r="P183" s="1"/>
      <c r="Q183" s="1"/>
      <c r="R183" s="1"/>
      <c r="S183" s="1"/>
      <c r="T183" s="1"/>
      <c r="U183" s="1"/>
      <c r="V183" s="1"/>
      <c r="W183" s="1"/>
      <c r="X183" s="1"/>
      <c r="Y183" s="1"/>
      <c r="Z183" s="1"/>
    </row>
    <row r="184" ht="16.5" customHeight="1">
      <c r="A184" s="1"/>
      <c r="B184" s="1"/>
      <c r="C184" s="1"/>
      <c r="D184" s="1"/>
      <c r="E184" s="1"/>
      <c r="F184" s="1"/>
      <c r="G184" s="1"/>
      <c r="H184" s="1"/>
      <c r="I184" s="422"/>
      <c r="J184" s="422"/>
      <c r="K184" s="1"/>
      <c r="L184" s="1"/>
      <c r="M184" s="422"/>
      <c r="N184" s="422"/>
      <c r="O184" s="422"/>
      <c r="P184" s="1"/>
      <c r="Q184" s="1"/>
      <c r="R184" s="1"/>
      <c r="S184" s="1"/>
      <c r="T184" s="1"/>
      <c r="U184" s="1"/>
      <c r="V184" s="1"/>
      <c r="W184" s="1"/>
      <c r="X184" s="1"/>
      <c r="Y184" s="1"/>
      <c r="Z184" s="1"/>
    </row>
    <row r="185" ht="16.5" customHeight="1">
      <c r="A185" s="1"/>
      <c r="B185" s="1"/>
      <c r="C185" s="1"/>
      <c r="D185" s="1"/>
      <c r="E185" s="1"/>
      <c r="F185" s="1"/>
      <c r="G185" s="1"/>
      <c r="H185" s="1"/>
      <c r="I185" s="422"/>
      <c r="J185" s="422"/>
      <c r="K185" s="1"/>
      <c r="L185" s="1"/>
      <c r="M185" s="422"/>
      <c r="N185" s="422"/>
      <c r="O185" s="422"/>
      <c r="P185" s="1"/>
      <c r="Q185" s="1"/>
      <c r="R185" s="1"/>
      <c r="S185" s="1"/>
      <c r="T185" s="1"/>
      <c r="U185" s="1"/>
      <c r="V185" s="1"/>
      <c r="W185" s="1"/>
      <c r="X185" s="1"/>
      <c r="Y185" s="1"/>
      <c r="Z185" s="1"/>
    </row>
    <row r="186" ht="16.5" customHeight="1">
      <c r="A186" s="1"/>
      <c r="B186" s="1"/>
      <c r="C186" s="1"/>
      <c r="D186" s="1"/>
      <c r="E186" s="1"/>
      <c r="F186" s="1"/>
      <c r="G186" s="1"/>
      <c r="H186" s="1"/>
      <c r="I186" s="422"/>
      <c r="J186" s="422"/>
      <c r="K186" s="1"/>
      <c r="L186" s="1"/>
      <c r="M186" s="422"/>
      <c r="N186" s="422"/>
      <c r="O186" s="422"/>
      <c r="P186" s="1"/>
      <c r="Q186" s="1"/>
      <c r="R186" s="1"/>
      <c r="S186" s="1"/>
      <c r="T186" s="1"/>
      <c r="U186" s="1"/>
      <c r="V186" s="1"/>
      <c r="W186" s="1"/>
      <c r="X186" s="1"/>
      <c r="Y186" s="1"/>
      <c r="Z186" s="1"/>
    </row>
    <row r="187" ht="16.5" customHeight="1">
      <c r="A187" s="1"/>
      <c r="B187" s="1"/>
      <c r="C187" s="1"/>
      <c r="D187" s="1"/>
      <c r="E187" s="1"/>
      <c r="F187" s="1"/>
      <c r="G187" s="1"/>
      <c r="H187" s="1"/>
      <c r="I187" s="422"/>
      <c r="J187" s="422"/>
      <c r="K187" s="1"/>
      <c r="L187" s="1"/>
      <c r="M187" s="422"/>
      <c r="N187" s="422"/>
      <c r="O187" s="422"/>
      <c r="P187" s="1"/>
      <c r="Q187" s="1"/>
      <c r="R187" s="1"/>
      <c r="S187" s="1"/>
      <c r="T187" s="1"/>
      <c r="U187" s="1"/>
      <c r="V187" s="1"/>
      <c r="W187" s="1"/>
      <c r="X187" s="1"/>
      <c r="Y187" s="1"/>
      <c r="Z187" s="1"/>
    </row>
    <row r="188" ht="16.5" customHeight="1">
      <c r="A188" s="1"/>
      <c r="B188" s="1"/>
      <c r="C188" s="1"/>
      <c r="D188" s="1"/>
      <c r="E188" s="1"/>
      <c r="F188" s="1"/>
      <c r="G188" s="1"/>
      <c r="H188" s="1"/>
      <c r="I188" s="422"/>
      <c r="J188" s="422"/>
      <c r="K188" s="1"/>
      <c r="L188" s="1"/>
      <c r="M188" s="422"/>
      <c r="N188" s="422"/>
      <c r="O188" s="422"/>
      <c r="P188" s="1"/>
      <c r="Q188" s="1"/>
      <c r="R188" s="1"/>
      <c r="S188" s="1"/>
      <c r="T188" s="1"/>
      <c r="U188" s="1"/>
      <c r="V188" s="1"/>
      <c r="W188" s="1"/>
      <c r="X188" s="1"/>
      <c r="Y188" s="1"/>
      <c r="Z188" s="1"/>
    </row>
    <row r="189" ht="16.5" customHeight="1">
      <c r="A189" s="1"/>
      <c r="B189" s="1"/>
      <c r="C189" s="1"/>
      <c r="D189" s="1"/>
      <c r="E189" s="1"/>
      <c r="F189" s="1"/>
      <c r="G189" s="1"/>
      <c r="H189" s="1"/>
      <c r="I189" s="422"/>
      <c r="J189" s="422"/>
      <c r="K189" s="1"/>
      <c r="L189" s="1"/>
      <c r="M189" s="422"/>
      <c r="N189" s="422"/>
      <c r="O189" s="422"/>
      <c r="P189" s="1"/>
      <c r="Q189" s="1"/>
      <c r="R189" s="1"/>
      <c r="S189" s="1"/>
      <c r="T189" s="1"/>
      <c r="U189" s="1"/>
      <c r="V189" s="1"/>
      <c r="W189" s="1"/>
      <c r="X189" s="1"/>
      <c r="Y189" s="1"/>
      <c r="Z189" s="1"/>
    </row>
    <row r="190" ht="16.5" customHeight="1">
      <c r="A190" s="1"/>
      <c r="B190" s="1"/>
      <c r="C190" s="1"/>
      <c r="D190" s="1"/>
      <c r="E190" s="1"/>
      <c r="F190" s="1"/>
      <c r="G190" s="1"/>
      <c r="H190" s="1"/>
      <c r="I190" s="422"/>
      <c r="J190" s="422"/>
      <c r="K190" s="1"/>
      <c r="L190" s="1"/>
      <c r="M190" s="422"/>
      <c r="N190" s="422"/>
      <c r="O190" s="422"/>
      <c r="P190" s="1"/>
      <c r="Q190" s="1"/>
      <c r="R190" s="1"/>
      <c r="S190" s="1"/>
      <c r="T190" s="1"/>
      <c r="U190" s="1"/>
      <c r="V190" s="1"/>
      <c r="W190" s="1"/>
      <c r="X190" s="1"/>
      <c r="Y190" s="1"/>
      <c r="Z190" s="1"/>
    </row>
    <row r="191" ht="16.5" customHeight="1">
      <c r="A191" s="1"/>
      <c r="B191" s="1"/>
      <c r="C191" s="1"/>
      <c r="D191" s="1"/>
      <c r="E191" s="1"/>
      <c r="F191" s="1"/>
      <c r="G191" s="1"/>
      <c r="H191" s="1"/>
      <c r="I191" s="422"/>
      <c r="J191" s="422"/>
      <c r="K191" s="1"/>
      <c r="L191" s="1"/>
      <c r="M191" s="422"/>
      <c r="N191" s="422"/>
      <c r="O191" s="422"/>
      <c r="P191" s="1"/>
      <c r="Q191" s="1"/>
      <c r="R191" s="1"/>
      <c r="S191" s="1"/>
      <c r="T191" s="1"/>
      <c r="U191" s="1"/>
      <c r="V191" s="1"/>
      <c r="W191" s="1"/>
      <c r="X191" s="1"/>
      <c r="Y191" s="1"/>
      <c r="Z191" s="1"/>
    </row>
    <row r="192" ht="16.5" customHeight="1">
      <c r="A192" s="1"/>
      <c r="B192" s="1"/>
      <c r="C192" s="1"/>
      <c r="D192" s="1"/>
      <c r="E192" s="1"/>
      <c r="F192" s="1"/>
      <c r="G192" s="1"/>
      <c r="H192" s="1"/>
      <c r="I192" s="422"/>
      <c r="J192" s="422"/>
      <c r="K192" s="1"/>
      <c r="L192" s="1"/>
      <c r="M192" s="422"/>
      <c r="N192" s="422"/>
      <c r="O192" s="422"/>
      <c r="P192" s="1"/>
      <c r="Q192" s="1"/>
      <c r="R192" s="1"/>
      <c r="S192" s="1"/>
      <c r="T192" s="1"/>
      <c r="U192" s="1"/>
      <c r="V192" s="1"/>
      <c r="W192" s="1"/>
      <c r="X192" s="1"/>
      <c r="Y192" s="1"/>
      <c r="Z192" s="1"/>
    </row>
    <row r="193" ht="16.5" customHeight="1">
      <c r="A193" s="1"/>
      <c r="B193" s="1"/>
      <c r="C193" s="1"/>
      <c r="D193" s="1"/>
      <c r="E193" s="1"/>
      <c r="F193" s="1"/>
      <c r="G193" s="1"/>
      <c r="H193" s="1"/>
      <c r="I193" s="422"/>
      <c r="J193" s="422"/>
      <c r="K193" s="1"/>
      <c r="L193" s="1"/>
      <c r="M193" s="422"/>
      <c r="N193" s="422"/>
      <c r="O193" s="422"/>
      <c r="P193" s="1"/>
      <c r="Q193" s="1"/>
      <c r="R193" s="1"/>
      <c r="S193" s="1"/>
      <c r="T193" s="1"/>
      <c r="U193" s="1"/>
      <c r="V193" s="1"/>
      <c r="W193" s="1"/>
      <c r="X193" s="1"/>
      <c r="Y193" s="1"/>
      <c r="Z193" s="1"/>
    </row>
    <row r="194" ht="16.5" customHeight="1">
      <c r="A194" s="1"/>
      <c r="B194" s="1"/>
      <c r="C194" s="1"/>
      <c r="D194" s="1"/>
      <c r="E194" s="1"/>
      <c r="F194" s="1"/>
      <c r="G194" s="1"/>
      <c r="H194" s="1"/>
      <c r="I194" s="422"/>
      <c r="J194" s="422"/>
      <c r="K194" s="1"/>
      <c r="L194" s="1"/>
      <c r="M194" s="422"/>
      <c r="N194" s="422"/>
      <c r="O194" s="422"/>
      <c r="P194" s="1"/>
      <c r="Q194" s="1"/>
      <c r="R194" s="1"/>
      <c r="S194" s="1"/>
      <c r="T194" s="1"/>
      <c r="U194" s="1"/>
      <c r="V194" s="1"/>
      <c r="W194" s="1"/>
      <c r="X194" s="1"/>
      <c r="Y194" s="1"/>
      <c r="Z194" s="1"/>
    </row>
    <row r="195" ht="16.5" customHeight="1">
      <c r="A195" s="1"/>
      <c r="B195" s="1"/>
      <c r="C195" s="1"/>
      <c r="D195" s="1"/>
      <c r="E195" s="1"/>
      <c r="F195" s="1"/>
      <c r="G195" s="1"/>
      <c r="H195" s="1"/>
      <c r="I195" s="422"/>
      <c r="J195" s="422"/>
      <c r="K195" s="1"/>
      <c r="L195" s="1"/>
      <c r="M195" s="422"/>
      <c r="N195" s="422"/>
      <c r="O195" s="422"/>
      <c r="P195" s="1"/>
      <c r="Q195" s="1"/>
      <c r="R195" s="1"/>
      <c r="S195" s="1"/>
      <c r="T195" s="1"/>
      <c r="U195" s="1"/>
      <c r="V195" s="1"/>
      <c r="W195" s="1"/>
      <c r="X195" s="1"/>
      <c r="Y195" s="1"/>
      <c r="Z195" s="1"/>
    </row>
    <row r="196" ht="16.5" customHeight="1">
      <c r="A196" s="1"/>
      <c r="B196" s="1"/>
      <c r="C196" s="1"/>
      <c r="D196" s="1"/>
      <c r="E196" s="1"/>
      <c r="F196" s="1"/>
      <c r="G196" s="1"/>
      <c r="H196" s="1"/>
      <c r="I196" s="422"/>
      <c r="J196" s="422"/>
      <c r="K196" s="1"/>
      <c r="L196" s="1"/>
      <c r="M196" s="422"/>
      <c r="N196" s="422"/>
      <c r="O196" s="422"/>
      <c r="P196" s="1"/>
      <c r="Q196" s="1"/>
      <c r="R196" s="1"/>
      <c r="S196" s="1"/>
      <c r="T196" s="1"/>
      <c r="U196" s="1"/>
      <c r="V196" s="1"/>
      <c r="W196" s="1"/>
      <c r="X196" s="1"/>
      <c r="Y196" s="1"/>
      <c r="Z196" s="1"/>
    </row>
    <row r="197" ht="16.5" customHeight="1">
      <c r="A197" s="1"/>
      <c r="B197" s="1"/>
      <c r="C197" s="1"/>
      <c r="D197" s="1"/>
      <c r="E197" s="1"/>
      <c r="F197" s="1"/>
      <c r="G197" s="1"/>
      <c r="H197" s="1"/>
      <c r="I197" s="422"/>
      <c r="J197" s="422"/>
      <c r="K197" s="1"/>
      <c r="L197" s="1"/>
      <c r="M197" s="422"/>
      <c r="N197" s="422"/>
      <c r="O197" s="422"/>
      <c r="P197" s="1"/>
      <c r="Q197" s="1"/>
      <c r="R197" s="1"/>
      <c r="S197" s="1"/>
      <c r="T197" s="1"/>
      <c r="U197" s="1"/>
      <c r="V197" s="1"/>
      <c r="W197" s="1"/>
      <c r="X197" s="1"/>
      <c r="Y197" s="1"/>
      <c r="Z197" s="1"/>
    </row>
    <row r="198" ht="16.5" customHeight="1">
      <c r="A198" s="1"/>
      <c r="B198" s="1"/>
      <c r="C198" s="1"/>
      <c r="D198" s="1"/>
      <c r="E198" s="1"/>
      <c r="F198" s="1"/>
      <c r="G198" s="1"/>
      <c r="H198" s="1"/>
      <c r="I198" s="422"/>
      <c r="J198" s="422"/>
      <c r="K198" s="1"/>
      <c r="L198" s="1"/>
      <c r="M198" s="422"/>
      <c r="N198" s="422"/>
      <c r="O198" s="422"/>
      <c r="P198" s="1"/>
      <c r="Q198" s="1"/>
      <c r="R198" s="1"/>
      <c r="S198" s="1"/>
      <c r="T198" s="1"/>
      <c r="U198" s="1"/>
      <c r="V198" s="1"/>
      <c r="W198" s="1"/>
      <c r="X198" s="1"/>
      <c r="Y198" s="1"/>
      <c r="Z198" s="1"/>
    </row>
    <row r="199" ht="16.5" customHeight="1">
      <c r="A199" s="1"/>
      <c r="B199" s="1"/>
      <c r="C199" s="1"/>
      <c r="D199" s="1"/>
      <c r="E199" s="1"/>
      <c r="F199" s="1"/>
      <c r="G199" s="1"/>
      <c r="H199" s="1"/>
      <c r="I199" s="422"/>
      <c r="J199" s="422"/>
      <c r="K199" s="1"/>
      <c r="L199" s="1"/>
      <c r="M199" s="422"/>
      <c r="N199" s="422"/>
      <c r="O199" s="422"/>
      <c r="P199" s="1"/>
      <c r="Q199" s="1"/>
      <c r="R199" s="1"/>
      <c r="S199" s="1"/>
      <c r="T199" s="1"/>
      <c r="U199" s="1"/>
      <c r="V199" s="1"/>
      <c r="W199" s="1"/>
      <c r="X199" s="1"/>
      <c r="Y199" s="1"/>
      <c r="Z199" s="1"/>
    </row>
    <row r="200" ht="16.5" customHeight="1">
      <c r="A200" s="1"/>
      <c r="B200" s="1"/>
      <c r="C200" s="1"/>
      <c r="D200" s="1"/>
      <c r="E200" s="1"/>
      <c r="F200" s="1"/>
      <c r="G200" s="1"/>
      <c r="H200" s="1"/>
      <c r="I200" s="422"/>
      <c r="J200" s="422"/>
      <c r="K200" s="1"/>
      <c r="L200" s="1"/>
      <c r="M200" s="422"/>
      <c r="N200" s="422"/>
      <c r="O200" s="422"/>
      <c r="P200" s="1"/>
      <c r="Q200" s="1"/>
      <c r="R200" s="1"/>
      <c r="S200" s="1"/>
      <c r="T200" s="1"/>
      <c r="U200" s="1"/>
      <c r="V200" s="1"/>
      <c r="W200" s="1"/>
      <c r="X200" s="1"/>
      <c r="Y200" s="1"/>
      <c r="Z200" s="1"/>
    </row>
    <row r="201" ht="16.5" customHeight="1">
      <c r="A201" s="1"/>
      <c r="B201" s="1"/>
      <c r="C201" s="1"/>
      <c r="D201" s="1"/>
      <c r="E201" s="1"/>
      <c r="F201" s="1"/>
      <c r="G201" s="1"/>
      <c r="H201" s="1"/>
      <c r="I201" s="422"/>
      <c r="J201" s="422"/>
      <c r="K201" s="1"/>
      <c r="L201" s="1"/>
      <c r="M201" s="422"/>
      <c r="N201" s="422"/>
      <c r="O201" s="422"/>
      <c r="P201" s="1"/>
      <c r="Q201" s="1"/>
      <c r="R201" s="1"/>
      <c r="S201" s="1"/>
      <c r="T201" s="1"/>
      <c r="U201" s="1"/>
      <c r="V201" s="1"/>
      <c r="W201" s="1"/>
      <c r="X201" s="1"/>
      <c r="Y201" s="1"/>
      <c r="Z201" s="1"/>
    </row>
    <row r="202" ht="16.5" customHeight="1">
      <c r="A202" s="1"/>
      <c r="B202" s="1"/>
      <c r="C202" s="1"/>
      <c r="D202" s="1"/>
      <c r="E202" s="1"/>
      <c r="F202" s="1"/>
      <c r="G202" s="1"/>
      <c r="H202" s="1"/>
      <c r="I202" s="422"/>
      <c r="J202" s="422"/>
      <c r="K202" s="1"/>
      <c r="L202" s="1"/>
      <c r="M202" s="422"/>
      <c r="N202" s="422"/>
      <c r="O202" s="422"/>
      <c r="P202" s="1"/>
      <c r="Q202" s="1"/>
      <c r="R202" s="1"/>
      <c r="S202" s="1"/>
      <c r="T202" s="1"/>
      <c r="U202" s="1"/>
      <c r="V202" s="1"/>
      <c r="W202" s="1"/>
      <c r="X202" s="1"/>
      <c r="Y202" s="1"/>
      <c r="Z202" s="1"/>
    </row>
    <row r="203" ht="16.5" customHeight="1">
      <c r="A203" s="1"/>
      <c r="B203" s="1"/>
      <c r="C203" s="1"/>
      <c r="D203" s="1"/>
      <c r="E203" s="1"/>
      <c r="F203" s="1"/>
      <c r="G203" s="1"/>
      <c r="H203" s="1"/>
      <c r="I203" s="422"/>
      <c r="J203" s="422"/>
      <c r="K203" s="1"/>
      <c r="L203" s="1"/>
      <c r="M203" s="422"/>
      <c r="N203" s="422"/>
      <c r="O203" s="422"/>
      <c r="P203" s="1"/>
      <c r="Q203" s="1"/>
      <c r="R203" s="1"/>
      <c r="S203" s="1"/>
      <c r="T203" s="1"/>
      <c r="U203" s="1"/>
      <c r="V203" s="1"/>
      <c r="W203" s="1"/>
      <c r="X203" s="1"/>
      <c r="Y203" s="1"/>
      <c r="Z203" s="1"/>
    </row>
    <row r="204" ht="16.5" customHeight="1">
      <c r="A204" s="1"/>
      <c r="B204" s="1"/>
      <c r="C204" s="1"/>
      <c r="D204" s="1"/>
      <c r="E204" s="1"/>
      <c r="F204" s="1"/>
      <c r="G204" s="1"/>
      <c r="H204" s="1"/>
      <c r="I204" s="422"/>
      <c r="J204" s="422"/>
      <c r="K204" s="1"/>
      <c r="L204" s="1"/>
      <c r="M204" s="422"/>
      <c r="N204" s="422"/>
      <c r="O204" s="422"/>
      <c r="P204" s="1"/>
      <c r="Q204" s="1"/>
      <c r="R204" s="1"/>
      <c r="S204" s="1"/>
      <c r="T204" s="1"/>
      <c r="U204" s="1"/>
      <c r="V204" s="1"/>
      <c r="W204" s="1"/>
      <c r="X204" s="1"/>
      <c r="Y204" s="1"/>
      <c r="Z204" s="1"/>
    </row>
    <row r="205" ht="16.5" customHeight="1">
      <c r="A205" s="1"/>
      <c r="B205" s="1"/>
      <c r="C205" s="1"/>
      <c r="D205" s="1"/>
      <c r="E205" s="1"/>
      <c r="F205" s="1"/>
      <c r="G205" s="1"/>
      <c r="H205" s="1"/>
      <c r="I205" s="422"/>
      <c r="J205" s="422"/>
      <c r="K205" s="1"/>
      <c r="L205" s="1"/>
      <c r="M205" s="422"/>
      <c r="N205" s="422"/>
      <c r="O205" s="422"/>
      <c r="P205" s="1"/>
      <c r="Q205" s="1"/>
      <c r="R205" s="1"/>
      <c r="S205" s="1"/>
      <c r="T205" s="1"/>
      <c r="U205" s="1"/>
      <c r="V205" s="1"/>
      <c r="W205" s="1"/>
      <c r="X205" s="1"/>
      <c r="Y205" s="1"/>
      <c r="Z205" s="1"/>
    </row>
    <row r="206" ht="16.5" customHeight="1">
      <c r="A206" s="1"/>
      <c r="B206" s="1"/>
      <c r="C206" s="1"/>
      <c r="D206" s="1"/>
      <c r="E206" s="1"/>
      <c r="F206" s="1"/>
      <c r="G206" s="1"/>
      <c r="H206" s="1"/>
      <c r="I206" s="422"/>
      <c r="J206" s="422"/>
      <c r="K206" s="1"/>
      <c r="L206" s="1"/>
      <c r="M206" s="422"/>
      <c r="N206" s="422"/>
      <c r="O206" s="422"/>
      <c r="P206" s="1"/>
      <c r="Q206" s="1"/>
      <c r="R206" s="1"/>
      <c r="S206" s="1"/>
      <c r="T206" s="1"/>
      <c r="U206" s="1"/>
      <c r="V206" s="1"/>
      <c r="W206" s="1"/>
      <c r="X206" s="1"/>
      <c r="Y206" s="1"/>
      <c r="Z206" s="1"/>
    </row>
    <row r="207" ht="16.5" customHeight="1">
      <c r="A207" s="1"/>
      <c r="B207" s="1"/>
      <c r="C207" s="1"/>
      <c r="D207" s="1"/>
      <c r="E207" s="1"/>
      <c r="F207" s="1"/>
      <c r="G207" s="1"/>
      <c r="H207" s="1"/>
      <c r="I207" s="422"/>
      <c r="J207" s="422"/>
      <c r="K207" s="1"/>
      <c r="L207" s="1"/>
      <c r="M207" s="422"/>
      <c r="N207" s="422"/>
      <c r="O207" s="422"/>
      <c r="P207" s="1"/>
      <c r="Q207" s="1"/>
      <c r="R207" s="1"/>
      <c r="S207" s="1"/>
      <c r="T207" s="1"/>
      <c r="U207" s="1"/>
      <c r="V207" s="1"/>
      <c r="W207" s="1"/>
      <c r="X207" s="1"/>
      <c r="Y207" s="1"/>
      <c r="Z207" s="1"/>
    </row>
    <row r="208" ht="16.5" customHeight="1">
      <c r="A208" s="1"/>
      <c r="B208" s="1"/>
      <c r="C208" s="1"/>
      <c r="D208" s="1"/>
      <c r="E208" s="1"/>
      <c r="F208" s="1"/>
      <c r="G208" s="1"/>
      <c r="H208" s="1"/>
      <c r="I208" s="422"/>
      <c r="J208" s="422"/>
      <c r="K208" s="1"/>
      <c r="L208" s="1"/>
      <c r="M208" s="422"/>
      <c r="N208" s="422"/>
      <c r="O208" s="422"/>
      <c r="P208" s="1"/>
      <c r="Q208" s="1"/>
      <c r="R208" s="1"/>
      <c r="S208" s="1"/>
      <c r="T208" s="1"/>
      <c r="U208" s="1"/>
      <c r="V208" s="1"/>
      <c r="W208" s="1"/>
      <c r="X208" s="1"/>
      <c r="Y208" s="1"/>
      <c r="Z208" s="1"/>
    </row>
    <row r="209" ht="16.5" customHeight="1">
      <c r="A209" s="1"/>
      <c r="B209" s="1"/>
      <c r="C209" s="1"/>
      <c r="D209" s="1"/>
      <c r="E209" s="1"/>
      <c r="F209" s="1"/>
      <c r="G209" s="1"/>
      <c r="H209" s="1"/>
      <c r="I209" s="422"/>
      <c r="J209" s="422"/>
      <c r="K209" s="1"/>
      <c r="L209" s="1"/>
      <c r="M209" s="422"/>
      <c r="N209" s="422"/>
      <c r="O209" s="422"/>
      <c r="P209" s="1"/>
      <c r="Q209" s="1"/>
      <c r="R209" s="1"/>
      <c r="S209" s="1"/>
      <c r="T209" s="1"/>
      <c r="U209" s="1"/>
      <c r="V209" s="1"/>
      <c r="W209" s="1"/>
      <c r="X209" s="1"/>
      <c r="Y209" s="1"/>
      <c r="Z209" s="1"/>
    </row>
    <row r="210" ht="16.5" customHeight="1">
      <c r="A210" s="1"/>
      <c r="B210" s="1"/>
      <c r="C210" s="1"/>
      <c r="D210" s="1"/>
      <c r="E210" s="1"/>
      <c r="F210" s="1"/>
      <c r="G210" s="1"/>
      <c r="H210" s="1"/>
      <c r="I210" s="422"/>
      <c r="J210" s="422"/>
      <c r="K210" s="1"/>
      <c r="L210" s="1"/>
      <c r="M210" s="422"/>
      <c r="N210" s="422"/>
      <c r="O210" s="422"/>
      <c r="P210" s="1"/>
      <c r="Q210" s="1"/>
      <c r="R210" s="1"/>
      <c r="S210" s="1"/>
      <c r="T210" s="1"/>
      <c r="U210" s="1"/>
      <c r="V210" s="1"/>
      <c r="W210" s="1"/>
      <c r="X210" s="1"/>
      <c r="Y210" s="1"/>
      <c r="Z210" s="1"/>
    </row>
    <row r="211" ht="16.5" customHeight="1">
      <c r="A211" s="1"/>
      <c r="B211" s="1"/>
      <c r="C211" s="1"/>
      <c r="D211" s="1"/>
      <c r="E211" s="1"/>
      <c r="F211" s="1"/>
      <c r="G211" s="1"/>
      <c r="H211" s="1"/>
      <c r="I211" s="422"/>
      <c r="J211" s="422"/>
      <c r="K211" s="1"/>
      <c r="L211" s="1"/>
      <c r="M211" s="422"/>
      <c r="N211" s="422"/>
      <c r="O211" s="422"/>
      <c r="P211" s="1"/>
      <c r="Q211" s="1"/>
      <c r="R211" s="1"/>
      <c r="S211" s="1"/>
      <c r="T211" s="1"/>
      <c r="U211" s="1"/>
      <c r="V211" s="1"/>
      <c r="W211" s="1"/>
      <c r="X211" s="1"/>
      <c r="Y211" s="1"/>
      <c r="Z211" s="1"/>
    </row>
    <row r="212" ht="16.5" customHeight="1">
      <c r="A212" s="1"/>
      <c r="B212" s="1"/>
      <c r="C212" s="1"/>
      <c r="D212" s="1"/>
      <c r="E212" s="1"/>
      <c r="F212" s="1"/>
      <c r="G212" s="1"/>
      <c r="H212" s="1"/>
      <c r="I212" s="422"/>
      <c r="J212" s="422"/>
      <c r="K212" s="1"/>
      <c r="L212" s="1"/>
      <c r="M212" s="422"/>
      <c r="N212" s="422"/>
      <c r="O212" s="422"/>
      <c r="P212" s="1"/>
      <c r="Q212" s="1"/>
      <c r="R212" s="1"/>
      <c r="S212" s="1"/>
      <c r="T212" s="1"/>
      <c r="U212" s="1"/>
      <c r="V212" s="1"/>
      <c r="W212" s="1"/>
      <c r="X212" s="1"/>
      <c r="Y212" s="1"/>
      <c r="Z212" s="1"/>
    </row>
    <row r="213" ht="16.5" customHeight="1">
      <c r="A213" s="1"/>
      <c r="B213" s="1"/>
      <c r="C213" s="1"/>
      <c r="D213" s="1"/>
      <c r="E213" s="1"/>
      <c r="F213" s="1"/>
      <c r="G213" s="1"/>
      <c r="H213" s="1"/>
      <c r="I213" s="422"/>
      <c r="J213" s="422"/>
      <c r="K213" s="1"/>
      <c r="L213" s="1"/>
      <c r="M213" s="422"/>
      <c r="N213" s="422"/>
      <c r="O213" s="422"/>
      <c r="P213" s="1"/>
      <c r="Q213" s="1"/>
      <c r="R213" s="1"/>
      <c r="S213" s="1"/>
      <c r="T213" s="1"/>
      <c r="U213" s="1"/>
      <c r="V213" s="1"/>
      <c r="W213" s="1"/>
      <c r="X213" s="1"/>
      <c r="Y213" s="1"/>
      <c r="Z213" s="1"/>
    </row>
    <row r="214" ht="16.5" customHeight="1">
      <c r="A214" s="1"/>
      <c r="B214" s="1"/>
      <c r="C214" s="1"/>
      <c r="D214" s="1"/>
      <c r="E214" s="1"/>
      <c r="F214" s="1"/>
      <c r="G214" s="1"/>
      <c r="H214" s="1"/>
      <c r="I214" s="422"/>
      <c r="J214" s="422"/>
      <c r="K214" s="1"/>
      <c r="L214" s="1"/>
      <c r="M214" s="422"/>
      <c r="N214" s="422"/>
      <c r="O214" s="422"/>
      <c r="P214" s="1"/>
      <c r="Q214" s="1"/>
      <c r="R214" s="1"/>
      <c r="S214" s="1"/>
      <c r="T214" s="1"/>
      <c r="U214" s="1"/>
      <c r="V214" s="1"/>
      <c r="W214" s="1"/>
      <c r="X214" s="1"/>
      <c r="Y214" s="1"/>
      <c r="Z214" s="1"/>
    </row>
    <row r="215" ht="16.5" customHeight="1">
      <c r="A215" s="1"/>
      <c r="B215" s="1"/>
      <c r="C215" s="1"/>
      <c r="D215" s="1"/>
      <c r="E215" s="1"/>
      <c r="F215" s="1"/>
      <c r="G215" s="1"/>
      <c r="H215" s="1"/>
      <c r="I215" s="422"/>
      <c r="J215" s="422"/>
      <c r="K215" s="1"/>
      <c r="L215" s="1"/>
      <c r="M215" s="422"/>
      <c r="N215" s="422"/>
      <c r="O215" s="422"/>
      <c r="P215" s="1"/>
      <c r="Q215" s="1"/>
      <c r="R215" s="1"/>
      <c r="S215" s="1"/>
      <c r="T215" s="1"/>
      <c r="U215" s="1"/>
      <c r="V215" s="1"/>
      <c r="W215" s="1"/>
      <c r="X215" s="1"/>
      <c r="Y215" s="1"/>
      <c r="Z215" s="1"/>
    </row>
    <row r="216" ht="16.5" customHeight="1">
      <c r="A216" s="1"/>
      <c r="B216" s="1"/>
      <c r="C216" s="1"/>
      <c r="D216" s="1"/>
      <c r="E216" s="1"/>
      <c r="F216" s="1"/>
      <c r="G216" s="1"/>
      <c r="H216" s="1"/>
      <c r="I216" s="422"/>
      <c r="J216" s="422"/>
      <c r="K216" s="1"/>
      <c r="L216" s="1"/>
      <c r="M216" s="422"/>
      <c r="N216" s="422"/>
      <c r="O216" s="422"/>
      <c r="P216" s="1"/>
      <c r="Q216" s="1"/>
      <c r="R216" s="1"/>
      <c r="S216" s="1"/>
      <c r="T216" s="1"/>
      <c r="U216" s="1"/>
      <c r="V216" s="1"/>
      <c r="W216" s="1"/>
      <c r="X216" s="1"/>
      <c r="Y216" s="1"/>
      <c r="Z216" s="1"/>
    </row>
    <row r="217" ht="16.5" customHeight="1">
      <c r="A217" s="1"/>
      <c r="B217" s="1"/>
      <c r="C217" s="1"/>
      <c r="D217" s="1"/>
      <c r="E217" s="1"/>
      <c r="F217" s="1"/>
      <c r="G217" s="1"/>
      <c r="H217" s="1"/>
      <c r="I217" s="422"/>
      <c r="J217" s="422"/>
      <c r="K217" s="1"/>
      <c r="L217" s="1"/>
      <c r="M217" s="422"/>
      <c r="N217" s="422"/>
      <c r="O217" s="422"/>
      <c r="P217" s="1"/>
      <c r="Q217" s="1"/>
      <c r="R217" s="1"/>
      <c r="S217" s="1"/>
      <c r="T217" s="1"/>
      <c r="U217" s="1"/>
      <c r="V217" s="1"/>
      <c r="W217" s="1"/>
      <c r="X217" s="1"/>
      <c r="Y217" s="1"/>
      <c r="Z217" s="1"/>
    </row>
    <row r="218" ht="16.5" customHeight="1">
      <c r="A218" s="1"/>
      <c r="B218" s="1"/>
      <c r="C218" s="1"/>
      <c r="D218" s="1"/>
      <c r="E218" s="1"/>
      <c r="F218" s="1"/>
      <c r="G218" s="1"/>
      <c r="H218" s="1"/>
      <c r="I218" s="422"/>
      <c r="J218" s="422"/>
      <c r="K218" s="1"/>
      <c r="L218" s="1"/>
      <c r="M218" s="422"/>
      <c r="N218" s="422"/>
      <c r="O218" s="422"/>
      <c r="P218" s="1"/>
      <c r="Q218" s="1"/>
      <c r="R218" s="1"/>
      <c r="S218" s="1"/>
      <c r="T218" s="1"/>
      <c r="U218" s="1"/>
      <c r="V218" s="1"/>
      <c r="W218" s="1"/>
      <c r="X218" s="1"/>
      <c r="Y218" s="1"/>
      <c r="Z218" s="1"/>
    </row>
    <row r="219" ht="16.5" customHeight="1">
      <c r="A219" s="1"/>
      <c r="B219" s="1"/>
      <c r="C219" s="1"/>
      <c r="D219" s="1"/>
      <c r="E219" s="1"/>
      <c r="F219" s="1"/>
      <c r="G219" s="1"/>
      <c r="H219" s="1"/>
      <c r="I219" s="422"/>
      <c r="J219" s="422"/>
      <c r="K219" s="1"/>
      <c r="L219" s="1"/>
      <c r="M219" s="422"/>
      <c r="N219" s="422"/>
      <c r="O219" s="422"/>
      <c r="P219" s="1"/>
      <c r="Q219" s="1"/>
      <c r="R219" s="1"/>
      <c r="S219" s="1"/>
      <c r="T219" s="1"/>
      <c r="U219" s="1"/>
      <c r="V219" s="1"/>
      <c r="W219" s="1"/>
      <c r="X219" s="1"/>
      <c r="Y219" s="1"/>
      <c r="Z219" s="1"/>
    </row>
    <row r="220" ht="16.5" customHeight="1">
      <c r="A220" s="1"/>
      <c r="B220" s="1"/>
      <c r="C220" s="1"/>
      <c r="D220" s="1"/>
      <c r="E220" s="1"/>
      <c r="F220" s="1"/>
      <c r="G220" s="1"/>
      <c r="H220" s="1"/>
      <c r="I220" s="422"/>
      <c r="J220" s="422"/>
      <c r="K220" s="1"/>
      <c r="L220" s="1"/>
      <c r="M220" s="422"/>
      <c r="N220" s="422"/>
      <c r="O220" s="422"/>
      <c r="P220" s="1"/>
      <c r="Q220" s="1"/>
      <c r="R220" s="1"/>
      <c r="S220" s="1"/>
      <c r="T220" s="1"/>
      <c r="U220" s="1"/>
      <c r="V220" s="1"/>
      <c r="W220" s="1"/>
      <c r="X220" s="1"/>
      <c r="Y220" s="1"/>
      <c r="Z220" s="1"/>
    </row>
    <row r="221" ht="16.5" customHeight="1">
      <c r="A221" s="1"/>
      <c r="B221" s="1"/>
      <c r="C221" s="1"/>
      <c r="D221" s="1"/>
      <c r="E221" s="1"/>
      <c r="F221" s="1"/>
      <c r="G221" s="1"/>
      <c r="H221" s="1"/>
      <c r="I221" s="422"/>
      <c r="J221" s="422"/>
      <c r="K221" s="1"/>
      <c r="L221" s="1"/>
      <c r="M221" s="422"/>
      <c r="N221" s="422"/>
      <c r="O221" s="422"/>
      <c r="P221" s="1"/>
      <c r="Q221" s="1"/>
      <c r="R221" s="1"/>
      <c r="S221" s="1"/>
      <c r="T221" s="1"/>
      <c r="U221" s="1"/>
      <c r="V221" s="1"/>
      <c r="W221" s="1"/>
      <c r="X221" s="1"/>
      <c r="Y221" s="1"/>
      <c r="Z221" s="1"/>
    </row>
    <row r="222" ht="16.5" customHeight="1">
      <c r="A222" s="1"/>
      <c r="B222" s="1"/>
      <c r="C222" s="1"/>
      <c r="D222" s="1"/>
      <c r="E222" s="1"/>
      <c r="F222" s="1"/>
      <c r="G222" s="1"/>
      <c r="H222" s="1"/>
      <c r="I222" s="422"/>
      <c r="J222" s="422"/>
      <c r="K222" s="1"/>
      <c r="L222" s="1"/>
      <c r="M222" s="422"/>
      <c r="N222" s="422"/>
      <c r="O222" s="422"/>
      <c r="P222" s="1"/>
      <c r="Q222" s="1"/>
      <c r="R222" s="1"/>
      <c r="S222" s="1"/>
      <c r="T222" s="1"/>
      <c r="U222" s="1"/>
      <c r="V222" s="1"/>
      <c r="W222" s="1"/>
      <c r="X222" s="1"/>
      <c r="Y222" s="1"/>
      <c r="Z222" s="1"/>
    </row>
    <row r="223" ht="16.5" customHeight="1">
      <c r="A223" s="1"/>
      <c r="B223" s="1"/>
      <c r="C223" s="1"/>
      <c r="D223" s="1"/>
      <c r="E223" s="1"/>
      <c r="F223" s="1"/>
      <c r="G223" s="1"/>
      <c r="H223" s="1"/>
      <c r="I223" s="422"/>
      <c r="J223" s="422"/>
      <c r="K223" s="1"/>
      <c r="L223" s="1"/>
      <c r="M223" s="422"/>
      <c r="N223" s="422"/>
      <c r="O223" s="422"/>
      <c r="P223" s="1"/>
      <c r="Q223" s="1"/>
      <c r="R223" s="1"/>
      <c r="S223" s="1"/>
      <c r="T223" s="1"/>
      <c r="U223" s="1"/>
      <c r="V223" s="1"/>
      <c r="W223" s="1"/>
      <c r="X223" s="1"/>
      <c r="Y223" s="1"/>
      <c r="Z223" s="1"/>
    </row>
    <row r="224" ht="16.5" customHeight="1">
      <c r="A224" s="1"/>
      <c r="B224" s="1"/>
      <c r="C224" s="1"/>
      <c r="D224" s="1"/>
      <c r="E224" s="1"/>
      <c r="F224" s="1"/>
      <c r="G224" s="1"/>
      <c r="H224" s="1"/>
      <c r="I224" s="422"/>
      <c r="J224" s="422"/>
      <c r="K224" s="1"/>
      <c r="L224" s="1"/>
      <c r="M224" s="422"/>
      <c r="N224" s="422"/>
      <c r="O224" s="422"/>
      <c r="P224" s="1"/>
      <c r="Q224" s="1"/>
      <c r="R224" s="1"/>
      <c r="S224" s="1"/>
      <c r="T224" s="1"/>
      <c r="U224" s="1"/>
      <c r="V224" s="1"/>
      <c r="W224" s="1"/>
      <c r="X224" s="1"/>
      <c r="Y224" s="1"/>
      <c r="Z224" s="1"/>
    </row>
    <row r="225" ht="16.5" customHeight="1">
      <c r="A225" s="1"/>
      <c r="B225" s="1"/>
      <c r="C225" s="1"/>
      <c r="D225" s="1"/>
      <c r="E225" s="1"/>
      <c r="F225" s="1"/>
      <c r="G225" s="1"/>
      <c r="H225" s="1"/>
      <c r="I225" s="422"/>
      <c r="J225" s="422"/>
      <c r="K225" s="1"/>
      <c r="L225" s="1"/>
      <c r="M225" s="422"/>
      <c r="N225" s="422"/>
      <c r="O225" s="422"/>
      <c r="P225" s="1"/>
      <c r="Q225" s="1"/>
      <c r="R225" s="1"/>
      <c r="S225" s="1"/>
      <c r="T225" s="1"/>
      <c r="U225" s="1"/>
      <c r="V225" s="1"/>
      <c r="W225" s="1"/>
      <c r="X225" s="1"/>
      <c r="Y225" s="1"/>
      <c r="Z225" s="1"/>
    </row>
    <row r="226" ht="16.5" customHeight="1">
      <c r="A226" s="1"/>
      <c r="B226" s="1"/>
      <c r="C226" s="1"/>
      <c r="D226" s="1"/>
      <c r="E226" s="1"/>
      <c r="F226" s="1"/>
      <c r="G226" s="1"/>
      <c r="H226" s="1"/>
      <c r="I226" s="422"/>
      <c r="J226" s="422"/>
      <c r="K226" s="1"/>
      <c r="L226" s="1"/>
      <c r="M226" s="422"/>
      <c r="N226" s="422"/>
      <c r="O226" s="422"/>
      <c r="P226" s="1"/>
      <c r="Q226" s="1"/>
      <c r="R226" s="1"/>
      <c r="S226" s="1"/>
      <c r="T226" s="1"/>
      <c r="U226" s="1"/>
      <c r="V226" s="1"/>
      <c r="W226" s="1"/>
      <c r="X226" s="1"/>
      <c r="Y226" s="1"/>
      <c r="Z226" s="1"/>
    </row>
    <row r="227" ht="16.5" customHeight="1">
      <c r="A227" s="1"/>
      <c r="B227" s="1"/>
      <c r="C227" s="1"/>
      <c r="D227" s="1"/>
      <c r="E227" s="1"/>
      <c r="F227" s="1"/>
      <c r="G227" s="1"/>
      <c r="H227" s="1"/>
      <c r="I227" s="422"/>
      <c r="J227" s="422"/>
      <c r="K227" s="1"/>
      <c r="L227" s="1"/>
      <c r="M227" s="422"/>
      <c r="N227" s="422"/>
      <c r="O227" s="422"/>
      <c r="P227" s="1"/>
      <c r="Q227" s="1"/>
      <c r="R227" s="1"/>
      <c r="S227" s="1"/>
      <c r="T227" s="1"/>
      <c r="U227" s="1"/>
      <c r="V227" s="1"/>
      <c r="W227" s="1"/>
      <c r="X227" s="1"/>
      <c r="Y227" s="1"/>
      <c r="Z227" s="1"/>
    </row>
    <row r="228" ht="16.5" customHeight="1">
      <c r="A228" s="1"/>
      <c r="B228" s="1"/>
      <c r="C228" s="1"/>
      <c r="D228" s="1"/>
      <c r="E228" s="1"/>
      <c r="F228" s="1"/>
      <c r="G228" s="1"/>
      <c r="H228" s="1"/>
      <c r="I228" s="422"/>
      <c r="J228" s="422"/>
      <c r="K228" s="1"/>
      <c r="L228" s="1"/>
      <c r="M228" s="422"/>
      <c r="N228" s="422"/>
      <c r="O228" s="422"/>
      <c r="P228" s="1"/>
      <c r="Q228" s="1"/>
      <c r="R228" s="1"/>
      <c r="S228" s="1"/>
      <c r="T228" s="1"/>
      <c r="U228" s="1"/>
      <c r="V228" s="1"/>
      <c r="W228" s="1"/>
      <c r="X228" s="1"/>
      <c r="Y228" s="1"/>
      <c r="Z228" s="1"/>
    </row>
    <row r="229" ht="16.5" customHeight="1">
      <c r="A229" s="1"/>
      <c r="B229" s="1"/>
      <c r="C229" s="1"/>
      <c r="D229" s="1"/>
      <c r="E229" s="1"/>
      <c r="F229" s="1"/>
      <c r="G229" s="1"/>
      <c r="H229" s="1"/>
      <c r="I229" s="422"/>
      <c r="J229" s="422"/>
      <c r="K229" s="1"/>
      <c r="L229" s="1"/>
      <c r="M229" s="422"/>
      <c r="N229" s="422"/>
      <c r="O229" s="422"/>
      <c r="P229" s="1"/>
      <c r="Q229" s="1"/>
      <c r="R229" s="1"/>
      <c r="S229" s="1"/>
      <c r="T229" s="1"/>
      <c r="U229" s="1"/>
      <c r="V229" s="1"/>
      <c r="W229" s="1"/>
      <c r="X229" s="1"/>
      <c r="Y229" s="1"/>
      <c r="Z229" s="1"/>
    </row>
    <row r="230" ht="16.5" customHeight="1">
      <c r="A230" s="1"/>
      <c r="B230" s="1"/>
      <c r="C230" s="1"/>
      <c r="D230" s="1"/>
      <c r="E230" s="1"/>
      <c r="F230" s="1"/>
      <c r="G230" s="1"/>
      <c r="H230" s="1"/>
      <c r="I230" s="422"/>
      <c r="J230" s="422"/>
      <c r="K230" s="1"/>
      <c r="L230" s="1"/>
      <c r="M230" s="422"/>
      <c r="N230" s="422"/>
      <c r="O230" s="422"/>
      <c r="P230" s="1"/>
      <c r="Q230" s="1"/>
      <c r="R230" s="1"/>
      <c r="S230" s="1"/>
      <c r="T230" s="1"/>
      <c r="U230" s="1"/>
      <c r="V230" s="1"/>
      <c r="W230" s="1"/>
      <c r="X230" s="1"/>
      <c r="Y230" s="1"/>
      <c r="Z230" s="1"/>
    </row>
    <row r="231" ht="16.5" customHeight="1">
      <c r="A231" s="1"/>
      <c r="B231" s="1"/>
      <c r="C231" s="1"/>
      <c r="D231" s="1"/>
      <c r="E231" s="1"/>
      <c r="F231" s="1"/>
      <c r="G231" s="1"/>
      <c r="H231" s="1"/>
      <c r="I231" s="422"/>
      <c r="J231" s="422"/>
      <c r="K231" s="1"/>
      <c r="L231" s="1"/>
      <c r="M231" s="422"/>
      <c r="N231" s="422"/>
      <c r="O231" s="422"/>
      <c r="P231" s="1"/>
      <c r="Q231" s="1"/>
      <c r="R231" s="1"/>
      <c r="S231" s="1"/>
      <c r="T231" s="1"/>
      <c r="U231" s="1"/>
      <c r="V231" s="1"/>
      <c r="W231" s="1"/>
      <c r="X231" s="1"/>
      <c r="Y231" s="1"/>
      <c r="Z231" s="1"/>
    </row>
    <row r="232" ht="16.5" customHeight="1">
      <c r="A232" s="1"/>
      <c r="B232" s="1"/>
      <c r="C232" s="1"/>
      <c r="D232" s="1"/>
      <c r="E232" s="1"/>
      <c r="F232" s="1"/>
      <c r="G232" s="1"/>
      <c r="H232" s="1"/>
      <c r="I232" s="422"/>
      <c r="J232" s="422"/>
      <c r="K232" s="1"/>
      <c r="L232" s="1"/>
      <c r="M232" s="422"/>
      <c r="N232" s="422"/>
      <c r="O232" s="422"/>
      <c r="P232" s="1"/>
      <c r="Q232" s="1"/>
      <c r="R232" s="1"/>
      <c r="S232" s="1"/>
      <c r="T232" s="1"/>
      <c r="U232" s="1"/>
      <c r="V232" s="1"/>
      <c r="W232" s="1"/>
      <c r="X232" s="1"/>
      <c r="Y232" s="1"/>
      <c r="Z232" s="1"/>
    </row>
    <row r="233" ht="16.5" customHeight="1">
      <c r="A233" s="1"/>
      <c r="B233" s="1"/>
      <c r="C233" s="1"/>
      <c r="D233" s="1"/>
      <c r="E233" s="1"/>
      <c r="F233" s="1"/>
      <c r="G233" s="1"/>
      <c r="H233" s="1"/>
      <c r="I233" s="422"/>
      <c r="J233" s="422"/>
      <c r="K233" s="1"/>
      <c r="L233" s="1"/>
      <c r="M233" s="422"/>
      <c r="N233" s="422"/>
      <c r="O233" s="422"/>
      <c r="P233" s="1"/>
      <c r="Q233" s="1"/>
      <c r="R233" s="1"/>
      <c r="S233" s="1"/>
      <c r="T233" s="1"/>
      <c r="U233" s="1"/>
      <c r="V233" s="1"/>
      <c r="W233" s="1"/>
      <c r="X233" s="1"/>
      <c r="Y233" s="1"/>
      <c r="Z233" s="1"/>
    </row>
    <row r="234" ht="16.5" customHeight="1">
      <c r="A234" s="1"/>
      <c r="B234" s="1"/>
      <c r="C234" s="1"/>
      <c r="D234" s="1"/>
      <c r="E234" s="1"/>
      <c r="F234" s="1"/>
      <c r="G234" s="1"/>
      <c r="H234" s="1"/>
      <c r="I234" s="422"/>
      <c r="J234" s="422"/>
      <c r="K234" s="1"/>
      <c r="L234" s="1"/>
      <c r="M234" s="422"/>
      <c r="N234" s="422"/>
      <c r="O234" s="422"/>
      <c r="P234" s="1"/>
      <c r="Q234" s="1"/>
      <c r="R234" s="1"/>
      <c r="S234" s="1"/>
      <c r="T234" s="1"/>
      <c r="U234" s="1"/>
      <c r="V234" s="1"/>
      <c r="W234" s="1"/>
      <c r="X234" s="1"/>
      <c r="Y234" s="1"/>
      <c r="Z234" s="1"/>
    </row>
    <row r="235" ht="16.5" customHeight="1">
      <c r="A235" s="1"/>
      <c r="B235" s="1"/>
      <c r="C235" s="1"/>
      <c r="D235" s="1"/>
      <c r="E235" s="1"/>
      <c r="F235" s="1"/>
      <c r="G235" s="1"/>
      <c r="H235" s="1"/>
      <c r="I235" s="422"/>
      <c r="J235" s="422"/>
      <c r="K235" s="1"/>
      <c r="L235" s="1"/>
      <c r="M235" s="422"/>
      <c r="N235" s="422"/>
      <c r="O235" s="422"/>
      <c r="P235" s="1"/>
      <c r="Q235" s="1"/>
      <c r="R235" s="1"/>
      <c r="S235" s="1"/>
      <c r="T235" s="1"/>
      <c r="U235" s="1"/>
      <c r="V235" s="1"/>
      <c r="W235" s="1"/>
      <c r="X235" s="1"/>
      <c r="Y235" s="1"/>
      <c r="Z235" s="1"/>
    </row>
    <row r="236" ht="16.5" customHeight="1">
      <c r="A236" s="1"/>
      <c r="B236" s="1"/>
      <c r="C236" s="1"/>
      <c r="D236" s="1"/>
      <c r="E236" s="1"/>
      <c r="F236" s="1"/>
      <c r="G236" s="1"/>
      <c r="H236" s="1"/>
      <c r="I236" s="422"/>
      <c r="J236" s="422"/>
      <c r="K236" s="1"/>
      <c r="L236" s="1"/>
      <c r="M236" s="422"/>
      <c r="N236" s="422"/>
      <c r="O236" s="422"/>
      <c r="P236" s="1"/>
      <c r="Q236" s="1"/>
      <c r="R236" s="1"/>
      <c r="S236" s="1"/>
      <c r="T236" s="1"/>
      <c r="U236" s="1"/>
      <c r="V236" s="1"/>
      <c r="W236" s="1"/>
      <c r="X236" s="1"/>
      <c r="Y236" s="1"/>
      <c r="Z236" s="1"/>
    </row>
    <row r="237" ht="16.5" customHeight="1">
      <c r="A237" s="1"/>
      <c r="B237" s="1"/>
      <c r="C237" s="1"/>
      <c r="D237" s="1"/>
      <c r="E237" s="1"/>
      <c r="F237" s="1"/>
      <c r="G237" s="1"/>
      <c r="H237" s="1"/>
      <c r="I237" s="422"/>
      <c r="J237" s="422"/>
      <c r="K237" s="1"/>
      <c r="L237" s="1"/>
      <c r="M237" s="422"/>
      <c r="N237" s="422"/>
      <c r="O237" s="422"/>
      <c r="P237" s="1"/>
      <c r="Q237" s="1"/>
      <c r="R237" s="1"/>
      <c r="S237" s="1"/>
      <c r="T237" s="1"/>
      <c r="U237" s="1"/>
      <c r="V237" s="1"/>
      <c r="W237" s="1"/>
      <c r="X237" s="1"/>
      <c r="Y237" s="1"/>
      <c r="Z237" s="1"/>
    </row>
    <row r="238" ht="16.5" customHeight="1">
      <c r="A238" s="1"/>
      <c r="B238" s="1"/>
      <c r="C238" s="1"/>
      <c r="D238" s="1"/>
      <c r="E238" s="1"/>
      <c r="F238" s="1"/>
      <c r="G238" s="1"/>
      <c r="H238" s="1"/>
      <c r="I238" s="422"/>
      <c r="J238" s="422"/>
      <c r="K238" s="1"/>
      <c r="L238" s="1"/>
      <c r="M238" s="422"/>
      <c r="N238" s="422"/>
      <c r="O238" s="422"/>
      <c r="P238" s="1"/>
      <c r="Q238" s="1"/>
      <c r="R238" s="1"/>
      <c r="S238" s="1"/>
      <c r="T238" s="1"/>
      <c r="U238" s="1"/>
      <c r="V238" s="1"/>
      <c r="W238" s="1"/>
      <c r="X238" s="1"/>
      <c r="Y238" s="1"/>
      <c r="Z238" s="1"/>
    </row>
    <row r="239" ht="16.5" customHeight="1">
      <c r="A239" s="1"/>
      <c r="B239" s="1"/>
      <c r="C239" s="1"/>
      <c r="D239" s="1"/>
      <c r="E239" s="1"/>
      <c r="F239" s="1"/>
      <c r="G239" s="1"/>
      <c r="H239" s="1"/>
      <c r="I239" s="422"/>
      <c r="J239" s="422"/>
      <c r="K239" s="1"/>
      <c r="L239" s="1"/>
      <c r="M239" s="422"/>
      <c r="N239" s="422"/>
      <c r="O239" s="422"/>
      <c r="P239" s="1"/>
      <c r="Q239" s="1"/>
      <c r="R239" s="1"/>
      <c r="S239" s="1"/>
      <c r="T239" s="1"/>
      <c r="U239" s="1"/>
      <c r="V239" s="1"/>
      <c r="W239" s="1"/>
      <c r="X239" s="1"/>
      <c r="Y239" s="1"/>
      <c r="Z239" s="1"/>
    </row>
    <row r="240" ht="16.5" customHeight="1">
      <c r="A240" s="1"/>
      <c r="B240" s="1"/>
      <c r="C240" s="1"/>
      <c r="D240" s="1"/>
      <c r="E240" s="1"/>
      <c r="F240" s="1"/>
      <c r="G240" s="1"/>
      <c r="H240" s="1"/>
      <c r="I240" s="422"/>
      <c r="J240" s="422"/>
      <c r="K240" s="1"/>
      <c r="L240" s="1"/>
      <c r="M240" s="422"/>
      <c r="N240" s="422"/>
      <c r="O240" s="422"/>
      <c r="P240" s="1"/>
      <c r="Q240" s="1"/>
      <c r="R240" s="1"/>
      <c r="S240" s="1"/>
      <c r="T240" s="1"/>
      <c r="U240" s="1"/>
      <c r="V240" s="1"/>
      <c r="W240" s="1"/>
      <c r="X240" s="1"/>
      <c r="Y240" s="1"/>
      <c r="Z240" s="1"/>
    </row>
    <row r="241" ht="16.5" customHeight="1">
      <c r="A241" s="1"/>
      <c r="B241" s="1"/>
      <c r="C241" s="1"/>
      <c r="D241" s="1"/>
      <c r="E241" s="1"/>
      <c r="F241" s="1"/>
      <c r="G241" s="1"/>
      <c r="H241" s="1"/>
      <c r="I241" s="422"/>
      <c r="J241" s="422"/>
      <c r="K241" s="1"/>
      <c r="L241" s="1"/>
      <c r="M241" s="422"/>
      <c r="N241" s="422"/>
      <c r="O241" s="422"/>
      <c r="P241" s="1"/>
      <c r="Q241" s="1"/>
      <c r="R241" s="1"/>
      <c r="S241" s="1"/>
      <c r="T241" s="1"/>
      <c r="U241" s="1"/>
      <c r="V241" s="1"/>
      <c r="W241" s="1"/>
      <c r="X241" s="1"/>
      <c r="Y241" s="1"/>
      <c r="Z241" s="1"/>
    </row>
    <row r="242" ht="16.5" customHeight="1">
      <c r="A242" s="1"/>
      <c r="B242" s="1"/>
      <c r="C242" s="1"/>
      <c r="D242" s="1"/>
      <c r="E242" s="1"/>
      <c r="F242" s="1"/>
      <c r="G242" s="1"/>
      <c r="H242" s="1"/>
      <c r="I242" s="422"/>
      <c r="J242" s="422"/>
      <c r="K242" s="1"/>
      <c r="L242" s="1"/>
      <c r="M242" s="422"/>
      <c r="N242" s="422"/>
      <c r="O242" s="422"/>
      <c r="P242" s="1"/>
      <c r="Q242" s="1"/>
      <c r="R242" s="1"/>
      <c r="S242" s="1"/>
      <c r="T242" s="1"/>
      <c r="U242" s="1"/>
      <c r="V242" s="1"/>
      <c r="W242" s="1"/>
      <c r="X242" s="1"/>
      <c r="Y242" s="1"/>
      <c r="Z242" s="1"/>
    </row>
    <row r="243" ht="16.5" customHeight="1">
      <c r="A243" s="1"/>
      <c r="B243" s="1"/>
      <c r="C243" s="1"/>
      <c r="D243" s="1"/>
      <c r="E243" s="1"/>
      <c r="F243" s="1"/>
      <c r="G243" s="1"/>
      <c r="H243" s="1"/>
      <c r="I243" s="422"/>
      <c r="J243" s="422"/>
      <c r="K243" s="1"/>
      <c r="L243" s="1"/>
      <c r="M243" s="422"/>
      <c r="N243" s="422"/>
      <c r="O243" s="422"/>
      <c r="P243" s="1"/>
      <c r="Q243" s="1"/>
      <c r="R243" s="1"/>
      <c r="S243" s="1"/>
      <c r="T243" s="1"/>
      <c r="U243" s="1"/>
      <c r="V243" s="1"/>
      <c r="W243" s="1"/>
      <c r="X243" s="1"/>
      <c r="Y243" s="1"/>
      <c r="Z243" s="1"/>
    </row>
    <row r="244" ht="16.5" customHeight="1">
      <c r="A244" s="1"/>
      <c r="B244" s="1"/>
      <c r="C244" s="1"/>
      <c r="D244" s="1"/>
      <c r="E244" s="1"/>
      <c r="F244" s="1"/>
      <c r="G244" s="1"/>
      <c r="H244" s="1"/>
      <c r="I244" s="422"/>
      <c r="J244" s="422"/>
      <c r="K244" s="1"/>
      <c r="L244" s="1"/>
      <c r="M244" s="422"/>
      <c r="N244" s="422"/>
      <c r="O244" s="422"/>
      <c r="P244" s="1"/>
      <c r="Q244" s="1"/>
      <c r="R244" s="1"/>
      <c r="S244" s="1"/>
      <c r="T244" s="1"/>
      <c r="U244" s="1"/>
      <c r="V244" s="1"/>
      <c r="W244" s="1"/>
      <c r="X244" s="1"/>
      <c r="Y244" s="1"/>
      <c r="Z244" s="1"/>
    </row>
    <row r="245" ht="16.5" customHeight="1">
      <c r="A245" s="1"/>
      <c r="B245" s="1"/>
      <c r="C245" s="1"/>
      <c r="D245" s="1"/>
      <c r="E245" s="1"/>
      <c r="F245" s="1"/>
      <c r="G245" s="1"/>
      <c r="H245" s="1"/>
      <c r="I245" s="422"/>
      <c r="J245" s="422"/>
      <c r="K245" s="1"/>
      <c r="L245" s="1"/>
      <c r="M245" s="422"/>
      <c r="N245" s="422"/>
      <c r="O245" s="422"/>
      <c r="P245" s="1"/>
      <c r="Q245" s="1"/>
      <c r="R245" s="1"/>
      <c r="S245" s="1"/>
      <c r="T245" s="1"/>
      <c r="U245" s="1"/>
      <c r="V245" s="1"/>
      <c r="W245" s="1"/>
      <c r="X245" s="1"/>
      <c r="Y245" s="1"/>
      <c r="Z245" s="1"/>
    </row>
    <row r="246" ht="16.5" customHeight="1">
      <c r="A246" s="1"/>
      <c r="B246" s="1"/>
      <c r="C246" s="1"/>
      <c r="D246" s="1"/>
      <c r="E246" s="1"/>
      <c r="F246" s="1"/>
      <c r="G246" s="1"/>
      <c r="H246" s="1"/>
      <c r="I246" s="422"/>
      <c r="J246" s="422"/>
      <c r="K246" s="1"/>
      <c r="L246" s="1"/>
      <c r="M246" s="422"/>
      <c r="N246" s="422"/>
      <c r="O246" s="422"/>
      <c r="P246" s="1"/>
      <c r="Q246" s="1"/>
      <c r="R246" s="1"/>
      <c r="S246" s="1"/>
      <c r="T246" s="1"/>
      <c r="U246" s="1"/>
      <c r="V246" s="1"/>
      <c r="W246" s="1"/>
      <c r="X246" s="1"/>
      <c r="Y246" s="1"/>
      <c r="Z246" s="1"/>
    </row>
    <row r="247" ht="16.5" customHeight="1">
      <c r="A247" s="1"/>
      <c r="B247" s="1"/>
      <c r="C247" s="1"/>
      <c r="D247" s="1"/>
      <c r="E247" s="1"/>
      <c r="F247" s="1"/>
      <c r="G247" s="1"/>
      <c r="H247" s="1"/>
      <c r="I247" s="422"/>
      <c r="J247" s="422"/>
      <c r="K247" s="1"/>
      <c r="L247" s="1"/>
      <c r="M247" s="422"/>
      <c r="N247" s="422"/>
      <c r="O247" s="422"/>
      <c r="P247" s="1"/>
      <c r="Q247" s="1"/>
      <c r="R247" s="1"/>
      <c r="S247" s="1"/>
      <c r="T247" s="1"/>
      <c r="U247" s="1"/>
      <c r="V247" s="1"/>
      <c r="W247" s="1"/>
      <c r="X247" s="1"/>
      <c r="Y247" s="1"/>
      <c r="Z247" s="1"/>
    </row>
    <row r="248" ht="16.5" customHeight="1">
      <c r="A248" s="1"/>
      <c r="B248" s="1"/>
      <c r="C248" s="1"/>
      <c r="D248" s="1"/>
      <c r="E248" s="1"/>
      <c r="F248" s="1"/>
      <c r="G248" s="1"/>
      <c r="H248" s="1"/>
      <c r="I248" s="422"/>
      <c r="J248" s="422"/>
      <c r="K248" s="1"/>
      <c r="L248" s="1"/>
      <c r="M248" s="422"/>
      <c r="N248" s="422"/>
      <c r="O248" s="422"/>
      <c r="P248" s="1"/>
      <c r="Q248" s="1"/>
      <c r="R248" s="1"/>
      <c r="S248" s="1"/>
      <c r="T248" s="1"/>
      <c r="U248" s="1"/>
      <c r="V248" s="1"/>
      <c r="W248" s="1"/>
      <c r="X248" s="1"/>
      <c r="Y248" s="1"/>
      <c r="Z248" s="1"/>
    </row>
    <row r="249" ht="16.5" customHeight="1">
      <c r="A249" s="1"/>
      <c r="B249" s="1"/>
      <c r="C249" s="1"/>
      <c r="D249" s="1"/>
      <c r="E249" s="1"/>
      <c r="F249" s="1"/>
      <c r="G249" s="1"/>
      <c r="H249" s="1"/>
      <c r="I249" s="422"/>
      <c r="J249" s="422"/>
      <c r="K249" s="1"/>
      <c r="L249" s="1"/>
      <c r="M249" s="422"/>
      <c r="N249" s="422"/>
      <c r="O249" s="422"/>
      <c r="P249" s="1"/>
      <c r="Q249" s="1"/>
      <c r="R249" s="1"/>
      <c r="S249" s="1"/>
      <c r="T249" s="1"/>
      <c r="U249" s="1"/>
      <c r="V249" s="1"/>
      <c r="W249" s="1"/>
      <c r="X249" s="1"/>
      <c r="Y249" s="1"/>
      <c r="Z249" s="1"/>
    </row>
    <row r="250" ht="16.5" customHeight="1">
      <c r="A250" s="1"/>
      <c r="B250" s="1"/>
      <c r="C250" s="1"/>
      <c r="D250" s="1"/>
      <c r="E250" s="1"/>
      <c r="F250" s="1"/>
      <c r="G250" s="1"/>
      <c r="H250" s="1"/>
      <c r="I250" s="422"/>
      <c r="J250" s="422"/>
      <c r="K250" s="1"/>
      <c r="L250" s="1"/>
      <c r="M250" s="422"/>
      <c r="N250" s="422"/>
      <c r="O250" s="422"/>
      <c r="P250" s="1"/>
      <c r="Q250" s="1"/>
      <c r="R250" s="1"/>
      <c r="S250" s="1"/>
      <c r="T250" s="1"/>
      <c r="U250" s="1"/>
      <c r="V250" s="1"/>
      <c r="W250" s="1"/>
      <c r="X250" s="1"/>
      <c r="Y250" s="1"/>
      <c r="Z250" s="1"/>
    </row>
    <row r="251" ht="16.5" customHeight="1">
      <c r="A251" s="1"/>
      <c r="B251" s="1"/>
      <c r="C251" s="1"/>
      <c r="D251" s="1"/>
      <c r="E251" s="1"/>
      <c r="F251" s="1"/>
      <c r="G251" s="1"/>
      <c r="H251" s="1"/>
      <c r="I251" s="422"/>
      <c r="J251" s="422"/>
      <c r="K251" s="1"/>
      <c r="L251" s="1"/>
      <c r="M251" s="422"/>
      <c r="N251" s="422"/>
      <c r="O251" s="422"/>
      <c r="P251" s="1"/>
      <c r="Q251" s="1"/>
      <c r="R251" s="1"/>
      <c r="S251" s="1"/>
      <c r="T251" s="1"/>
      <c r="U251" s="1"/>
      <c r="V251" s="1"/>
      <c r="W251" s="1"/>
      <c r="X251" s="1"/>
      <c r="Y251" s="1"/>
      <c r="Z251" s="1"/>
    </row>
    <row r="252" ht="16.5" customHeight="1">
      <c r="A252" s="1"/>
      <c r="B252" s="1"/>
      <c r="C252" s="1"/>
      <c r="D252" s="1"/>
      <c r="E252" s="1"/>
      <c r="F252" s="1"/>
      <c r="G252" s="1"/>
      <c r="H252" s="1"/>
      <c r="I252" s="422"/>
      <c r="J252" s="422"/>
      <c r="K252" s="1"/>
      <c r="L252" s="1"/>
      <c r="M252" s="422"/>
      <c r="N252" s="422"/>
      <c r="O252" s="422"/>
      <c r="P252" s="1"/>
      <c r="Q252" s="1"/>
      <c r="R252" s="1"/>
      <c r="S252" s="1"/>
      <c r="T252" s="1"/>
      <c r="U252" s="1"/>
      <c r="V252" s="1"/>
      <c r="W252" s="1"/>
      <c r="X252" s="1"/>
      <c r="Y252" s="1"/>
      <c r="Z252" s="1"/>
    </row>
    <row r="253" ht="16.5" customHeight="1">
      <c r="A253" s="1"/>
      <c r="B253" s="1"/>
      <c r="C253" s="1"/>
      <c r="D253" s="1"/>
      <c r="E253" s="1"/>
      <c r="F253" s="1"/>
      <c r="G253" s="1"/>
      <c r="H253" s="1"/>
      <c r="I253" s="422"/>
      <c r="J253" s="422"/>
      <c r="K253" s="1"/>
      <c r="L253" s="1"/>
      <c r="M253" s="422"/>
      <c r="N253" s="422"/>
      <c r="O253" s="422"/>
      <c r="P253" s="1"/>
      <c r="Q253" s="1"/>
      <c r="R253" s="1"/>
      <c r="S253" s="1"/>
      <c r="T253" s="1"/>
      <c r="U253" s="1"/>
      <c r="V253" s="1"/>
      <c r="W253" s="1"/>
      <c r="X253" s="1"/>
      <c r="Y253" s="1"/>
      <c r="Z253" s="1"/>
    </row>
    <row r="254" ht="16.5" customHeight="1">
      <c r="A254" s="1"/>
      <c r="B254" s="1"/>
      <c r="C254" s="1"/>
      <c r="D254" s="1"/>
      <c r="E254" s="1"/>
      <c r="F254" s="1"/>
      <c r="G254" s="1"/>
      <c r="H254" s="1"/>
      <c r="I254" s="422"/>
      <c r="J254" s="422"/>
      <c r="K254" s="1"/>
      <c r="L254" s="1"/>
      <c r="M254" s="422"/>
      <c r="N254" s="422"/>
      <c r="O254" s="422"/>
      <c r="P254" s="1"/>
      <c r="Q254" s="1"/>
      <c r="R254" s="1"/>
      <c r="S254" s="1"/>
      <c r="T254" s="1"/>
      <c r="U254" s="1"/>
      <c r="V254" s="1"/>
      <c r="W254" s="1"/>
      <c r="X254" s="1"/>
      <c r="Y254" s="1"/>
      <c r="Z254" s="1"/>
    </row>
    <row r="255" ht="16.5" customHeight="1">
      <c r="A255" s="1"/>
      <c r="B255" s="1"/>
      <c r="C255" s="1"/>
      <c r="D255" s="1"/>
      <c r="E255" s="1"/>
      <c r="F255" s="1"/>
      <c r="G255" s="1"/>
      <c r="H255" s="1"/>
      <c r="I255" s="422"/>
      <c r="J255" s="422"/>
      <c r="K255" s="1"/>
      <c r="L255" s="1"/>
      <c r="M255" s="422"/>
      <c r="N255" s="422"/>
      <c r="O255" s="422"/>
      <c r="P255" s="1"/>
      <c r="Q255" s="1"/>
      <c r="R255" s="1"/>
      <c r="S255" s="1"/>
      <c r="T255" s="1"/>
      <c r="U255" s="1"/>
      <c r="V255" s="1"/>
      <c r="W255" s="1"/>
      <c r="X255" s="1"/>
      <c r="Y255" s="1"/>
      <c r="Z255" s="1"/>
    </row>
    <row r="256" ht="16.5" customHeight="1">
      <c r="A256" s="1"/>
      <c r="B256" s="1"/>
      <c r="C256" s="1"/>
      <c r="D256" s="1"/>
      <c r="E256" s="1"/>
      <c r="F256" s="1"/>
      <c r="G256" s="1"/>
      <c r="H256" s="1"/>
      <c r="I256" s="422"/>
      <c r="J256" s="422"/>
      <c r="K256" s="1"/>
      <c r="L256" s="1"/>
      <c r="M256" s="422"/>
      <c r="N256" s="422"/>
      <c r="O256" s="422"/>
      <c r="P256" s="1"/>
      <c r="Q256" s="1"/>
      <c r="R256" s="1"/>
      <c r="S256" s="1"/>
      <c r="T256" s="1"/>
      <c r="U256" s="1"/>
      <c r="V256" s="1"/>
      <c r="W256" s="1"/>
      <c r="X256" s="1"/>
      <c r="Y256" s="1"/>
      <c r="Z256" s="1"/>
    </row>
    <row r="257" ht="16.5" customHeight="1">
      <c r="A257" s="1"/>
      <c r="B257" s="1"/>
      <c r="C257" s="1"/>
      <c r="D257" s="1"/>
      <c r="E257" s="1"/>
      <c r="F257" s="1"/>
      <c r="G257" s="1"/>
      <c r="H257" s="1"/>
      <c r="I257" s="422"/>
      <c r="J257" s="422"/>
      <c r="K257" s="1"/>
      <c r="L257" s="1"/>
      <c r="M257" s="422"/>
      <c r="N257" s="422"/>
      <c r="O257" s="422"/>
      <c r="P257" s="1"/>
      <c r="Q257" s="1"/>
      <c r="R257" s="1"/>
      <c r="S257" s="1"/>
      <c r="T257" s="1"/>
      <c r="U257" s="1"/>
      <c r="V257" s="1"/>
      <c r="W257" s="1"/>
      <c r="X257" s="1"/>
      <c r="Y257" s="1"/>
      <c r="Z257" s="1"/>
    </row>
    <row r="258" ht="16.5" customHeight="1">
      <c r="A258" s="1"/>
      <c r="B258" s="1"/>
      <c r="C258" s="1"/>
      <c r="D258" s="1"/>
      <c r="E258" s="1"/>
      <c r="F258" s="1"/>
      <c r="G258" s="1"/>
      <c r="H258" s="1"/>
      <c r="I258" s="422"/>
      <c r="J258" s="422"/>
      <c r="K258" s="1"/>
      <c r="L258" s="1"/>
      <c r="M258" s="422"/>
      <c r="N258" s="422"/>
      <c r="O258" s="422"/>
      <c r="P258" s="1"/>
      <c r="Q258" s="1"/>
      <c r="R258" s="1"/>
      <c r="S258" s="1"/>
      <c r="T258" s="1"/>
      <c r="U258" s="1"/>
      <c r="V258" s="1"/>
      <c r="W258" s="1"/>
      <c r="X258" s="1"/>
      <c r="Y258" s="1"/>
      <c r="Z258" s="1"/>
    </row>
    <row r="259" ht="16.5" customHeight="1">
      <c r="A259" s="1"/>
      <c r="B259" s="1"/>
      <c r="C259" s="1"/>
      <c r="D259" s="1"/>
      <c r="E259" s="1"/>
      <c r="F259" s="1"/>
      <c r="G259" s="1"/>
      <c r="H259" s="1"/>
      <c r="I259" s="422"/>
      <c r="J259" s="422"/>
      <c r="K259" s="1"/>
      <c r="L259" s="1"/>
      <c r="M259" s="422"/>
      <c r="N259" s="422"/>
      <c r="O259" s="422"/>
      <c r="P259" s="1"/>
      <c r="Q259" s="1"/>
      <c r="R259" s="1"/>
      <c r="S259" s="1"/>
      <c r="T259" s="1"/>
      <c r="U259" s="1"/>
      <c r="V259" s="1"/>
      <c r="W259" s="1"/>
      <c r="X259" s="1"/>
      <c r="Y259" s="1"/>
      <c r="Z259" s="1"/>
    </row>
    <row r="260" ht="16.5" customHeight="1">
      <c r="A260" s="1"/>
      <c r="B260" s="1"/>
      <c r="C260" s="1"/>
      <c r="D260" s="1"/>
      <c r="E260" s="1"/>
      <c r="F260" s="1"/>
      <c r="G260" s="1"/>
      <c r="H260" s="1"/>
      <c r="I260" s="422"/>
      <c r="J260" s="422"/>
      <c r="K260" s="1"/>
      <c r="L260" s="1"/>
      <c r="M260" s="422"/>
      <c r="N260" s="422"/>
      <c r="O260" s="422"/>
      <c r="P260" s="1"/>
      <c r="Q260" s="1"/>
      <c r="R260" s="1"/>
      <c r="S260" s="1"/>
      <c r="T260" s="1"/>
      <c r="U260" s="1"/>
      <c r="V260" s="1"/>
      <c r="W260" s="1"/>
      <c r="X260" s="1"/>
      <c r="Y260" s="1"/>
      <c r="Z260" s="1"/>
    </row>
    <row r="261" ht="16.5" customHeight="1">
      <c r="A261" s="1"/>
      <c r="B261" s="1"/>
      <c r="C261" s="1"/>
      <c r="D261" s="1"/>
      <c r="E261" s="1"/>
      <c r="F261" s="1"/>
      <c r="G261" s="1"/>
      <c r="H261" s="1"/>
      <c r="I261" s="422"/>
      <c r="J261" s="422"/>
      <c r="K261" s="1"/>
      <c r="L261" s="1"/>
      <c r="M261" s="422"/>
      <c r="N261" s="422"/>
      <c r="O261" s="422"/>
      <c r="P261" s="1"/>
      <c r="Q261" s="1"/>
      <c r="R261" s="1"/>
      <c r="S261" s="1"/>
      <c r="T261" s="1"/>
      <c r="U261" s="1"/>
      <c r="V261" s="1"/>
      <c r="W261" s="1"/>
      <c r="X261" s="1"/>
      <c r="Y261" s="1"/>
      <c r="Z261" s="1"/>
    </row>
    <row r="262" ht="16.5" customHeight="1">
      <c r="A262" s="1"/>
      <c r="B262" s="1"/>
      <c r="C262" s="1"/>
      <c r="D262" s="1"/>
      <c r="E262" s="1"/>
      <c r="F262" s="1"/>
      <c r="G262" s="1"/>
      <c r="H262" s="1"/>
      <c r="I262" s="422"/>
      <c r="J262" s="422"/>
      <c r="K262" s="1"/>
      <c r="L262" s="1"/>
      <c r="M262" s="422"/>
      <c r="N262" s="422"/>
      <c r="O262" s="422"/>
      <c r="P262" s="1"/>
      <c r="Q262" s="1"/>
      <c r="R262" s="1"/>
      <c r="S262" s="1"/>
      <c r="T262" s="1"/>
      <c r="U262" s="1"/>
      <c r="V262" s="1"/>
      <c r="W262" s="1"/>
      <c r="X262" s="1"/>
      <c r="Y262" s="1"/>
      <c r="Z262" s="1"/>
    </row>
    <row r="263" ht="16.5" customHeight="1">
      <c r="A263" s="1"/>
      <c r="B263" s="1"/>
      <c r="C263" s="1"/>
      <c r="D263" s="1"/>
      <c r="E263" s="1"/>
      <c r="F263" s="1"/>
      <c r="G263" s="1"/>
      <c r="H263" s="1"/>
      <c r="I263" s="422"/>
      <c r="J263" s="422"/>
      <c r="K263" s="1"/>
      <c r="L263" s="1"/>
      <c r="M263" s="422"/>
      <c r="N263" s="422"/>
      <c r="O263" s="422"/>
      <c r="P263" s="1"/>
      <c r="Q263" s="1"/>
      <c r="R263" s="1"/>
      <c r="S263" s="1"/>
      <c r="T263" s="1"/>
      <c r="U263" s="1"/>
      <c r="V263" s="1"/>
      <c r="W263" s="1"/>
      <c r="X263" s="1"/>
      <c r="Y263" s="1"/>
      <c r="Z263" s="1"/>
    </row>
    <row r="264" ht="16.5" customHeight="1">
      <c r="A264" s="1"/>
      <c r="B264" s="1"/>
      <c r="C264" s="1"/>
      <c r="D264" s="1"/>
      <c r="E264" s="1"/>
      <c r="F264" s="1"/>
      <c r="G264" s="1"/>
      <c r="H264" s="1"/>
      <c r="I264" s="422"/>
      <c r="J264" s="422"/>
      <c r="K264" s="1"/>
      <c r="L264" s="1"/>
      <c r="M264" s="422"/>
      <c r="N264" s="422"/>
      <c r="O264" s="422"/>
      <c r="P264" s="1"/>
      <c r="Q264" s="1"/>
      <c r="R264" s="1"/>
      <c r="S264" s="1"/>
      <c r="T264" s="1"/>
      <c r="U264" s="1"/>
      <c r="V264" s="1"/>
      <c r="W264" s="1"/>
      <c r="X264" s="1"/>
      <c r="Y264" s="1"/>
      <c r="Z264" s="1"/>
    </row>
    <row r="265" ht="16.5" customHeight="1">
      <c r="A265" s="1"/>
      <c r="B265" s="1"/>
      <c r="C265" s="1"/>
      <c r="D265" s="1"/>
      <c r="E265" s="1"/>
      <c r="F265" s="1"/>
      <c r="G265" s="1"/>
      <c r="H265" s="1"/>
      <c r="I265" s="422"/>
      <c r="J265" s="422"/>
      <c r="K265" s="1"/>
      <c r="L265" s="1"/>
      <c r="M265" s="422"/>
      <c r="N265" s="422"/>
      <c r="O265" s="422"/>
      <c r="P265" s="1"/>
      <c r="Q265" s="1"/>
      <c r="R265" s="1"/>
      <c r="S265" s="1"/>
      <c r="T265" s="1"/>
      <c r="U265" s="1"/>
      <c r="V265" s="1"/>
      <c r="W265" s="1"/>
      <c r="X265" s="1"/>
      <c r="Y265" s="1"/>
      <c r="Z265" s="1"/>
    </row>
    <row r="266" ht="16.5" customHeight="1">
      <c r="A266" s="1"/>
      <c r="B266" s="1"/>
      <c r="C266" s="1"/>
      <c r="D266" s="1"/>
      <c r="E266" s="1"/>
      <c r="F266" s="1"/>
      <c r="G266" s="1"/>
      <c r="H266" s="1"/>
      <c r="I266" s="422"/>
      <c r="J266" s="422"/>
      <c r="K266" s="1"/>
      <c r="L266" s="1"/>
      <c r="M266" s="422"/>
      <c r="N266" s="422"/>
      <c r="O266" s="422"/>
      <c r="P266" s="1"/>
      <c r="Q266" s="1"/>
      <c r="R266" s="1"/>
      <c r="S266" s="1"/>
      <c r="T266" s="1"/>
      <c r="U266" s="1"/>
      <c r="V266" s="1"/>
      <c r="W266" s="1"/>
      <c r="X266" s="1"/>
      <c r="Y266" s="1"/>
      <c r="Z266" s="1"/>
    </row>
    <row r="267" ht="16.5" customHeight="1">
      <c r="A267" s="1"/>
      <c r="B267" s="1"/>
      <c r="C267" s="1"/>
      <c r="D267" s="1"/>
      <c r="E267" s="1"/>
      <c r="F267" s="1"/>
      <c r="G267" s="1"/>
      <c r="H267" s="1"/>
      <c r="I267" s="422"/>
      <c r="J267" s="422"/>
      <c r="K267" s="1"/>
      <c r="L267" s="1"/>
      <c r="M267" s="422"/>
      <c r="N267" s="422"/>
      <c r="O267" s="422"/>
      <c r="P267" s="1"/>
      <c r="Q267" s="1"/>
      <c r="R267" s="1"/>
      <c r="S267" s="1"/>
      <c r="T267" s="1"/>
      <c r="U267" s="1"/>
      <c r="V267" s="1"/>
      <c r="W267" s="1"/>
      <c r="X267" s="1"/>
      <c r="Y267" s="1"/>
      <c r="Z267" s="1"/>
    </row>
    <row r="268" ht="16.5" customHeight="1">
      <c r="A268" s="1"/>
      <c r="B268" s="1"/>
      <c r="C268" s="1"/>
      <c r="D268" s="1"/>
      <c r="E268" s="1"/>
      <c r="F268" s="1"/>
      <c r="G268" s="1"/>
      <c r="H268" s="1"/>
      <c r="I268" s="422"/>
      <c r="J268" s="422"/>
      <c r="K268" s="1"/>
      <c r="L268" s="1"/>
      <c r="M268" s="422"/>
      <c r="N268" s="422"/>
      <c r="O268" s="422"/>
      <c r="P268" s="1"/>
      <c r="Q268" s="1"/>
      <c r="R268" s="1"/>
      <c r="S268" s="1"/>
      <c r="T268" s="1"/>
      <c r="U268" s="1"/>
      <c r="V268" s="1"/>
      <c r="W268" s="1"/>
      <c r="X268" s="1"/>
      <c r="Y268" s="1"/>
      <c r="Z268" s="1"/>
    </row>
    <row r="269" ht="16.5" customHeight="1">
      <c r="A269" s="1"/>
      <c r="B269" s="1"/>
      <c r="C269" s="1"/>
      <c r="D269" s="1"/>
      <c r="E269" s="1"/>
      <c r="F269" s="1"/>
      <c r="G269" s="1"/>
      <c r="H269" s="1"/>
      <c r="I269" s="422"/>
      <c r="J269" s="422"/>
      <c r="K269" s="1"/>
      <c r="L269" s="1"/>
      <c r="M269" s="422"/>
      <c r="N269" s="422"/>
      <c r="O269" s="422"/>
      <c r="P269" s="1"/>
      <c r="Q269" s="1"/>
      <c r="R269" s="1"/>
      <c r="S269" s="1"/>
      <c r="T269" s="1"/>
      <c r="U269" s="1"/>
      <c r="V269" s="1"/>
      <c r="W269" s="1"/>
      <c r="X269" s="1"/>
      <c r="Y269" s="1"/>
      <c r="Z269" s="1"/>
    </row>
    <row r="270" ht="16.5" customHeight="1">
      <c r="A270" s="1"/>
      <c r="B270" s="1"/>
      <c r="C270" s="1"/>
      <c r="D270" s="1"/>
      <c r="E270" s="1"/>
      <c r="F270" s="1"/>
      <c r="G270" s="1"/>
      <c r="H270" s="1"/>
      <c r="I270" s="422"/>
      <c r="J270" s="422"/>
      <c r="K270" s="1"/>
      <c r="L270" s="1"/>
      <c r="M270" s="422"/>
      <c r="N270" s="422"/>
      <c r="O270" s="422"/>
      <c r="P270" s="1"/>
      <c r="Q270" s="1"/>
      <c r="R270" s="1"/>
      <c r="S270" s="1"/>
      <c r="T270" s="1"/>
      <c r="U270" s="1"/>
      <c r="V270" s="1"/>
      <c r="W270" s="1"/>
      <c r="X270" s="1"/>
      <c r="Y270" s="1"/>
      <c r="Z270" s="1"/>
    </row>
    <row r="271" ht="16.5" customHeight="1">
      <c r="A271" s="1"/>
      <c r="B271" s="1"/>
      <c r="C271" s="1"/>
      <c r="D271" s="1"/>
      <c r="E271" s="1"/>
      <c r="F271" s="1"/>
      <c r="G271" s="1"/>
      <c r="H271" s="1"/>
      <c r="I271" s="422"/>
      <c r="J271" s="422"/>
      <c r="K271" s="1"/>
      <c r="L271" s="1"/>
      <c r="M271" s="422"/>
      <c r="N271" s="422"/>
      <c r="O271" s="422"/>
      <c r="P271" s="1"/>
      <c r="Q271" s="1"/>
      <c r="R271" s="1"/>
      <c r="S271" s="1"/>
      <c r="T271" s="1"/>
      <c r="U271" s="1"/>
      <c r="V271" s="1"/>
      <c r="W271" s="1"/>
      <c r="X271" s="1"/>
      <c r="Y271" s="1"/>
      <c r="Z271" s="1"/>
    </row>
    <row r="272" ht="16.5" customHeight="1">
      <c r="A272" s="1"/>
      <c r="B272" s="1"/>
      <c r="C272" s="1"/>
      <c r="D272" s="1"/>
      <c r="E272" s="1"/>
      <c r="F272" s="1"/>
      <c r="G272" s="1"/>
      <c r="H272" s="1"/>
      <c r="I272" s="422"/>
      <c r="J272" s="422"/>
      <c r="K272" s="1"/>
      <c r="L272" s="1"/>
      <c r="M272" s="422"/>
      <c r="N272" s="422"/>
      <c r="O272" s="422"/>
      <c r="P272" s="1"/>
      <c r="Q272" s="1"/>
      <c r="R272" s="1"/>
      <c r="S272" s="1"/>
      <c r="T272" s="1"/>
      <c r="U272" s="1"/>
      <c r="V272" s="1"/>
      <c r="W272" s="1"/>
      <c r="X272" s="1"/>
      <c r="Y272" s="1"/>
      <c r="Z272" s="1"/>
    </row>
    <row r="273" ht="16.5" customHeight="1">
      <c r="A273" s="1"/>
      <c r="B273" s="1"/>
      <c r="C273" s="1"/>
      <c r="D273" s="1"/>
      <c r="E273" s="1"/>
      <c r="F273" s="1"/>
      <c r="G273" s="1"/>
      <c r="H273" s="1"/>
      <c r="I273" s="422"/>
      <c r="J273" s="422"/>
      <c r="K273" s="1"/>
      <c r="L273" s="1"/>
      <c r="M273" s="422"/>
      <c r="N273" s="422"/>
      <c r="O273" s="422"/>
      <c r="P273" s="1"/>
      <c r="Q273" s="1"/>
      <c r="R273" s="1"/>
      <c r="S273" s="1"/>
      <c r="T273" s="1"/>
      <c r="U273" s="1"/>
      <c r="V273" s="1"/>
      <c r="W273" s="1"/>
      <c r="X273" s="1"/>
      <c r="Y273" s="1"/>
      <c r="Z273" s="1"/>
    </row>
    <row r="274" ht="16.5" customHeight="1">
      <c r="A274" s="1"/>
      <c r="B274" s="1"/>
      <c r="C274" s="1"/>
      <c r="D274" s="1"/>
      <c r="E274" s="1"/>
      <c r="F274" s="1"/>
      <c r="G274" s="1"/>
      <c r="H274" s="1"/>
      <c r="I274" s="422"/>
      <c r="J274" s="422"/>
      <c r="K274" s="1"/>
      <c r="L274" s="1"/>
      <c r="M274" s="422"/>
      <c r="N274" s="422"/>
      <c r="O274" s="422"/>
      <c r="P274" s="1"/>
      <c r="Q274" s="1"/>
      <c r="R274" s="1"/>
      <c r="S274" s="1"/>
      <c r="T274" s="1"/>
      <c r="U274" s="1"/>
      <c r="V274" s="1"/>
      <c r="W274" s="1"/>
      <c r="X274" s="1"/>
      <c r="Y274" s="1"/>
      <c r="Z274" s="1"/>
    </row>
    <row r="275" ht="16.5" customHeight="1">
      <c r="A275" s="1"/>
      <c r="B275" s="1"/>
      <c r="C275" s="1"/>
      <c r="D275" s="1"/>
      <c r="E275" s="1"/>
      <c r="F275" s="1"/>
      <c r="G275" s="1"/>
      <c r="H275" s="1"/>
      <c r="I275" s="422"/>
      <c r="J275" s="422"/>
      <c r="K275" s="1"/>
      <c r="L275" s="1"/>
      <c r="M275" s="422"/>
      <c r="N275" s="422"/>
      <c r="O275" s="422"/>
      <c r="P275" s="1"/>
      <c r="Q275" s="1"/>
      <c r="R275" s="1"/>
      <c r="S275" s="1"/>
      <c r="T275" s="1"/>
      <c r="U275" s="1"/>
      <c r="V275" s="1"/>
      <c r="W275" s="1"/>
      <c r="X275" s="1"/>
      <c r="Y275" s="1"/>
      <c r="Z275" s="1"/>
    </row>
    <row r="276" ht="16.5" customHeight="1">
      <c r="A276" s="1"/>
      <c r="B276" s="1"/>
      <c r="C276" s="1"/>
      <c r="D276" s="1"/>
      <c r="E276" s="1"/>
      <c r="F276" s="1"/>
      <c r="G276" s="1"/>
      <c r="H276" s="1"/>
      <c r="I276" s="422"/>
      <c r="J276" s="422"/>
      <c r="K276" s="1"/>
      <c r="L276" s="1"/>
      <c r="M276" s="422"/>
      <c r="N276" s="422"/>
      <c r="O276" s="422"/>
      <c r="P276" s="1"/>
      <c r="Q276" s="1"/>
      <c r="R276" s="1"/>
      <c r="S276" s="1"/>
      <c r="T276" s="1"/>
      <c r="U276" s="1"/>
      <c r="V276" s="1"/>
      <c r="W276" s="1"/>
      <c r="X276" s="1"/>
      <c r="Y276" s="1"/>
      <c r="Z276" s="1"/>
    </row>
    <row r="277" ht="16.5" customHeight="1">
      <c r="A277" s="1"/>
      <c r="B277" s="1"/>
      <c r="C277" s="1"/>
      <c r="D277" s="1"/>
      <c r="E277" s="1"/>
      <c r="F277" s="1"/>
      <c r="G277" s="1"/>
      <c r="H277" s="1"/>
      <c r="I277" s="422"/>
      <c r="J277" s="422"/>
      <c r="K277" s="1"/>
      <c r="L277" s="1"/>
      <c r="M277" s="422"/>
      <c r="N277" s="422"/>
      <c r="O277" s="422"/>
      <c r="P277" s="1"/>
      <c r="Q277" s="1"/>
      <c r="R277" s="1"/>
      <c r="S277" s="1"/>
      <c r="T277" s="1"/>
      <c r="U277" s="1"/>
      <c r="V277" s="1"/>
      <c r="W277" s="1"/>
      <c r="X277" s="1"/>
      <c r="Y277" s="1"/>
      <c r="Z277" s="1"/>
    </row>
    <row r="278" ht="16.5" customHeight="1">
      <c r="A278" s="1"/>
      <c r="B278" s="1"/>
      <c r="C278" s="1"/>
      <c r="D278" s="1"/>
      <c r="E278" s="1"/>
      <c r="F278" s="1"/>
      <c r="G278" s="1"/>
      <c r="H278" s="1"/>
      <c r="I278" s="422"/>
      <c r="J278" s="422"/>
      <c r="K278" s="1"/>
      <c r="L278" s="1"/>
      <c r="M278" s="422"/>
      <c r="N278" s="422"/>
      <c r="O278" s="422"/>
      <c r="P278" s="1"/>
      <c r="Q278" s="1"/>
      <c r="R278" s="1"/>
      <c r="S278" s="1"/>
      <c r="T278" s="1"/>
      <c r="U278" s="1"/>
      <c r="V278" s="1"/>
      <c r="W278" s="1"/>
      <c r="X278" s="1"/>
      <c r="Y278" s="1"/>
      <c r="Z278" s="1"/>
    </row>
    <row r="279" ht="16.5" customHeight="1">
      <c r="A279" s="1"/>
      <c r="B279" s="1"/>
      <c r="C279" s="1"/>
      <c r="D279" s="1"/>
      <c r="E279" s="1"/>
      <c r="F279" s="1"/>
      <c r="G279" s="1"/>
      <c r="H279" s="1"/>
      <c r="I279" s="422"/>
      <c r="J279" s="422"/>
      <c r="K279" s="1"/>
      <c r="L279" s="1"/>
      <c r="M279" s="422"/>
      <c r="N279" s="422"/>
      <c r="O279" s="422"/>
      <c r="P279" s="1"/>
      <c r="Q279" s="1"/>
      <c r="R279" s="1"/>
      <c r="S279" s="1"/>
      <c r="T279" s="1"/>
      <c r="U279" s="1"/>
      <c r="V279" s="1"/>
      <c r="W279" s="1"/>
      <c r="X279" s="1"/>
      <c r="Y279" s="1"/>
      <c r="Z279" s="1"/>
    </row>
    <row r="280" ht="16.5" customHeight="1">
      <c r="A280" s="1"/>
      <c r="B280" s="1"/>
      <c r="C280" s="1"/>
      <c r="D280" s="1"/>
      <c r="E280" s="1"/>
      <c r="F280" s="1"/>
      <c r="G280" s="1"/>
      <c r="H280" s="1"/>
      <c r="I280" s="422"/>
      <c r="J280" s="422"/>
      <c r="K280" s="1"/>
      <c r="L280" s="1"/>
      <c r="M280" s="422"/>
      <c r="N280" s="422"/>
      <c r="O280" s="422"/>
      <c r="P280" s="1"/>
      <c r="Q280" s="1"/>
      <c r="R280" s="1"/>
      <c r="S280" s="1"/>
      <c r="T280" s="1"/>
      <c r="U280" s="1"/>
      <c r="V280" s="1"/>
      <c r="W280" s="1"/>
      <c r="X280" s="1"/>
      <c r="Y280" s="1"/>
      <c r="Z280" s="1"/>
    </row>
    <row r="281" ht="16.5" customHeight="1">
      <c r="A281" s="1"/>
      <c r="B281" s="1"/>
      <c r="C281" s="1"/>
      <c r="D281" s="1"/>
      <c r="E281" s="1"/>
      <c r="F281" s="1"/>
      <c r="G281" s="1"/>
      <c r="H281" s="1"/>
      <c r="I281" s="422"/>
      <c r="J281" s="422"/>
      <c r="K281" s="1"/>
      <c r="L281" s="1"/>
      <c r="M281" s="422"/>
      <c r="N281" s="422"/>
      <c r="O281" s="422"/>
      <c r="P281" s="1"/>
      <c r="Q281" s="1"/>
      <c r="R281" s="1"/>
      <c r="S281" s="1"/>
      <c r="T281" s="1"/>
      <c r="U281" s="1"/>
      <c r="V281" s="1"/>
      <c r="W281" s="1"/>
      <c r="X281" s="1"/>
      <c r="Y281" s="1"/>
      <c r="Z281" s="1"/>
    </row>
    <row r="282" ht="16.5" customHeight="1">
      <c r="A282" s="1"/>
      <c r="B282" s="1"/>
      <c r="C282" s="1"/>
      <c r="D282" s="1"/>
      <c r="E282" s="1"/>
      <c r="F282" s="1"/>
      <c r="G282" s="1"/>
      <c r="H282" s="1"/>
      <c r="I282" s="422"/>
      <c r="J282" s="422"/>
      <c r="K282" s="1"/>
      <c r="L282" s="1"/>
      <c r="M282" s="422"/>
      <c r="N282" s="422"/>
      <c r="O282" s="422"/>
      <c r="P282" s="1"/>
      <c r="Q282" s="1"/>
      <c r="R282" s="1"/>
      <c r="S282" s="1"/>
      <c r="T282" s="1"/>
      <c r="U282" s="1"/>
      <c r="V282" s="1"/>
      <c r="W282" s="1"/>
      <c r="X282" s="1"/>
      <c r="Y282" s="1"/>
      <c r="Z282" s="1"/>
    </row>
    <row r="283" ht="16.5" customHeight="1">
      <c r="A283" s="1"/>
      <c r="B283" s="1"/>
      <c r="C283" s="1"/>
      <c r="D283" s="1"/>
      <c r="E283" s="1"/>
      <c r="F283" s="1"/>
      <c r="G283" s="1"/>
      <c r="H283" s="1"/>
      <c r="I283" s="422"/>
      <c r="J283" s="422"/>
      <c r="K283" s="1"/>
      <c r="L283" s="1"/>
      <c r="M283" s="422"/>
      <c r="N283" s="422"/>
      <c r="O283" s="422"/>
      <c r="P283" s="1"/>
      <c r="Q283" s="1"/>
      <c r="R283" s="1"/>
      <c r="S283" s="1"/>
      <c r="T283" s="1"/>
      <c r="U283" s="1"/>
      <c r="V283" s="1"/>
      <c r="W283" s="1"/>
      <c r="X283" s="1"/>
      <c r="Y283" s="1"/>
      <c r="Z283" s="1"/>
    </row>
    <row r="284" ht="16.5" customHeight="1">
      <c r="A284" s="1"/>
      <c r="B284" s="1"/>
      <c r="C284" s="1"/>
      <c r="D284" s="1"/>
      <c r="E284" s="1"/>
      <c r="F284" s="1"/>
      <c r="G284" s="1"/>
      <c r="H284" s="1"/>
      <c r="I284" s="422"/>
      <c r="J284" s="422"/>
      <c r="K284" s="1"/>
      <c r="L284" s="1"/>
      <c r="M284" s="422"/>
      <c r="N284" s="422"/>
      <c r="O284" s="422"/>
      <c r="P284" s="1"/>
      <c r="Q284" s="1"/>
      <c r="R284" s="1"/>
      <c r="S284" s="1"/>
      <c r="T284" s="1"/>
      <c r="U284" s="1"/>
      <c r="V284" s="1"/>
      <c r="W284" s="1"/>
      <c r="X284" s="1"/>
      <c r="Y284" s="1"/>
      <c r="Z284" s="1"/>
    </row>
    <row r="285" ht="16.5" customHeight="1">
      <c r="A285" s="1"/>
      <c r="B285" s="1"/>
      <c r="C285" s="1"/>
      <c r="D285" s="1"/>
      <c r="E285" s="1"/>
      <c r="F285" s="1"/>
      <c r="G285" s="1"/>
      <c r="H285" s="1"/>
      <c r="I285" s="422"/>
      <c r="J285" s="422"/>
      <c r="K285" s="1"/>
      <c r="L285" s="1"/>
      <c r="M285" s="422"/>
      <c r="N285" s="422"/>
      <c r="O285" s="422"/>
      <c r="P285" s="1"/>
      <c r="Q285" s="1"/>
      <c r="R285" s="1"/>
      <c r="S285" s="1"/>
      <c r="T285" s="1"/>
      <c r="U285" s="1"/>
      <c r="V285" s="1"/>
      <c r="W285" s="1"/>
      <c r="X285" s="1"/>
      <c r="Y285" s="1"/>
      <c r="Z285" s="1"/>
    </row>
    <row r="286" ht="16.5" customHeight="1">
      <c r="A286" s="1"/>
      <c r="B286" s="1"/>
      <c r="C286" s="1"/>
      <c r="D286" s="1"/>
      <c r="E286" s="1"/>
      <c r="F286" s="1"/>
      <c r="G286" s="1"/>
      <c r="H286" s="1"/>
      <c r="I286" s="422"/>
      <c r="J286" s="422"/>
      <c r="K286" s="1"/>
      <c r="L286" s="1"/>
      <c r="M286" s="422"/>
      <c r="N286" s="422"/>
      <c r="O286" s="422"/>
      <c r="P286" s="1"/>
      <c r="Q286" s="1"/>
      <c r="R286" s="1"/>
      <c r="S286" s="1"/>
      <c r="T286" s="1"/>
      <c r="U286" s="1"/>
      <c r="V286" s="1"/>
      <c r="W286" s="1"/>
      <c r="X286" s="1"/>
      <c r="Y286" s="1"/>
      <c r="Z286" s="1"/>
    </row>
    <row r="287" ht="16.5" customHeight="1">
      <c r="A287" s="1"/>
      <c r="B287" s="1"/>
      <c r="C287" s="1"/>
      <c r="D287" s="1"/>
      <c r="E287" s="1"/>
      <c r="F287" s="1"/>
      <c r="G287" s="1"/>
      <c r="H287" s="1"/>
      <c r="I287" s="422"/>
      <c r="J287" s="422"/>
      <c r="K287" s="1"/>
      <c r="L287" s="1"/>
      <c r="M287" s="422"/>
      <c r="N287" s="422"/>
      <c r="O287" s="422"/>
      <c r="P287" s="1"/>
      <c r="Q287" s="1"/>
      <c r="R287" s="1"/>
      <c r="S287" s="1"/>
      <c r="T287" s="1"/>
      <c r="U287" s="1"/>
      <c r="V287" s="1"/>
      <c r="W287" s="1"/>
      <c r="X287" s="1"/>
      <c r="Y287" s="1"/>
      <c r="Z287" s="1"/>
    </row>
    <row r="288" ht="16.5" customHeight="1">
      <c r="A288" s="1"/>
      <c r="B288" s="1"/>
      <c r="C288" s="1"/>
      <c r="D288" s="1"/>
      <c r="E288" s="1"/>
      <c r="F288" s="1"/>
      <c r="G288" s="1"/>
      <c r="H288" s="1"/>
      <c r="I288" s="422"/>
      <c r="J288" s="422"/>
      <c r="K288" s="1"/>
      <c r="L288" s="1"/>
      <c r="M288" s="422"/>
      <c r="N288" s="422"/>
      <c r="O288" s="422"/>
      <c r="P288" s="1"/>
      <c r="Q288" s="1"/>
      <c r="R288" s="1"/>
      <c r="S288" s="1"/>
      <c r="T288" s="1"/>
      <c r="U288" s="1"/>
      <c r="V288" s="1"/>
      <c r="W288" s="1"/>
      <c r="X288" s="1"/>
      <c r="Y288" s="1"/>
      <c r="Z288" s="1"/>
    </row>
    <row r="289" ht="16.5" customHeight="1">
      <c r="A289" s="1"/>
      <c r="B289" s="1"/>
      <c r="C289" s="1"/>
      <c r="D289" s="1"/>
      <c r="E289" s="1"/>
      <c r="F289" s="1"/>
      <c r="G289" s="1"/>
      <c r="H289" s="1"/>
      <c r="I289" s="422"/>
      <c r="J289" s="422"/>
      <c r="K289" s="1"/>
      <c r="L289" s="1"/>
      <c r="M289" s="422"/>
      <c r="N289" s="422"/>
      <c r="O289" s="422"/>
      <c r="P289" s="1"/>
      <c r="Q289" s="1"/>
      <c r="R289" s="1"/>
      <c r="S289" s="1"/>
      <c r="T289" s="1"/>
      <c r="U289" s="1"/>
      <c r="V289" s="1"/>
      <c r="W289" s="1"/>
      <c r="X289" s="1"/>
      <c r="Y289" s="1"/>
      <c r="Z289" s="1"/>
    </row>
    <row r="290" ht="16.5" customHeight="1">
      <c r="A290" s="1"/>
      <c r="B290" s="1"/>
      <c r="C290" s="1"/>
      <c r="D290" s="1"/>
      <c r="E290" s="1"/>
      <c r="F290" s="1"/>
      <c r="G290" s="1"/>
      <c r="H290" s="1"/>
      <c r="I290" s="422"/>
      <c r="J290" s="422"/>
      <c r="K290" s="1"/>
      <c r="L290" s="1"/>
      <c r="M290" s="422"/>
      <c r="N290" s="422"/>
      <c r="O290" s="422"/>
      <c r="P290" s="1"/>
      <c r="Q290" s="1"/>
      <c r="R290" s="1"/>
      <c r="S290" s="1"/>
      <c r="T290" s="1"/>
      <c r="U290" s="1"/>
      <c r="V290" s="1"/>
      <c r="W290" s="1"/>
      <c r="X290" s="1"/>
      <c r="Y290" s="1"/>
      <c r="Z290" s="1"/>
    </row>
    <row r="291" ht="16.5" customHeight="1">
      <c r="A291" s="1"/>
      <c r="B291" s="1"/>
      <c r="C291" s="1"/>
      <c r="D291" s="1"/>
      <c r="E291" s="1"/>
      <c r="F291" s="1"/>
      <c r="G291" s="1"/>
      <c r="H291" s="1"/>
      <c r="I291" s="422"/>
      <c r="J291" s="422"/>
      <c r="K291" s="1"/>
      <c r="L291" s="1"/>
      <c r="M291" s="422"/>
      <c r="N291" s="422"/>
      <c r="O291" s="422"/>
      <c r="P291" s="1"/>
      <c r="Q291" s="1"/>
      <c r="R291" s="1"/>
      <c r="S291" s="1"/>
      <c r="T291" s="1"/>
      <c r="U291" s="1"/>
      <c r="V291" s="1"/>
      <c r="W291" s="1"/>
      <c r="X291" s="1"/>
      <c r="Y291" s="1"/>
      <c r="Z291" s="1"/>
    </row>
    <row r="292" ht="16.5" customHeight="1">
      <c r="A292" s="1"/>
      <c r="B292" s="1"/>
      <c r="C292" s="1"/>
      <c r="D292" s="1"/>
      <c r="E292" s="1"/>
      <c r="F292" s="1"/>
      <c r="G292" s="1"/>
      <c r="H292" s="1"/>
      <c r="I292" s="422"/>
      <c r="J292" s="422"/>
      <c r="K292" s="1"/>
      <c r="L292" s="1"/>
      <c r="M292" s="422"/>
      <c r="N292" s="422"/>
      <c r="O292" s="422"/>
      <c r="P292" s="1"/>
      <c r="Q292" s="1"/>
      <c r="R292" s="1"/>
      <c r="S292" s="1"/>
      <c r="T292" s="1"/>
      <c r="U292" s="1"/>
      <c r="V292" s="1"/>
      <c r="W292" s="1"/>
      <c r="X292" s="1"/>
      <c r="Y292" s="1"/>
      <c r="Z292" s="1"/>
    </row>
    <row r="293" ht="16.5" customHeight="1">
      <c r="A293" s="1"/>
      <c r="B293" s="1"/>
      <c r="C293" s="1"/>
      <c r="D293" s="1"/>
      <c r="E293" s="1"/>
      <c r="F293" s="1"/>
      <c r="G293" s="1"/>
      <c r="H293" s="1"/>
      <c r="I293" s="422"/>
      <c r="J293" s="422"/>
      <c r="K293" s="1"/>
      <c r="L293" s="1"/>
      <c r="M293" s="422"/>
      <c r="N293" s="422"/>
      <c r="O293" s="422"/>
      <c r="P293" s="1"/>
      <c r="Q293" s="1"/>
      <c r="R293" s="1"/>
      <c r="S293" s="1"/>
      <c r="T293" s="1"/>
      <c r="U293" s="1"/>
      <c r="V293" s="1"/>
      <c r="W293" s="1"/>
      <c r="X293" s="1"/>
      <c r="Y293" s="1"/>
      <c r="Z293" s="1"/>
    </row>
    <row r="294" ht="16.5" customHeight="1">
      <c r="A294" s="1"/>
      <c r="B294" s="1"/>
      <c r="C294" s="1"/>
      <c r="D294" s="1"/>
      <c r="E294" s="1"/>
      <c r="F294" s="1"/>
      <c r="G294" s="1"/>
      <c r="H294" s="1"/>
      <c r="I294" s="422"/>
      <c r="J294" s="422"/>
      <c r="K294" s="1"/>
      <c r="L294" s="1"/>
      <c r="M294" s="422"/>
      <c r="N294" s="422"/>
      <c r="O294" s="422"/>
      <c r="P294" s="1"/>
      <c r="Q294" s="1"/>
      <c r="R294" s="1"/>
      <c r="S294" s="1"/>
      <c r="T294" s="1"/>
      <c r="U294" s="1"/>
      <c r="V294" s="1"/>
      <c r="W294" s="1"/>
      <c r="X294" s="1"/>
      <c r="Y294" s="1"/>
      <c r="Z294" s="1"/>
    </row>
    <row r="295" ht="16.5" customHeight="1">
      <c r="A295" s="1"/>
      <c r="B295" s="1"/>
      <c r="C295" s="1"/>
      <c r="D295" s="1"/>
      <c r="E295" s="1"/>
      <c r="F295" s="1"/>
      <c r="G295" s="1"/>
      <c r="H295" s="1"/>
      <c r="I295" s="422"/>
      <c r="J295" s="422"/>
      <c r="K295" s="1"/>
      <c r="L295" s="1"/>
      <c r="M295" s="422"/>
      <c r="N295" s="422"/>
      <c r="O295" s="422"/>
      <c r="P295" s="1"/>
      <c r="Q295" s="1"/>
      <c r="R295" s="1"/>
      <c r="S295" s="1"/>
      <c r="T295" s="1"/>
      <c r="U295" s="1"/>
      <c r="V295" s="1"/>
      <c r="W295" s="1"/>
      <c r="X295" s="1"/>
      <c r="Y295" s="1"/>
      <c r="Z295" s="1"/>
    </row>
    <row r="296" ht="16.5" customHeight="1">
      <c r="A296" s="1"/>
      <c r="B296" s="1"/>
      <c r="C296" s="1"/>
      <c r="D296" s="1"/>
      <c r="E296" s="1"/>
      <c r="F296" s="1"/>
      <c r="G296" s="1"/>
      <c r="H296" s="1"/>
      <c r="I296" s="422"/>
      <c r="J296" s="422"/>
      <c r="K296" s="1"/>
      <c r="L296" s="1"/>
      <c r="M296" s="422"/>
      <c r="N296" s="422"/>
      <c r="O296" s="422"/>
      <c r="P296" s="1"/>
      <c r="Q296" s="1"/>
      <c r="R296" s="1"/>
      <c r="S296" s="1"/>
      <c r="T296" s="1"/>
      <c r="U296" s="1"/>
      <c r="V296" s="1"/>
      <c r="W296" s="1"/>
      <c r="X296" s="1"/>
      <c r="Y296" s="1"/>
      <c r="Z296" s="1"/>
    </row>
    <row r="297" ht="16.5" customHeight="1">
      <c r="A297" s="1"/>
      <c r="B297" s="1"/>
      <c r="C297" s="1"/>
      <c r="D297" s="1"/>
      <c r="E297" s="1"/>
      <c r="F297" s="1"/>
      <c r="G297" s="1"/>
      <c r="H297" s="1"/>
      <c r="I297" s="422"/>
      <c r="J297" s="422"/>
      <c r="K297" s="1"/>
      <c r="L297" s="1"/>
      <c r="M297" s="422"/>
      <c r="N297" s="422"/>
      <c r="O297" s="422"/>
      <c r="P297" s="1"/>
      <c r="Q297" s="1"/>
      <c r="R297" s="1"/>
      <c r="S297" s="1"/>
      <c r="T297" s="1"/>
      <c r="U297" s="1"/>
      <c r="V297" s="1"/>
      <c r="W297" s="1"/>
      <c r="X297" s="1"/>
      <c r="Y297" s="1"/>
      <c r="Z297" s="1"/>
    </row>
    <row r="298" ht="16.5" customHeight="1">
      <c r="A298" s="1"/>
      <c r="B298" s="1"/>
      <c r="C298" s="1"/>
      <c r="D298" s="1"/>
      <c r="E298" s="1"/>
      <c r="F298" s="1"/>
      <c r="G298" s="1"/>
      <c r="H298" s="1"/>
      <c r="I298" s="422"/>
      <c r="J298" s="422"/>
      <c r="K298" s="1"/>
      <c r="L298" s="1"/>
      <c r="M298" s="422"/>
      <c r="N298" s="422"/>
      <c r="O298" s="422"/>
      <c r="P298" s="1"/>
      <c r="Q298" s="1"/>
      <c r="R298" s="1"/>
      <c r="S298" s="1"/>
      <c r="T298" s="1"/>
      <c r="U298" s="1"/>
      <c r="V298" s="1"/>
      <c r="W298" s="1"/>
      <c r="X298" s="1"/>
      <c r="Y298" s="1"/>
      <c r="Z298" s="1"/>
    </row>
    <row r="299" ht="16.5" customHeight="1">
      <c r="A299" s="1"/>
      <c r="B299" s="1"/>
      <c r="C299" s="1"/>
      <c r="D299" s="1"/>
      <c r="E299" s="1"/>
      <c r="F299" s="1"/>
      <c r="G299" s="1"/>
      <c r="H299" s="1"/>
      <c r="I299" s="422"/>
      <c r="J299" s="422"/>
      <c r="K299" s="1"/>
      <c r="L299" s="1"/>
      <c r="M299" s="422"/>
      <c r="N299" s="422"/>
      <c r="O299" s="422"/>
      <c r="P299" s="1"/>
      <c r="Q299" s="1"/>
      <c r="R299" s="1"/>
      <c r="S299" s="1"/>
      <c r="T299" s="1"/>
      <c r="U299" s="1"/>
      <c r="V299" s="1"/>
      <c r="W299" s="1"/>
      <c r="X299" s="1"/>
      <c r="Y299" s="1"/>
      <c r="Z299" s="1"/>
    </row>
    <row r="300" ht="16.5" customHeight="1">
      <c r="A300" s="1"/>
      <c r="B300" s="1"/>
      <c r="C300" s="1"/>
      <c r="D300" s="1"/>
      <c r="E300" s="1"/>
      <c r="F300" s="1"/>
      <c r="G300" s="1"/>
      <c r="H300" s="1"/>
      <c r="I300" s="422"/>
      <c r="J300" s="422"/>
      <c r="K300" s="1"/>
      <c r="L300" s="1"/>
      <c r="M300" s="422"/>
      <c r="N300" s="422"/>
      <c r="O300" s="422"/>
      <c r="P300" s="1"/>
      <c r="Q300" s="1"/>
      <c r="R300" s="1"/>
      <c r="S300" s="1"/>
      <c r="T300" s="1"/>
      <c r="U300" s="1"/>
      <c r="V300" s="1"/>
      <c r="W300" s="1"/>
      <c r="X300" s="1"/>
      <c r="Y300" s="1"/>
      <c r="Z300" s="1"/>
    </row>
    <row r="301" ht="16.5" customHeight="1">
      <c r="A301" s="1"/>
      <c r="B301" s="1"/>
      <c r="C301" s="1"/>
      <c r="D301" s="1"/>
      <c r="E301" s="1"/>
      <c r="F301" s="1"/>
      <c r="G301" s="1"/>
      <c r="H301" s="1"/>
      <c r="I301" s="422"/>
      <c r="J301" s="422"/>
      <c r="K301" s="1"/>
      <c r="L301" s="1"/>
      <c r="M301" s="422"/>
      <c r="N301" s="422"/>
      <c r="O301" s="422"/>
      <c r="P301" s="1"/>
      <c r="Q301" s="1"/>
      <c r="R301" s="1"/>
      <c r="S301" s="1"/>
      <c r="T301" s="1"/>
      <c r="U301" s="1"/>
      <c r="V301" s="1"/>
      <c r="W301" s="1"/>
      <c r="X301" s="1"/>
      <c r="Y301" s="1"/>
      <c r="Z301" s="1"/>
    </row>
    <row r="302" ht="16.5" customHeight="1">
      <c r="A302" s="1"/>
      <c r="B302" s="1"/>
      <c r="C302" s="1"/>
      <c r="D302" s="1"/>
      <c r="E302" s="1"/>
      <c r="F302" s="1"/>
      <c r="G302" s="1"/>
      <c r="H302" s="1"/>
      <c r="I302" s="422"/>
      <c r="J302" s="422"/>
      <c r="K302" s="1"/>
      <c r="L302" s="1"/>
      <c r="M302" s="422"/>
      <c r="N302" s="422"/>
      <c r="O302" s="422"/>
      <c r="P302" s="1"/>
      <c r="Q302" s="1"/>
      <c r="R302" s="1"/>
      <c r="S302" s="1"/>
      <c r="T302" s="1"/>
      <c r="U302" s="1"/>
      <c r="V302" s="1"/>
      <c r="W302" s="1"/>
      <c r="X302" s="1"/>
      <c r="Y302" s="1"/>
      <c r="Z302" s="1"/>
    </row>
    <row r="303" ht="16.5" customHeight="1">
      <c r="A303" s="1"/>
      <c r="B303" s="1"/>
      <c r="C303" s="1"/>
      <c r="D303" s="1"/>
      <c r="E303" s="1"/>
      <c r="F303" s="1"/>
      <c r="G303" s="1"/>
      <c r="H303" s="1"/>
      <c r="I303" s="422"/>
      <c r="J303" s="422"/>
      <c r="K303" s="1"/>
      <c r="L303" s="1"/>
      <c r="M303" s="422"/>
      <c r="N303" s="422"/>
      <c r="O303" s="422"/>
      <c r="P303" s="1"/>
      <c r="Q303" s="1"/>
      <c r="R303" s="1"/>
      <c r="S303" s="1"/>
      <c r="T303" s="1"/>
      <c r="U303" s="1"/>
      <c r="V303" s="1"/>
      <c r="W303" s="1"/>
      <c r="X303" s="1"/>
      <c r="Y303" s="1"/>
      <c r="Z303" s="1"/>
    </row>
    <row r="304" ht="15.75" customHeight="1">
      <c r="A304" s="1"/>
      <c r="B304" s="1"/>
      <c r="C304" s="1"/>
      <c r="D304" s="1"/>
      <c r="E304" s="1"/>
      <c r="F304" s="1"/>
      <c r="G304" s="1"/>
      <c r="H304" s="1"/>
      <c r="I304" s="422"/>
      <c r="J304" s="422"/>
      <c r="K304" s="1"/>
      <c r="L304" s="1"/>
      <c r="M304" s="422"/>
      <c r="N304" s="422"/>
      <c r="O304" s="422"/>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77">
    <mergeCell ref="C14:D14"/>
    <mergeCell ref="E14:F14"/>
    <mergeCell ref="L14:M14"/>
    <mergeCell ref="N14:P14"/>
    <mergeCell ref="C15:P15"/>
    <mergeCell ref="L16:M16"/>
    <mergeCell ref="N16:P16"/>
    <mergeCell ref="L17:M17"/>
    <mergeCell ref="N17:P17"/>
    <mergeCell ref="L18:M18"/>
    <mergeCell ref="N18:P18"/>
    <mergeCell ref="L19:M19"/>
    <mergeCell ref="N19:P19"/>
    <mergeCell ref="C20:P20"/>
    <mergeCell ref="C10:D10"/>
    <mergeCell ref="C12:D12"/>
    <mergeCell ref="C9:D9"/>
    <mergeCell ref="C16:D17"/>
    <mergeCell ref="E16:F17"/>
    <mergeCell ref="G16:K16"/>
    <mergeCell ref="G17:K17"/>
    <mergeCell ref="C18:D18"/>
    <mergeCell ref="E18:F18"/>
    <mergeCell ref="G18:K18"/>
    <mergeCell ref="C19:D19"/>
    <mergeCell ref="E19:F19"/>
    <mergeCell ref="G19:K19"/>
    <mergeCell ref="C21:D21"/>
    <mergeCell ref="E21:F21"/>
    <mergeCell ref="C26:D31"/>
    <mergeCell ref="E26:F31"/>
    <mergeCell ref="L6:M7"/>
    <mergeCell ref="N6:P7"/>
    <mergeCell ref="L9:M9"/>
    <mergeCell ref="N9:P9"/>
    <mergeCell ref="D7:F7"/>
    <mergeCell ref="C8:P8"/>
    <mergeCell ref="B2:N3"/>
    <mergeCell ref="C4:K4"/>
    <mergeCell ref="L4:M4"/>
    <mergeCell ref="N4:P4"/>
    <mergeCell ref="C5:P5"/>
    <mergeCell ref="B6:B7"/>
    <mergeCell ref="D6:F6"/>
    <mergeCell ref="E10:I10"/>
    <mergeCell ref="J10:K10"/>
    <mergeCell ref="L10:M10"/>
    <mergeCell ref="N10:P10"/>
    <mergeCell ref="C11:D11"/>
    <mergeCell ref="E11:I11"/>
    <mergeCell ref="L11:M11"/>
    <mergeCell ref="N11:P11"/>
    <mergeCell ref="E12:I12"/>
    <mergeCell ref="J12:K12"/>
    <mergeCell ref="L12:M12"/>
    <mergeCell ref="N12:P12"/>
    <mergeCell ref="C13:P13"/>
    <mergeCell ref="L24:M24"/>
    <mergeCell ref="L25:M25"/>
    <mergeCell ref="L26:M26"/>
    <mergeCell ref="C32:P32"/>
    <mergeCell ref="L44:M44"/>
    <mergeCell ref="L45:M45"/>
    <mergeCell ref="L46:M46"/>
    <mergeCell ref="L47:M47"/>
    <mergeCell ref="L48:M48"/>
    <mergeCell ref="L49:M49"/>
    <mergeCell ref="L50:M50"/>
    <mergeCell ref="L51:M51"/>
    <mergeCell ref="L52:M52"/>
    <mergeCell ref="L53:M53"/>
    <mergeCell ref="L54:M54"/>
    <mergeCell ref="L55:M55"/>
    <mergeCell ref="L56:M56"/>
    <mergeCell ref="L57:M57"/>
    <mergeCell ref="L58:M58"/>
    <mergeCell ref="L59:M59"/>
    <mergeCell ref="L60:M60"/>
    <mergeCell ref="L61:M61"/>
    <mergeCell ref="L62:M62"/>
    <mergeCell ref="L63:M63"/>
    <mergeCell ref="L64:M64"/>
    <mergeCell ref="L65:M65"/>
    <mergeCell ref="L66:M66"/>
    <mergeCell ref="L67:M67"/>
    <mergeCell ref="L68:M68"/>
    <mergeCell ref="L69:M69"/>
    <mergeCell ref="L70:M70"/>
    <mergeCell ref="L71:M71"/>
    <mergeCell ref="L72:M72"/>
    <mergeCell ref="L73:M73"/>
    <mergeCell ref="L74:M75"/>
    <mergeCell ref="L77:M77"/>
    <mergeCell ref="L78:M78"/>
    <mergeCell ref="L79:M79"/>
    <mergeCell ref="L80:M80"/>
    <mergeCell ref="L81:M81"/>
    <mergeCell ref="L82:M82"/>
    <mergeCell ref="L83:M83"/>
    <mergeCell ref="L84:M84"/>
    <mergeCell ref="L85:M85"/>
    <mergeCell ref="L86:M86"/>
    <mergeCell ref="L87:M87"/>
    <mergeCell ref="L95:M95"/>
    <mergeCell ref="L96:M96"/>
    <mergeCell ref="L97:M97"/>
    <mergeCell ref="L98:M98"/>
    <mergeCell ref="L99:M99"/>
    <mergeCell ref="L100:M100"/>
    <mergeCell ref="L101:M101"/>
    <mergeCell ref="L102:M102"/>
    <mergeCell ref="L88:M88"/>
    <mergeCell ref="L89:M89"/>
    <mergeCell ref="L90:M90"/>
    <mergeCell ref="L91:M91"/>
    <mergeCell ref="L92:M92"/>
    <mergeCell ref="L93:M93"/>
    <mergeCell ref="L94:M94"/>
    <mergeCell ref="N52:P52"/>
    <mergeCell ref="N53:P53"/>
    <mergeCell ref="N54:P54"/>
    <mergeCell ref="N55:P55"/>
    <mergeCell ref="N56:P56"/>
    <mergeCell ref="N57:P57"/>
    <mergeCell ref="N58:P58"/>
    <mergeCell ref="N59:P59"/>
    <mergeCell ref="N60:P60"/>
    <mergeCell ref="N61:P61"/>
    <mergeCell ref="N62:P62"/>
    <mergeCell ref="N63:P63"/>
    <mergeCell ref="N64:P64"/>
    <mergeCell ref="N65:P65"/>
    <mergeCell ref="N66:P66"/>
    <mergeCell ref="N67:P67"/>
    <mergeCell ref="N68:P68"/>
    <mergeCell ref="N69:P69"/>
    <mergeCell ref="N70:P70"/>
    <mergeCell ref="N71:P71"/>
    <mergeCell ref="N72:P72"/>
    <mergeCell ref="N73:P73"/>
    <mergeCell ref="N74:P74"/>
    <mergeCell ref="N75:P75"/>
    <mergeCell ref="E76:P76"/>
    <mergeCell ref="N77:P77"/>
    <mergeCell ref="N78:P78"/>
    <mergeCell ref="N79:P79"/>
    <mergeCell ref="N80:P80"/>
    <mergeCell ref="N81:P81"/>
    <mergeCell ref="N82:P82"/>
    <mergeCell ref="N83:P83"/>
    <mergeCell ref="N84:P84"/>
    <mergeCell ref="N85:P85"/>
    <mergeCell ref="N86:P86"/>
    <mergeCell ref="N87:P87"/>
    <mergeCell ref="N88:P88"/>
    <mergeCell ref="N89:P89"/>
    <mergeCell ref="N90:P90"/>
    <mergeCell ref="N91:P91"/>
    <mergeCell ref="N92:P92"/>
    <mergeCell ref="N93:P93"/>
    <mergeCell ref="N101:P101"/>
    <mergeCell ref="N102:P102"/>
    <mergeCell ref="C103:P103"/>
    <mergeCell ref="C104:P104"/>
    <mergeCell ref="N94:P94"/>
    <mergeCell ref="N95:P95"/>
    <mergeCell ref="N96:P96"/>
    <mergeCell ref="N97:P97"/>
    <mergeCell ref="N98:P98"/>
    <mergeCell ref="N99:P99"/>
    <mergeCell ref="N100:P100"/>
    <mergeCell ref="L21:M21"/>
    <mergeCell ref="N21:P21"/>
    <mergeCell ref="L22:M22"/>
    <mergeCell ref="N22:P22"/>
    <mergeCell ref="L23:M23"/>
    <mergeCell ref="N23:P23"/>
    <mergeCell ref="N24:P24"/>
    <mergeCell ref="N25:P25"/>
    <mergeCell ref="N26:P26"/>
    <mergeCell ref="L27:M27"/>
    <mergeCell ref="N27:P27"/>
    <mergeCell ref="L28:M28"/>
    <mergeCell ref="N28:P28"/>
    <mergeCell ref="N29:P29"/>
    <mergeCell ref="L29:M29"/>
    <mergeCell ref="L30:M30"/>
    <mergeCell ref="L31:M31"/>
    <mergeCell ref="L33:M33"/>
    <mergeCell ref="L34:M34"/>
    <mergeCell ref="L35:M35"/>
    <mergeCell ref="L36:M36"/>
    <mergeCell ref="N30:P30"/>
    <mergeCell ref="N31:P31"/>
    <mergeCell ref="N33:P33"/>
    <mergeCell ref="N34:P34"/>
    <mergeCell ref="N35:P35"/>
    <mergeCell ref="N36:P36"/>
    <mergeCell ref="N37:P37"/>
    <mergeCell ref="L37:M37"/>
    <mergeCell ref="L38:M38"/>
    <mergeCell ref="L39:M39"/>
    <mergeCell ref="L40:M40"/>
    <mergeCell ref="L41:M41"/>
    <mergeCell ref="L42:M42"/>
    <mergeCell ref="L43:M43"/>
    <mergeCell ref="N38:P38"/>
    <mergeCell ref="N39:P39"/>
    <mergeCell ref="N40:P40"/>
    <mergeCell ref="N41:P41"/>
    <mergeCell ref="N42:P42"/>
    <mergeCell ref="N43:P43"/>
    <mergeCell ref="N44:P44"/>
    <mergeCell ref="N45:P45"/>
    <mergeCell ref="N46:P46"/>
    <mergeCell ref="N47:P47"/>
    <mergeCell ref="N48:P48"/>
    <mergeCell ref="N49:P49"/>
    <mergeCell ref="N50:P50"/>
    <mergeCell ref="N51:P51"/>
    <mergeCell ref="G38:K39"/>
    <mergeCell ref="C40:D51"/>
    <mergeCell ref="E40:F51"/>
    <mergeCell ref="G40:K45"/>
    <mergeCell ref="G46:K51"/>
    <mergeCell ref="B8:B101"/>
    <mergeCell ref="C77:D98"/>
    <mergeCell ref="C99:D100"/>
    <mergeCell ref="C101:D101"/>
    <mergeCell ref="B102:B104"/>
    <mergeCell ref="C102:D102"/>
    <mergeCell ref="G73:K75"/>
    <mergeCell ref="G77:K80"/>
    <mergeCell ref="G81:H92"/>
    <mergeCell ref="I81:K85"/>
    <mergeCell ref="I86:K90"/>
    <mergeCell ref="I91:K92"/>
    <mergeCell ref="G93:H98"/>
    <mergeCell ref="I93:K98"/>
    <mergeCell ref="E99:F100"/>
    <mergeCell ref="G99:K100"/>
    <mergeCell ref="E101:F101"/>
    <mergeCell ref="G101:K101"/>
    <mergeCell ref="E102:F102"/>
    <mergeCell ref="G102:K102"/>
    <mergeCell ref="G6:H7"/>
    <mergeCell ref="I6:K7"/>
    <mergeCell ref="E9:I9"/>
    <mergeCell ref="J9:K9"/>
    <mergeCell ref="J11:K11"/>
    <mergeCell ref="G14:K14"/>
    <mergeCell ref="E77:F98"/>
    <mergeCell ref="G21:K21"/>
    <mergeCell ref="C22:D25"/>
    <mergeCell ref="E22:F22"/>
    <mergeCell ref="G22:K22"/>
    <mergeCell ref="E23:F24"/>
    <mergeCell ref="G23:K24"/>
    <mergeCell ref="E25:F25"/>
    <mergeCell ref="G25:K25"/>
    <mergeCell ref="G26:K31"/>
    <mergeCell ref="C33:D37"/>
    <mergeCell ref="E33:F37"/>
    <mergeCell ref="G33:K37"/>
    <mergeCell ref="C38:D39"/>
    <mergeCell ref="E38:F39"/>
    <mergeCell ref="C52:D72"/>
    <mergeCell ref="E52:F72"/>
    <mergeCell ref="G52:K55"/>
    <mergeCell ref="G56:H67"/>
    <mergeCell ref="I56:K60"/>
    <mergeCell ref="I61:K65"/>
    <mergeCell ref="I66:K67"/>
    <mergeCell ref="G68:H72"/>
    <mergeCell ref="I68:K72"/>
    <mergeCell ref="C73:D76"/>
    <mergeCell ref="E73:F75"/>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29"/>
    <col customWidth="1" min="2" max="2" width="13.0"/>
    <col customWidth="1" min="3" max="3" width="16.71"/>
    <col customWidth="1" min="4" max="5" width="13.0"/>
    <col customWidth="1" min="6" max="6" width="4.43"/>
    <col customWidth="1" min="7" max="7" width="13.0"/>
    <col customWidth="1" min="8" max="8" width="12.86"/>
    <col customWidth="1" min="9" max="9" width="23.71"/>
    <col customWidth="1" min="10" max="10" width="48.43"/>
    <col customWidth="1" min="11" max="11" width="8.71"/>
    <col customWidth="1" min="12" max="12" width="12.43"/>
    <col customWidth="1" min="13" max="28" width="13.0"/>
    <col customWidth="1" min="29" max="32" width="8.71"/>
  </cols>
  <sheetData>
    <row r="1" ht="16.5" customHeight="1">
      <c r="A1" s="2"/>
      <c r="B1" s="1"/>
      <c r="C1" s="4"/>
      <c r="D1" s="4"/>
      <c r="E1" s="1"/>
      <c r="F1" s="1"/>
      <c r="G1" s="1"/>
      <c r="H1" s="8"/>
      <c r="I1" s="8"/>
      <c r="J1" s="10"/>
      <c r="K1" s="1"/>
      <c r="L1" s="1"/>
      <c r="M1" s="1"/>
      <c r="N1" s="1"/>
      <c r="O1" s="1"/>
      <c r="P1" s="1"/>
      <c r="Q1" s="1"/>
      <c r="R1" s="1"/>
      <c r="S1" s="1"/>
      <c r="T1" s="1"/>
      <c r="U1" s="1"/>
      <c r="V1" s="1"/>
      <c r="W1" s="1"/>
      <c r="X1" s="1"/>
      <c r="Y1" s="1"/>
      <c r="Z1" s="1"/>
      <c r="AA1" s="1"/>
      <c r="AB1" s="1"/>
      <c r="AC1" s="1"/>
      <c r="AD1" s="1"/>
      <c r="AE1" s="1"/>
      <c r="AF1" s="1"/>
    </row>
    <row r="2" ht="16.5" customHeight="1">
      <c r="A2" s="1"/>
      <c r="B2" s="13" t="s">
        <v>8</v>
      </c>
      <c r="C2" s="16" t="s">
        <v>9</v>
      </c>
      <c r="D2" s="19" t="s">
        <v>10</v>
      </c>
      <c r="E2" s="2"/>
      <c r="F2" s="1"/>
      <c r="G2" s="21" t="s">
        <v>11</v>
      </c>
      <c r="H2" s="23" t="s">
        <v>12</v>
      </c>
      <c r="I2" s="25"/>
      <c r="J2" s="26" t="s">
        <v>14</v>
      </c>
      <c r="K2" s="27" t="s">
        <v>15</v>
      </c>
      <c r="L2" s="31" t="s">
        <v>17</v>
      </c>
      <c r="M2" s="34"/>
      <c r="N2" s="34"/>
      <c r="O2" s="34"/>
      <c r="P2" s="34"/>
      <c r="Q2" s="34"/>
      <c r="R2" s="34"/>
      <c r="S2" s="34"/>
      <c r="T2" s="34"/>
      <c r="U2" s="34"/>
      <c r="V2" s="34"/>
      <c r="W2" s="34"/>
      <c r="X2" s="34"/>
      <c r="Y2" s="34"/>
      <c r="Z2" s="34"/>
      <c r="AA2" s="34"/>
      <c r="AB2" s="25"/>
      <c r="AC2" s="38"/>
      <c r="AD2" s="38"/>
      <c r="AE2" s="38"/>
      <c r="AF2" s="38"/>
    </row>
    <row r="3" ht="16.5" customHeight="1">
      <c r="A3" s="1"/>
      <c r="B3" s="43"/>
      <c r="C3" s="46"/>
      <c r="D3" s="49"/>
      <c r="E3" s="52"/>
      <c r="F3" s="1"/>
      <c r="G3" s="53" t="s">
        <v>25</v>
      </c>
      <c r="H3" s="55" t="s">
        <v>27</v>
      </c>
      <c r="I3" s="56"/>
      <c r="J3" s="58" t="s">
        <v>29</v>
      </c>
      <c r="K3" s="60">
        <v>4.0</v>
      </c>
      <c r="L3" s="61"/>
      <c r="M3" s="2"/>
      <c r="N3" s="2"/>
      <c r="O3" s="2"/>
      <c r="P3" s="1"/>
      <c r="Q3" s="1"/>
      <c r="R3" s="1"/>
      <c r="S3" s="1"/>
      <c r="T3" s="1"/>
      <c r="U3" s="1"/>
      <c r="V3" s="1"/>
      <c r="W3" s="1"/>
      <c r="X3" s="1"/>
      <c r="Y3" s="1"/>
      <c r="Z3" s="1"/>
      <c r="AA3" s="1"/>
      <c r="AB3" s="1"/>
      <c r="AC3" s="1"/>
      <c r="AD3" s="1"/>
      <c r="AE3" s="1"/>
      <c r="AF3" s="1"/>
    </row>
    <row r="4" ht="16.5" customHeight="1">
      <c r="A4" s="1"/>
      <c r="B4" s="65"/>
      <c r="C4" s="66"/>
      <c r="D4" s="67"/>
      <c r="E4" s="52"/>
      <c r="F4" s="1"/>
      <c r="G4" s="70"/>
      <c r="I4" s="56"/>
      <c r="J4" s="58" t="s">
        <v>36</v>
      </c>
      <c r="K4" s="71">
        <v>6.0</v>
      </c>
      <c r="L4" s="61"/>
      <c r="M4" s="2"/>
      <c r="N4" s="2"/>
      <c r="O4" s="2"/>
      <c r="P4" s="2"/>
      <c r="Q4" s="2"/>
      <c r="R4" s="1"/>
      <c r="S4" s="1"/>
      <c r="T4" s="1"/>
      <c r="U4" s="1"/>
      <c r="V4" s="1"/>
      <c r="W4" s="1"/>
      <c r="X4" s="1"/>
      <c r="Y4" s="1"/>
      <c r="Z4" s="1"/>
      <c r="AA4" s="1"/>
      <c r="AB4" s="1"/>
      <c r="AC4" s="1"/>
      <c r="AD4" s="1"/>
      <c r="AE4" s="1"/>
      <c r="AF4" s="1"/>
    </row>
    <row r="5" ht="16.5" customHeight="1">
      <c r="A5" s="1"/>
      <c r="B5" s="74"/>
      <c r="C5" s="46"/>
      <c r="D5" s="49"/>
      <c r="E5" s="52"/>
      <c r="F5" s="1"/>
      <c r="G5" s="77" t="s">
        <v>41</v>
      </c>
      <c r="H5" s="76"/>
      <c r="I5" s="78"/>
      <c r="J5" s="58" t="s">
        <v>43</v>
      </c>
      <c r="K5" s="80">
        <v>10.0</v>
      </c>
      <c r="L5" s="81"/>
      <c r="M5" s="83"/>
      <c r="N5" s="83"/>
      <c r="O5" s="83"/>
      <c r="P5" s="84"/>
      <c r="Q5" s="86"/>
      <c r="R5" s="87"/>
      <c r="S5" s="87"/>
      <c r="T5" s="87"/>
      <c r="U5" s="87"/>
      <c r="V5" s="1"/>
      <c r="W5" s="1"/>
      <c r="X5" s="1"/>
      <c r="Y5" s="1"/>
      <c r="Z5" s="1"/>
      <c r="AA5" s="1"/>
      <c r="AB5" s="1"/>
      <c r="AC5" s="1"/>
      <c r="AD5" s="1"/>
      <c r="AE5" s="1"/>
      <c r="AF5" s="1"/>
    </row>
    <row r="6" ht="16.5" customHeight="1">
      <c r="A6" s="1"/>
      <c r="B6" s="91"/>
      <c r="C6" s="67"/>
      <c r="D6" s="93"/>
      <c r="E6" s="52"/>
      <c r="F6" s="1"/>
      <c r="G6" s="53" t="s">
        <v>53</v>
      </c>
      <c r="H6" s="96" t="s">
        <v>55</v>
      </c>
      <c r="I6" s="56"/>
      <c r="J6" s="99" t="s">
        <v>56</v>
      </c>
      <c r="K6" s="60">
        <v>12.0</v>
      </c>
      <c r="L6" s="61"/>
      <c r="M6" s="2"/>
      <c r="N6" s="2"/>
      <c r="O6" s="2"/>
      <c r="P6" s="2"/>
      <c r="Q6" s="2"/>
      <c r="R6" s="2"/>
      <c r="S6" s="2"/>
      <c r="T6" s="4"/>
      <c r="U6" s="2"/>
      <c r="V6" s="2"/>
      <c r="W6" s="2"/>
      <c r="X6" s="1"/>
      <c r="Y6" s="1"/>
      <c r="Z6" s="1"/>
      <c r="AA6" s="1"/>
      <c r="AB6" s="1"/>
      <c r="AC6" s="1"/>
      <c r="AD6" s="1"/>
      <c r="AE6" s="1"/>
      <c r="AF6" s="1"/>
    </row>
    <row r="7" ht="16.5" customHeight="1">
      <c r="A7" s="1"/>
      <c r="B7" s="103"/>
      <c r="C7" s="105"/>
      <c r="D7" s="107"/>
      <c r="E7" s="1"/>
      <c r="F7" s="1"/>
      <c r="G7" s="110"/>
      <c r="H7" s="112"/>
      <c r="I7" s="56"/>
      <c r="J7" s="58" t="s">
        <v>67</v>
      </c>
      <c r="K7" s="71">
        <v>4.0</v>
      </c>
      <c r="L7" s="61"/>
      <c r="M7" s="4"/>
      <c r="N7" s="2"/>
      <c r="O7" s="2"/>
      <c r="P7" s="1"/>
      <c r="Q7" s="1"/>
      <c r="R7" s="1"/>
      <c r="S7" s="1"/>
      <c r="T7" s="1"/>
      <c r="U7" s="1"/>
      <c r="V7" s="1"/>
      <c r="W7" s="1"/>
      <c r="X7" s="1"/>
      <c r="Y7" s="1"/>
      <c r="Z7" s="1"/>
      <c r="AA7" s="1"/>
      <c r="AB7" s="1"/>
      <c r="AC7" s="1"/>
      <c r="AD7" s="1"/>
      <c r="AE7" s="1"/>
      <c r="AF7" s="1"/>
    </row>
    <row r="8" ht="16.5" customHeight="1">
      <c r="A8" s="1"/>
      <c r="B8" s="103"/>
      <c r="C8" s="116"/>
      <c r="D8" s="117"/>
      <c r="E8" s="52"/>
      <c r="F8" s="1"/>
      <c r="G8" s="110"/>
      <c r="H8" s="112"/>
      <c r="I8" s="56"/>
      <c r="J8" s="58" t="s">
        <v>73</v>
      </c>
      <c r="K8" s="71">
        <v>16.0</v>
      </c>
      <c r="L8" s="61"/>
      <c r="M8" s="2"/>
      <c r="N8" s="4"/>
      <c r="O8" s="4"/>
      <c r="P8" s="2"/>
      <c r="Q8" s="2"/>
      <c r="R8" s="2"/>
      <c r="S8" s="2"/>
      <c r="T8" s="2"/>
      <c r="U8" s="2"/>
      <c r="V8" s="2"/>
      <c r="W8" s="2"/>
      <c r="X8" s="2"/>
      <c r="Y8" s="2"/>
      <c r="Z8" s="2"/>
      <c r="AA8" s="2"/>
      <c r="AB8" s="1"/>
      <c r="AC8" s="123"/>
      <c r="AD8" s="1"/>
      <c r="AE8" s="125"/>
      <c r="AF8" s="125"/>
    </row>
    <row r="9" ht="16.5" customHeight="1">
      <c r="A9" s="1"/>
      <c r="B9" s="126"/>
      <c r="C9" s="46"/>
      <c r="D9" s="46"/>
      <c r="E9" s="52"/>
      <c r="F9" s="1"/>
      <c r="G9" s="110"/>
      <c r="H9" s="112"/>
      <c r="I9" s="56"/>
      <c r="J9" s="58" t="s">
        <v>78</v>
      </c>
      <c r="K9" s="71">
        <v>1.0</v>
      </c>
      <c r="L9" s="61"/>
      <c r="M9" s="125"/>
      <c r="N9" s="125"/>
      <c r="O9" s="1"/>
      <c r="P9" s="1"/>
      <c r="Q9" s="1"/>
      <c r="R9" s="1"/>
      <c r="S9" s="1"/>
      <c r="T9" s="1"/>
      <c r="U9" s="1"/>
      <c r="V9" s="1"/>
      <c r="W9" s="1"/>
      <c r="X9" s="1"/>
      <c r="Y9" s="1"/>
      <c r="Z9" s="1"/>
      <c r="AA9" s="1"/>
      <c r="AB9" s="1"/>
      <c r="AC9" s="1"/>
      <c r="AD9" s="1"/>
      <c r="AE9" s="1"/>
      <c r="AF9" s="1"/>
    </row>
    <row r="10" ht="16.5" customHeight="1">
      <c r="A10" s="1"/>
      <c r="B10" s="129"/>
      <c r="C10" s="130"/>
      <c r="D10" s="132"/>
      <c r="E10" s="52"/>
      <c r="F10" s="1"/>
      <c r="G10" s="70"/>
      <c r="H10" s="133"/>
      <c r="I10" s="78"/>
      <c r="J10" s="134" t="s">
        <v>86</v>
      </c>
      <c r="K10" s="80">
        <v>2.0</v>
      </c>
      <c r="L10" s="61"/>
      <c r="M10" s="135"/>
      <c r="N10" s="136"/>
      <c r="O10" s="1"/>
      <c r="P10" s="1"/>
      <c r="Q10" s="1"/>
      <c r="R10" s="1"/>
      <c r="S10" s="1"/>
      <c r="T10" s="1"/>
      <c r="U10" s="1"/>
      <c r="V10" s="1"/>
      <c r="W10" s="1"/>
      <c r="X10" s="1"/>
      <c r="Y10" s="1"/>
      <c r="Z10" s="1"/>
      <c r="AA10" s="1"/>
      <c r="AB10" s="1"/>
      <c r="AC10" s="1"/>
      <c r="AD10" s="1"/>
      <c r="AE10" s="1"/>
      <c r="AF10" s="1"/>
    </row>
    <row r="11" ht="16.5" customHeight="1">
      <c r="A11" s="1"/>
      <c r="B11" s="65"/>
      <c r="C11" s="138"/>
      <c r="D11" s="139"/>
      <c r="E11" s="1"/>
      <c r="F11" s="1"/>
      <c r="G11" s="77" t="s">
        <v>92</v>
      </c>
      <c r="H11" s="55" t="s">
        <v>94</v>
      </c>
      <c r="I11" s="56"/>
      <c r="J11" s="99" t="s">
        <v>95</v>
      </c>
      <c r="K11" s="142">
        <v>5.0</v>
      </c>
      <c r="L11" s="125"/>
      <c r="M11" s="2"/>
      <c r="N11" s="2"/>
      <c r="O11" s="2"/>
      <c r="P11" s="2"/>
      <c r="Q11" s="2"/>
      <c r="R11" s="1"/>
      <c r="S11" s="1"/>
      <c r="T11" s="1"/>
      <c r="U11" s="1"/>
      <c r="V11" s="1"/>
      <c r="W11" s="1"/>
      <c r="X11" s="1"/>
      <c r="Y11" s="1"/>
      <c r="Z11" s="1"/>
      <c r="AA11" s="1"/>
      <c r="AB11" s="1"/>
      <c r="AC11" s="1"/>
      <c r="AD11" s="1"/>
      <c r="AE11" s="1"/>
      <c r="AF11" s="1"/>
    </row>
    <row r="12" ht="16.5" customHeight="1">
      <c r="A12" s="1"/>
      <c r="B12" s="144"/>
      <c r="C12" s="67"/>
      <c r="D12" s="132"/>
      <c r="E12" s="1"/>
      <c r="F12" s="1"/>
      <c r="G12" s="110"/>
      <c r="I12" s="56"/>
      <c r="J12" s="58" t="s">
        <v>102</v>
      </c>
      <c r="K12" s="145">
        <v>1.0</v>
      </c>
      <c r="L12" s="135"/>
      <c r="M12" s="125"/>
      <c r="N12" s="125"/>
      <c r="O12" s="1"/>
      <c r="P12" s="1"/>
      <c r="Q12" s="1"/>
      <c r="R12" s="1"/>
      <c r="S12" s="1"/>
      <c r="T12" s="1"/>
      <c r="U12" s="1"/>
      <c r="V12" s="1"/>
      <c r="W12" s="1"/>
      <c r="X12" s="1"/>
      <c r="Y12" s="1"/>
      <c r="Z12" s="1"/>
      <c r="AA12" s="1"/>
      <c r="AB12" s="1"/>
      <c r="AC12" s="1"/>
      <c r="AD12" s="1"/>
      <c r="AE12" s="1"/>
      <c r="AF12" s="1"/>
    </row>
    <row r="13" ht="16.5" customHeight="1">
      <c r="A13" s="1"/>
      <c r="B13" s="74"/>
      <c r="C13" s="148"/>
      <c r="D13" s="132"/>
      <c r="E13" s="1"/>
      <c r="F13" s="1"/>
      <c r="G13" s="110"/>
      <c r="I13" s="56"/>
      <c r="J13" s="99" t="s">
        <v>108</v>
      </c>
      <c r="K13" s="142">
        <v>7.0</v>
      </c>
      <c r="L13" s="125"/>
      <c r="M13" s="2"/>
      <c r="N13" s="2"/>
      <c r="O13" s="2"/>
      <c r="P13" s="2"/>
      <c r="Q13" s="2"/>
      <c r="R13" s="2"/>
      <c r="S13" s="2"/>
      <c r="T13" s="2"/>
      <c r="U13" s="1"/>
      <c r="V13" s="2"/>
      <c r="W13" s="1"/>
      <c r="X13" s="1"/>
      <c r="Y13" s="1"/>
      <c r="Z13" s="1"/>
      <c r="AA13" s="1"/>
      <c r="AB13" s="1"/>
      <c r="AC13" s="1"/>
      <c r="AD13" s="1"/>
      <c r="AE13" s="1"/>
      <c r="AF13" s="1"/>
    </row>
    <row r="14" ht="16.5" customHeight="1">
      <c r="A14" s="1"/>
      <c r="B14" s="153"/>
      <c r="C14" s="130"/>
      <c r="D14" s="155"/>
      <c r="E14" s="1"/>
      <c r="F14" s="1"/>
      <c r="G14" s="110"/>
      <c r="I14" s="56"/>
      <c r="J14" s="134" t="s">
        <v>112</v>
      </c>
      <c r="K14" s="145">
        <v>1.0</v>
      </c>
      <c r="L14" s="61"/>
      <c r="M14" s="1"/>
      <c r="N14" s="156"/>
      <c r="O14" s="1"/>
      <c r="P14" s="1"/>
      <c r="Q14" s="1"/>
      <c r="R14" s="1"/>
      <c r="S14" s="1"/>
      <c r="T14" s="1"/>
      <c r="U14" s="1"/>
      <c r="V14" s="1"/>
      <c r="W14" s="1"/>
      <c r="X14" s="1"/>
      <c r="Y14" s="1"/>
      <c r="Z14" s="1"/>
      <c r="AA14" s="1"/>
      <c r="AB14" s="1"/>
      <c r="AC14" s="1"/>
      <c r="AD14" s="1"/>
      <c r="AE14" s="1"/>
      <c r="AF14" s="1"/>
    </row>
    <row r="15" ht="16.5" customHeight="1">
      <c r="A15" s="1"/>
      <c r="B15" s="103"/>
      <c r="C15" s="46"/>
      <c r="D15" s="117"/>
      <c r="E15" s="52"/>
      <c r="F15" s="1"/>
      <c r="G15" s="110"/>
      <c r="I15" s="56"/>
      <c r="J15" s="58" t="s">
        <v>116</v>
      </c>
      <c r="K15" s="142">
        <v>8.0</v>
      </c>
      <c r="L15" s="2"/>
      <c r="M15" s="2"/>
      <c r="N15" s="156"/>
      <c r="O15" s="2"/>
      <c r="P15" s="2"/>
      <c r="Q15" s="2"/>
      <c r="R15" s="2"/>
      <c r="S15" s="2"/>
      <c r="T15" s="1"/>
      <c r="U15" s="1"/>
      <c r="V15" s="1"/>
      <c r="W15" s="1"/>
      <c r="X15" s="1"/>
      <c r="Y15" s="1"/>
      <c r="Z15" s="1"/>
      <c r="AA15" s="1"/>
      <c r="AB15" s="1"/>
      <c r="AC15" s="1"/>
      <c r="AD15" s="1"/>
      <c r="AE15" s="1"/>
      <c r="AF15" s="1"/>
    </row>
    <row r="16" ht="16.5" customHeight="1">
      <c r="A16" s="1"/>
      <c r="B16" s="74"/>
      <c r="C16" s="160"/>
      <c r="D16" s="161"/>
      <c r="E16" s="52"/>
      <c r="F16" s="1"/>
      <c r="G16" s="110"/>
      <c r="I16" s="56"/>
      <c r="J16" s="134" t="s">
        <v>120</v>
      </c>
      <c r="K16" s="145">
        <v>1.0</v>
      </c>
      <c r="L16" s="61"/>
      <c r="M16" s="1"/>
      <c r="N16" s="1"/>
      <c r="O16" s="1"/>
      <c r="P16" s="1"/>
      <c r="Q16" s="1"/>
      <c r="R16" s="1"/>
      <c r="S16" s="1"/>
      <c r="T16" s="1"/>
      <c r="U16" s="1"/>
      <c r="V16" s="1"/>
      <c r="W16" s="1"/>
      <c r="X16" s="1"/>
      <c r="Y16" s="1"/>
      <c r="Z16" s="1"/>
      <c r="AA16" s="1"/>
      <c r="AB16" s="1"/>
      <c r="AC16" s="1"/>
      <c r="AD16" s="1"/>
      <c r="AE16" s="1"/>
      <c r="AF16" s="1"/>
    </row>
    <row r="17" ht="16.5" customHeight="1">
      <c r="A17" s="1"/>
      <c r="B17" s="91"/>
      <c r="C17" s="165"/>
      <c r="D17" s="167"/>
      <c r="E17" s="52"/>
      <c r="F17" s="1"/>
      <c r="G17" s="110"/>
      <c r="I17" s="56"/>
      <c r="J17" s="58" t="s">
        <v>123</v>
      </c>
      <c r="K17" s="142">
        <v>5.0</v>
      </c>
      <c r="L17" s="2"/>
      <c r="M17" s="2"/>
      <c r="N17" s="2"/>
      <c r="O17" s="2"/>
      <c r="P17" s="2"/>
      <c r="Q17" s="2"/>
      <c r="R17" s="2"/>
      <c r="S17" s="2"/>
      <c r="T17" s="2"/>
      <c r="U17" s="2"/>
      <c r="V17" s="2"/>
      <c r="W17" s="2"/>
      <c r="X17" s="1"/>
      <c r="Y17" s="1"/>
      <c r="Z17" s="1"/>
      <c r="AA17" s="1"/>
      <c r="AB17" s="1"/>
      <c r="AC17" s="1"/>
      <c r="AD17" s="1"/>
      <c r="AE17" s="1"/>
      <c r="AF17" s="1"/>
    </row>
    <row r="18" ht="16.5" customHeight="1">
      <c r="A18" s="1"/>
      <c r="B18" s="129"/>
      <c r="C18" s="67"/>
      <c r="D18" s="155"/>
      <c r="E18" s="1"/>
      <c r="F18" s="1"/>
      <c r="G18" s="110"/>
      <c r="I18" s="56"/>
      <c r="J18" s="134" t="s">
        <v>127</v>
      </c>
      <c r="K18" s="145">
        <v>1.0</v>
      </c>
      <c r="L18" s="61"/>
      <c r="M18" s="1"/>
      <c r="N18" s="1"/>
      <c r="O18" s="1"/>
      <c r="P18" s="1"/>
      <c r="Q18" s="1"/>
      <c r="R18" s="1"/>
      <c r="S18" s="1"/>
      <c r="T18" s="1"/>
      <c r="U18" s="1"/>
      <c r="V18" s="1"/>
      <c r="W18" s="1"/>
      <c r="X18" s="1"/>
      <c r="Y18" s="1"/>
      <c r="Z18" s="1"/>
      <c r="AA18" s="1"/>
      <c r="AB18" s="1"/>
      <c r="AC18" s="1"/>
      <c r="AD18" s="1"/>
      <c r="AE18" s="1"/>
      <c r="AF18" s="1"/>
    </row>
    <row r="19" ht="16.5" customHeight="1">
      <c r="A19" s="1"/>
      <c r="B19" s="103"/>
      <c r="C19" s="116"/>
      <c r="D19" s="169"/>
      <c r="E19" s="52"/>
      <c r="F19" s="1"/>
      <c r="G19" s="110"/>
      <c r="I19" s="56"/>
      <c r="J19" s="58" t="s">
        <v>133</v>
      </c>
      <c r="K19" s="125">
        <v>4.0</v>
      </c>
      <c r="L19" s="170"/>
      <c r="M19" s="61"/>
      <c r="N19" s="61"/>
      <c r="O19" s="61"/>
      <c r="P19" s="1"/>
      <c r="Q19" s="1"/>
      <c r="R19" s="1"/>
      <c r="S19" s="1"/>
      <c r="T19" s="1"/>
      <c r="U19" s="1"/>
      <c r="V19" s="1"/>
      <c r="W19" s="1"/>
      <c r="X19" s="1"/>
      <c r="Y19" s="1"/>
      <c r="Z19" s="1"/>
      <c r="AA19" s="1"/>
      <c r="AB19" s="1"/>
      <c r="AC19" s="1"/>
      <c r="AD19" s="1"/>
      <c r="AE19" s="1"/>
      <c r="AF19" s="1"/>
    </row>
    <row r="20" ht="16.5" customHeight="1">
      <c r="A20" s="1"/>
      <c r="B20" s="144"/>
      <c r="C20" s="132"/>
      <c r="D20" s="67"/>
      <c r="E20" s="1"/>
      <c r="F20" s="1"/>
      <c r="G20" s="70"/>
      <c r="H20" s="76"/>
      <c r="I20" s="78"/>
      <c r="J20" s="172" t="s">
        <v>135</v>
      </c>
      <c r="K20" s="173">
        <v>2.0</v>
      </c>
      <c r="L20" s="125"/>
      <c r="M20" s="125"/>
      <c r="N20" s="125"/>
      <c r="O20" s="125"/>
      <c r="P20" s="125"/>
      <c r="Q20" s="125"/>
      <c r="R20" s="125"/>
      <c r="S20" s="125"/>
      <c r="T20" s="125"/>
      <c r="U20" s="125"/>
      <c r="V20" s="125"/>
      <c r="W20" s="125"/>
      <c r="X20" s="125"/>
      <c r="Y20" s="125"/>
      <c r="Z20" s="125"/>
      <c r="AA20" s="125"/>
      <c r="AB20" s="125"/>
      <c r="AC20" s="125"/>
      <c r="AD20" s="125"/>
      <c r="AE20" s="125"/>
      <c r="AF20" s="125"/>
    </row>
    <row r="21" ht="15.75" customHeight="1">
      <c r="A21" s="1"/>
      <c r="B21" s="65"/>
      <c r="C21" s="46"/>
      <c r="D21" s="179"/>
      <c r="E21" s="180"/>
      <c r="F21" s="1"/>
      <c r="G21" s="53" t="s">
        <v>144</v>
      </c>
      <c r="H21" s="96" t="s">
        <v>145</v>
      </c>
      <c r="I21" s="56"/>
      <c r="J21" s="182" t="s">
        <v>146</v>
      </c>
      <c r="K21" s="60">
        <v>10.0</v>
      </c>
      <c r="L21" s="183"/>
      <c r="M21" s="125"/>
      <c r="N21" s="125"/>
      <c r="O21" s="125"/>
      <c r="P21" s="183"/>
      <c r="Q21" s="125"/>
      <c r="R21" s="125"/>
      <c r="S21" s="125"/>
      <c r="T21" s="125"/>
      <c r="U21" s="2"/>
      <c r="V21" s="1"/>
      <c r="W21" s="1"/>
      <c r="X21" s="1"/>
      <c r="Y21" s="1"/>
      <c r="Z21" s="1"/>
      <c r="AA21" s="1"/>
      <c r="AB21" s="1"/>
      <c r="AC21" s="1"/>
      <c r="AD21" s="1"/>
      <c r="AE21" s="1"/>
      <c r="AF21" s="1"/>
    </row>
    <row r="22" ht="15.75" customHeight="1">
      <c r="A22" s="1"/>
      <c r="B22" s="144"/>
      <c r="C22" s="67"/>
      <c r="D22" s="185"/>
      <c r="E22" s="1"/>
      <c r="F22" s="1"/>
      <c r="G22" s="110"/>
      <c r="H22" s="112"/>
      <c r="I22" s="56"/>
      <c r="J22" s="186" t="s">
        <v>150</v>
      </c>
      <c r="K22" s="71">
        <v>2.0</v>
      </c>
      <c r="L22" s="156"/>
      <c r="M22" s="156"/>
      <c r="N22" s="156"/>
      <c r="O22" s="156"/>
      <c r="P22" s="156"/>
      <c r="Q22" s="156"/>
      <c r="R22" s="156"/>
      <c r="S22" s="156"/>
      <c r="T22" s="1"/>
      <c r="U22" s="1"/>
      <c r="V22" s="1"/>
      <c r="W22" s="1"/>
      <c r="X22" s="1"/>
      <c r="Y22" s="1"/>
      <c r="Z22" s="1"/>
      <c r="AA22" s="1"/>
      <c r="AB22" s="1"/>
      <c r="AC22" s="1"/>
      <c r="AD22" s="1"/>
      <c r="AE22" s="1"/>
      <c r="AF22" s="1"/>
    </row>
    <row r="23" ht="15.75" customHeight="1">
      <c r="A23" s="1"/>
      <c r="B23" s="126"/>
      <c r="C23" s="46"/>
      <c r="D23" s="46"/>
      <c r="E23" s="1"/>
      <c r="F23" s="1"/>
      <c r="G23" s="110"/>
      <c r="H23" s="112"/>
      <c r="I23" s="56"/>
      <c r="J23" s="186" t="s">
        <v>155</v>
      </c>
      <c r="K23" s="71">
        <v>2.0</v>
      </c>
      <c r="L23" s="156"/>
      <c r="M23" s="156"/>
      <c r="N23" s="156"/>
      <c r="O23" s="156"/>
      <c r="P23" s="156"/>
      <c r="Q23" s="156"/>
      <c r="R23" s="156"/>
      <c r="S23" s="156"/>
      <c r="T23" s="1"/>
      <c r="U23" s="1"/>
      <c r="V23" s="1"/>
      <c r="W23" s="1"/>
      <c r="X23" s="1"/>
      <c r="Y23" s="1"/>
      <c r="Z23" s="1"/>
      <c r="AA23" s="1"/>
      <c r="AB23" s="1"/>
      <c r="AC23" s="1"/>
      <c r="AD23" s="1"/>
      <c r="AE23" s="1"/>
      <c r="AF23" s="1"/>
    </row>
    <row r="24" ht="15.75" customHeight="1">
      <c r="A24" s="1"/>
      <c r="B24" s="91"/>
      <c r="C24" s="193"/>
      <c r="D24" s="67"/>
      <c r="E24" s="1"/>
      <c r="F24" s="1"/>
      <c r="G24" s="110"/>
      <c r="H24" s="112"/>
      <c r="I24" s="56"/>
      <c r="J24" s="186" t="s">
        <v>160</v>
      </c>
      <c r="K24" s="71">
        <v>3.0</v>
      </c>
      <c r="L24" s="156"/>
      <c r="M24" s="156"/>
      <c r="N24" s="156"/>
      <c r="O24" s="156"/>
      <c r="P24" s="156"/>
      <c r="Q24" s="156"/>
      <c r="R24" s="156"/>
      <c r="S24" s="156"/>
      <c r="T24" s="1"/>
      <c r="U24" s="1"/>
      <c r="V24" s="1"/>
      <c r="W24" s="1"/>
      <c r="X24" s="1"/>
      <c r="Y24" s="1"/>
      <c r="Z24" s="1"/>
      <c r="AA24" s="1"/>
      <c r="AB24" s="1"/>
      <c r="AC24" s="1"/>
      <c r="AD24" s="1"/>
      <c r="AE24" s="1"/>
      <c r="AF24" s="1"/>
    </row>
    <row r="25" ht="15.75" customHeight="1">
      <c r="A25" s="1"/>
      <c r="B25" s="195"/>
      <c r="C25" s="196"/>
      <c r="D25" s="197"/>
      <c r="E25" s="180"/>
      <c r="F25" s="1"/>
      <c r="G25" s="110"/>
      <c r="H25" s="112"/>
      <c r="I25" s="56"/>
      <c r="J25" s="186" t="s">
        <v>163</v>
      </c>
      <c r="K25" s="71">
        <v>3.0</v>
      </c>
      <c r="L25" s="125"/>
      <c r="M25" s="125"/>
      <c r="N25" s="125"/>
      <c r="O25" s="156"/>
      <c r="P25" s="156"/>
      <c r="Q25" s="156"/>
      <c r="R25" s="156"/>
      <c r="S25" s="156"/>
      <c r="T25" s="1"/>
      <c r="U25" s="1"/>
      <c r="V25" s="1"/>
      <c r="W25" s="1"/>
      <c r="X25" s="1"/>
      <c r="Y25" s="1"/>
      <c r="Z25" s="1"/>
      <c r="AA25" s="1"/>
      <c r="AB25" s="1"/>
      <c r="AC25" s="1"/>
      <c r="AD25" s="1"/>
      <c r="AE25" s="1"/>
      <c r="AF25" s="1"/>
    </row>
    <row r="26" ht="15.75" customHeight="1">
      <c r="A26" s="1"/>
      <c r="B26" s="199"/>
      <c r="C26" s="193"/>
      <c r="D26" s="132"/>
      <c r="E26" s="180"/>
      <c r="F26" s="1"/>
      <c r="G26" s="110"/>
      <c r="H26" s="112"/>
      <c r="I26" s="56"/>
      <c r="J26" s="186" t="s">
        <v>166</v>
      </c>
      <c r="K26" s="71">
        <v>2.0</v>
      </c>
      <c r="L26" s="125"/>
      <c r="M26" s="125"/>
      <c r="N26" s="125"/>
      <c r="O26" s="125"/>
      <c r="P26" s="125"/>
      <c r="Q26" s="125"/>
      <c r="R26" s="125"/>
      <c r="S26" s="125"/>
      <c r="T26" s="125"/>
      <c r="U26" s="125"/>
      <c r="V26" s="125"/>
      <c r="W26" s="125"/>
      <c r="X26" s="125"/>
      <c r="Y26" s="125"/>
      <c r="Z26" s="125"/>
      <c r="AA26" s="125"/>
      <c r="AB26" s="125"/>
      <c r="AC26" s="125"/>
      <c r="AD26" s="125"/>
      <c r="AE26" s="125"/>
      <c r="AF26" s="125"/>
    </row>
    <row r="27" ht="33.75" customHeight="1">
      <c r="A27" s="1"/>
      <c r="B27" s="210"/>
      <c r="C27" s="138"/>
      <c r="D27" s="132"/>
      <c r="E27" s="180"/>
      <c r="F27" s="1"/>
      <c r="G27" s="70"/>
      <c r="H27" s="133"/>
      <c r="I27" s="78"/>
      <c r="J27" s="211" t="s">
        <v>168</v>
      </c>
      <c r="K27" s="80">
        <v>24.0</v>
      </c>
      <c r="L27" s="125"/>
      <c r="M27" s="125"/>
      <c r="N27" s="125"/>
      <c r="O27" s="125"/>
      <c r="P27" s="125"/>
      <c r="Q27" s="2"/>
      <c r="R27" s="2"/>
      <c r="S27" s="2"/>
      <c r="T27" s="2"/>
      <c r="U27" s="2"/>
      <c r="V27" s="1"/>
      <c r="W27" s="1"/>
      <c r="X27" s="1"/>
      <c r="Y27" s="1"/>
      <c r="Z27" s="1"/>
      <c r="AA27" s="1"/>
      <c r="AB27" s="1"/>
      <c r="AC27" s="1"/>
      <c r="AD27" s="1"/>
      <c r="AE27" s="1"/>
      <c r="AF27" s="1"/>
    </row>
    <row r="28" ht="15.75" customHeight="1">
      <c r="A28" s="1"/>
      <c r="B28" s="213"/>
      <c r="C28" s="160"/>
      <c r="D28" s="132"/>
      <c r="E28" s="180"/>
      <c r="F28" s="1"/>
      <c r="G28" s="53" t="s">
        <v>170</v>
      </c>
      <c r="H28" s="96" t="s">
        <v>171</v>
      </c>
      <c r="I28" s="56"/>
      <c r="J28" s="186" t="s">
        <v>172</v>
      </c>
      <c r="K28" s="214">
        <v>4.0</v>
      </c>
      <c r="L28" s="215"/>
      <c r="M28" s="125"/>
      <c r="N28" s="125"/>
      <c r="O28" s="125"/>
      <c r="P28" s="125"/>
      <c r="Q28" s="125"/>
      <c r="R28" s="125"/>
      <c r="S28" s="125"/>
      <c r="T28" s="125"/>
      <c r="U28" s="125"/>
      <c r="V28" s="125"/>
      <c r="W28" s="2"/>
      <c r="X28" s="1"/>
      <c r="Y28" s="1"/>
      <c r="Z28" s="1"/>
      <c r="AA28" s="1"/>
      <c r="AB28" s="1"/>
      <c r="AC28" s="1"/>
      <c r="AD28" s="1"/>
      <c r="AE28" s="1"/>
      <c r="AF28" s="1"/>
    </row>
    <row r="29" ht="33.75" customHeight="1">
      <c r="A29" s="1"/>
      <c r="B29" s="216"/>
      <c r="C29" s="165"/>
      <c r="D29" s="46"/>
      <c r="E29" s="180"/>
      <c r="F29" s="1"/>
      <c r="G29" s="110"/>
      <c r="H29" s="112"/>
      <c r="I29" s="56"/>
      <c r="J29" s="217" t="s">
        <v>174</v>
      </c>
      <c r="K29" s="218">
        <v>12.0</v>
      </c>
      <c r="L29" s="219"/>
      <c r="M29" s="220"/>
      <c r="N29" s="221"/>
      <c r="O29" s="221"/>
      <c r="P29" s="223"/>
      <c r="Q29" s="223"/>
      <c r="R29" s="225"/>
      <c r="S29" s="225"/>
      <c r="T29" s="226"/>
      <c r="U29" s="226"/>
      <c r="V29" s="2"/>
      <c r="W29" s="2"/>
      <c r="X29" s="1"/>
      <c r="Y29" s="1"/>
      <c r="Z29" s="1"/>
      <c r="AA29" s="1"/>
      <c r="AB29" s="1"/>
      <c r="AC29" s="1"/>
      <c r="AD29" s="1"/>
      <c r="AE29" s="1"/>
      <c r="AF29" s="1"/>
    </row>
    <row r="30" ht="15.75" customHeight="1">
      <c r="A30" s="1"/>
      <c r="B30" s="227"/>
      <c r="C30" s="67"/>
      <c r="D30" s="107"/>
      <c r="E30" s="180"/>
      <c r="F30" s="1"/>
      <c r="G30" s="70"/>
      <c r="H30" s="133"/>
      <c r="I30" s="78"/>
      <c r="J30" s="134" t="s">
        <v>179</v>
      </c>
      <c r="K30" s="145">
        <v>33.0</v>
      </c>
      <c r="L30" s="215"/>
      <c r="M30" s="2"/>
      <c r="N30" s="2"/>
      <c r="O30" s="2"/>
      <c r="P30" s="2"/>
      <c r="Q30" s="2"/>
      <c r="R30" s="2"/>
      <c r="S30" s="2"/>
      <c r="T30" s="2"/>
      <c r="U30" s="2"/>
      <c r="V30" s="2"/>
      <c r="W30" s="1"/>
      <c r="X30" s="1"/>
      <c r="Y30" s="1"/>
      <c r="Z30" s="1"/>
      <c r="AA30" s="1"/>
      <c r="AB30" s="1"/>
      <c r="AC30" s="1"/>
      <c r="AD30" s="1"/>
      <c r="AE30" s="1"/>
      <c r="AF30" s="1"/>
    </row>
    <row r="31" ht="15.75" customHeight="1">
      <c r="A31" s="1"/>
      <c r="B31" s="216"/>
      <c r="C31" s="46"/>
      <c r="D31" s="167"/>
      <c r="E31" s="180"/>
      <c r="F31" s="1"/>
      <c r="G31" s="77" t="s">
        <v>182</v>
      </c>
      <c r="H31" s="177" t="s">
        <v>183</v>
      </c>
      <c r="I31" s="56"/>
      <c r="J31" s="58" t="s">
        <v>184</v>
      </c>
      <c r="K31" s="228">
        <v>2.0</v>
      </c>
      <c r="L31" s="2"/>
      <c r="M31" s="2"/>
      <c r="N31" s="1"/>
      <c r="O31" s="1"/>
      <c r="P31" s="1"/>
      <c r="Q31" s="1"/>
      <c r="R31" s="1"/>
      <c r="S31" s="1"/>
      <c r="T31" s="1"/>
      <c r="U31" s="1"/>
      <c r="V31" s="1"/>
      <c r="W31" s="1"/>
      <c r="X31" s="1"/>
      <c r="Y31" s="1"/>
      <c r="Z31" s="1"/>
      <c r="AA31" s="1"/>
      <c r="AB31" s="1"/>
      <c r="AC31" s="1"/>
      <c r="AD31" s="1"/>
      <c r="AE31" s="1"/>
      <c r="AF31" s="1"/>
    </row>
    <row r="32" ht="15.75" customHeight="1">
      <c r="A32" s="1"/>
      <c r="B32" s="213"/>
      <c r="C32" s="160"/>
      <c r="D32" s="161"/>
      <c r="E32" s="1"/>
      <c r="F32" s="1"/>
      <c r="G32" s="110"/>
      <c r="H32" s="112"/>
      <c r="I32" s="56"/>
      <c r="J32" s="58" t="s">
        <v>187</v>
      </c>
      <c r="K32" s="228">
        <v>2.0</v>
      </c>
      <c r="L32" s="229"/>
      <c r="M32" s="2"/>
      <c r="N32" s="1"/>
      <c r="O32" s="1"/>
      <c r="P32" s="1"/>
      <c r="Q32" s="1"/>
      <c r="R32" s="2"/>
      <c r="S32" s="1"/>
      <c r="T32" s="1"/>
      <c r="U32" s="1"/>
      <c r="V32" s="1"/>
      <c r="W32" s="1"/>
      <c r="X32" s="1"/>
      <c r="Y32" s="1"/>
      <c r="Z32" s="1"/>
      <c r="AA32" s="1"/>
      <c r="AB32" s="1"/>
      <c r="AC32" s="1"/>
      <c r="AD32" s="1"/>
      <c r="AE32" s="1"/>
      <c r="AF32" s="1"/>
    </row>
    <row r="33" ht="15.75" customHeight="1">
      <c r="A33" s="1"/>
      <c r="B33" s="216"/>
      <c r="C33" s="165"/>
      <c r="D33" s="169"/>
      <c r="E33" s="1"/>
      <c r="F33" s="1"/>
      <c r="G33" s="110"/>
      <c r="H33" s="112"/>
      <c r="I33" s="56"/>
      <c r="J33" s="58" t="s">
        <v>191</v>
      </c>
      <c r="K33" s="228">
        <v>5.0</v>
      </c>
      <c r="L33" s="220"/>
      <c r="M33" s="221"/>
      <c r="N33" s="223"/>
      <c r="O33" s="231"/>
      <c r="P33" s="226"/>
      <c r="Q33" s="1"/>
      <c r="R33" s="2"/>
      <c r="S33" s="1"/>
      <c r="T33" s="1"/>
      <c r="U33" s="1"/>
      <c r="V33" s="1"/>
      <c r="W33" s="1"/>
      <c r="X33" s="1"/>
      <c r="Y33" s="1"/>
      <c r="Z33" s="1"/>
      <c r="AA33" s="1"/>
      <c r="AB33" s="1"/>
      <c r="AC33" s="1"/>
      <c r="AD33" s="1"/>
      <c r="AE33" s="1"/>
      <c r="AF33" s="1"/>
    </row>
    <row r="34" ht="33.75" customHeight="1">
      <c r="A34" s="1"/>
      <c r="B34" s="210"/>
      <c r="C34" s="67"/>
      <c r="D34" s="139"/>
      <c r="E34" s="180"/>
      <c r="F34" s="1"/>
      <c r="G34" s="110"/>
      <c r="H34" s="112"/>
      <c r="I34" s="56"/>
      <c r="J34" s="217" t="s">
        <v>193</v>
      </c>
      <c r="K34" s="228">
        <v>2.0</v>
      </c>
      <c r="L34" s="229"/>
      <c r="M34" s="2"/>
      <c r="N34" s="1"/>
      <c r="O34" s="1"/>
      <c r="P34" s="1"/>
      <c r="Q34" s="1"/>
      <c r="R34" s="2"/>
      <c r="S34" s="1"/>
      <c r="T34" s="1"/>
      <c r="U34" s="1"/>
      <c r="V34" s="2"/>
      <c r="W34" s="1"/>
      <c r="X34" s="1"/>
      <c r="Y34" s="1"/>
      <c r="Z34" s="1"/>
      <c r="AA34" s="1"/>
      <c r="AB34" s="1"/>
      <c r="AC34" s="1"/>
      <c r="AD34" s="1"/>
      <c r="AE34" s="1"/>
      <c r="AF34" s="1"/>
    </row>
    <row r="35" ht="15.75" customHeight="1">
      <c r="A35" s="1"/>
      <c r="B35" s="232"/>
      <c r="C35" s="105"/>
      <c r="D35" s="46"/>
      <c r="E35" s="180"/>
      <c r="F35" s="1"/>
      <c r="G35" s="110"/>
      <c r="H35" s="112"/>
      <c r="I35" s="56"/>
      <c r="J35" s="58" t="s">
        <v>197</v>
      </c>
      <c r="K35" s="228">
        <v>2.0</v>
      </c>
      <c r="L35" s="234"/>
      <c r="M35" s="2"/>
      <c r="N35" s="1"/>
      <c r="O35" s="1"/>
      <c r="P35" s="1"/>
      <c r="Q35" s="1"/>
      <c r="R35" s="2"/>
      <c r="S35" s="2"/>
      <c r="T35" s="2"/>
      <c r="U35" s="2"/>
      <c r="V35" s="2"/>
      <c r="W35" s="2"/>
      <c r="X35" s="1"/>
      <c r="Y35" s="1"/>
      <c r="Z35" s="1"/>
      <c r="AA35" s="1"/>
      <c r="AB35" s="1"/>
      <c r="AC35" s="1"/>
      <c r="AD35" s="1"/>
      <c r="AE35" s="1"/>
      <c r="AF35" s="1"/>
    </row>
    <row r="36" ht="15.75" customHeight="1">
      <c r="A36" s="1"/>
      <c r="B36" s="216"/>
      <c r="C36" s="67"/>
      <c r="D36" s="167"/>
      <c r="E36" s="180"/>
      <c r="F36" s="1"/>
      <c r="G36" s="110"/>
      <c r="H36" s="112"/>
      <c r="I36" s="56"/>
      <c r="J36" s="58" t="s">
        <v>201</v>
      </c>
      <c r="K36" s="228">
        <v>5.0</v>
      </c>
      <c r="L36" s="156"/>
      <c r="M36" s="2"/>
      <c r="N36" s="2"/>
      <c r="O36" s="2"/>
      <c r="P36" s="2"/>
      <c r="Q36" s="1"/>
      <c r="R36" s="2"/>
      <c r="S36" s="2"/>
      <c r="T36" s="2"/>
      <c r="U36" s="2"/>
      <c r="V36" s="2"/>
      <c r="W36" s="2"/>
      <c r="X36" s="1"/>
      <c r="Y36" s="1"/>
      <c r="Z36" s="1"/>
      <c r="AA36" s="1"/>
      <c r="AB36" s="1"/>
      <c r="AC36" s="1"/>
      <c r="AD36" s="1"/>
      <c r="AE36" s="1"/>
      <c r="AF36" s="1"/>
    </row>
    <row r="37" ht="15.75" customHeight="1">
      <c r="A37" s="1"/>
      <c r="B37" s="232"/>
      <c r="C37" s="105"/>
      <c r="D37" s="46"/>
      <c r="E37" s="180"/>
      <c r="F37" s="1"/>
      <c r="G37" s="70"/>
      <c r="H37" s="133"/>
      <c r="I37" s="78"/>
      <c r="J37" s="134" t="s">
        <v>207</v>
      </c>
      <c r="K37" s="240">
        <v>29.0</v>
      </c>
      <c r="L37" s="241"/>
      <c r="M37" s="241"/>
      <c r="N37" s="241"/>
      <c r="O37" s="243"/>
      <c r="P37" s="243"/>
      <c r="Q37" s="241"/>
      <c r="R37" s="241"/>
      <c r="S37" s="241"/>
      <c r="T37" s="241"/>
      <c r="U37" s="241"/>
      <c r="V37" s="241"/>
      <c r="W37" s="241"/>
      <c r="X37" s="241"/>
      <c r="Y37" s="241"/>
      <c r="Z37" s="241"/>
      <c r="AA37" s="241"/>
      <c r="AB37" s="241"/>
      <c r="AC37" s="1"/>
      <c r="AD37" s="1"/>
      <c r="AE37" s="1"/>
      <c r="AF37" s="1"/>
    </row>
    <row r="38" ht="120.75" customHeight="1">
      <c r="A38" s="1"/>
      <c r="B38" s="213"/>
      <c r="C38" s="160"/>
      <c r="D38" s="67"/>
      <c r="E38" s="180"/>
      <c r="F38" s="1"/>
      <c r="G38" s="96" t="s">
        <v>215</v>
      </c>
      <c r="H38" s="251" t="s">
        <v>217</v>
      </c>
      <c r="I38" s="190"/>
      <c r="J38" s="253" t="s">
        <v>220</v>
      </c>
      <c r="K38" s="78"/>
      <c r="L38" s="241"/>
      <c r="M38" s="241"/>
      <c r="N38" s="241"/>
      <c r="O38" s="241"/>
      <c r="P38" s="241"/>
      <c r="Q38" s="241"/>
      <c r="R38" s="241"/>
      <c r="S38" s="241"/>
      <c r="T38" s="241"/>
      <c r="U38" s="241"/>
      <c r="V38" s="241"/>
      <c r="W38" s="241"/>
      <c r="X38" s="241"/>
      <c r="Y38" s="241"/>
      <c r="Z38" s="241"/>
      <c r="AA38" s="241"/>
      <c r="AB38" s="241"/>
      <c r="AC38" s="1"/>
      <c r="AD38" s="1"/>
      <c r="AE38" s="1"/>
      <c r="AF38" s="1"/>
    </row>
    <row r="39" ht="15.75" customHeight="1">
      <c r="A39" s="1"/>
      <c r="B39" s="227"/>
      <c r="C39" s="138"/>
      <c r="D39" s="46"/>
      <c r="E39" s="257"/>
      <c r="F39" s="1"/>
      <c r="G39" s="112"/>
      <c r="H39" s="112"/>
      <c r="I39" s="56"/>
      <c r="J39" s="261" t="s">
        <v>226</v>
      </c>
      <c r="K39" s="264">
        <v>2.0</v>
      </c>
      <c r="L39" s="2"/>
      <c r="M39" s="2"/>
      <c r="N39" s="1"/>
      <c r="O39" s="1"/>
      <c r="P39" s="1"/>
      <c r="Q39" s="1"/>
      <c r="R39" s="1"/>
      <c r="S39" s="1"/>
      <c r="T39" s="1"/>
      <c r="U39" s="1"/>
      <c r="V39" s="1"/>
      <c r="W39" s="1"/>
      <c r="X39" s="1"/>
      <c r="Y39" s="1"/>
      <c r="Z39" s="1"/>
      <c r="AA39" s="1"/>
      <c r="AB39" s="1"/>
      <c r="AC39" s="1"/>
      <c r="AD39" s="1"/>
      <c r="AE39" s="1"/>
      <c r="AF39" s="1"/>
    </row>
    <row r="40" ht="15.75" customHeight="1">
      <c r="A40" s="1"/>
      <c r="B40" s="272"/>
      <c r="C40" s="196"/>
      <c r="D40" s="197"/>
      <c r="E40" s="180"/>
      <c r="F40" s="1"/>
      <c r="G40" s="112"/>
      <c r="H40" s="112"/>
      <c r="I40" s="56"/>
      <c r="J40" s="58" t="s">
        <v>239</v>
      </c>
      <c r="K40" s="264">
        <v>3.0</v>
      </c>
      <c r="L40" s="2"/>
      <c r="M40" s="2"/>
      <c r="N40" s="2"/>
      <c r="O40" s="1"/>
      <c r="P40" s="1"/>
      <c r="Q40" s="1"/>
      <c r="R40" s="1"/>
      <c r="S40" s="1"/>
      <c r="T40" s="1"/>
      <c r="U40" s="1"/>
      <c r="V40" s="1"/>
      <c r="W40" s="1"/>
      <c r="X40" s="1"/>
      <c r="Y40" s="1"/>
      <c r="Z40" s="1"/>
      <c r="AA40" s="1"/>
      <c r="AB40" s="1"/>
      <c r="AC40" s="1"/>
      <c r="AD40" s="1"/>
      <c r="AE40" s="1"/>
      <c r="AF40" s="1"/>
    </row>
    <row r="41" ht="15.75" customHeight="1">
      <c r="A41" s="1"/>
      <c r="B41" s="272"/>
      <c r="C41" s="196"/>
      <c r="D41" s="197"/>
      <c r="E41" s="180"/>
      <c r="F41" s="1"/>
      <c r="G41" s="112"/>
      <c r="H41" s="112"/>
      <c r="I41" s="56"/>
      <c r="J41" s="58" t="s">
        <v>253</v>
      </c>
      <c r="K41" s="264">
        <v>2.0</v>
      </c>
      <c r="L41" s="2"/>
      <c r="M41" s="2"/>
      <c r="N41" s="1"/>
      <c r="O41" s="2"/>
      <c r="P41" s="2"/>
      <c r="Q41" s="2"/>
      <c r="R41" s="2"/>
      <c r="S41" s="1"/>
      <c r="T41" s="1"/>
      <c r="U41" s="1"/>
      <c r="V41" s="1"/>
      <c r="W41" s="1"/>
      <c r="X41" s="1"/>
      <c r="Y41" s="1"/>
      <c r="Z41" s="1"/>
      <c r="AA41" s="1"/>
      <c r="AB41" s="1"/>
      <c r="AC41" s="1"/>
      <c r="AD41" s="1"/>
      <c r="AE41" s="1"/>
      <c r="AF41" s="1"/>
    </row>
    <row r="42" ht="15.75" customHeight="1">
      <c r="A42" s="1"/>
      <c r="B42" s="272"/>
      <c r="C42" s="67"/>
      <c r="D42" s="197"/>
      <c r="E42" s="180"/>
      <c r="F42" s="1"/>
      <c r="G42" s="112"/>
      <c r="H42" s="133"/>
      <c r="I42" s="78"/>
      <c r="J42" s="275" t="s">
        <v>260</v>
      </c>
      <c r="K42" s="277">
        <v>2.0</v>
      </c>
      <c r="L42" s="241"/>
      <c r="M42" s="278"/>
      <c r="N42" s="279"/>
      <c r="O42" s="241"/>
      <c r="P42" s="241"/>
      <c r="Q42" s="241"/>
      <c r="R42" s="241"/>
      <c r="S42" s="241"/>
      <c r="T42" s="241"/>
      <c r="U42" s="241"/>
      <c r="V42" s="241"/>
      <c r="W42" s="241"/>
      <c r="X42" s="241"/>
      <c r="Y42" s="241"/>
      <c r="Z42" s="241"/>
      <c r="AA42" s="241"/>
      <c r="AB42" s="241"/>
      <c r="AC42" s="1"/>
      <c r="AD42" s="1"/>
      <c r="AE42" s="1"/>
      <c r="AF42" s="1"/>
    </row>
    <row r="43" ht="18.0" customHeight="1">
      <c r="A43" s="1"/>
      <c r="B43" s="210"/>
      <c r="C43" s="46"/>
      <c r="D43" s="139"/>
      <c r="E43" s="180"/>
      <c r="F43" s="1"/>
      <c r="G43" s="112"/>
      <c r="H43" s="285" t="s">
        <v>274</v>
      </c>
      <c r="I43" s="286" t="s">
        <v>279</v>
      </c>
      <c r="J43" s="58" t="s">
        <v>281</v>
      </c>
      <c r="K43" s="228">
        <v>1.0</v>
      </c>
      <c r="L43" s="125"/>
      <c r="M43" s="2"/>
      <c r="N43" s="288"/>
      <c r="O43" s="1"/>
      <c r="P43" s="1"/>
      <c r="Q43" s="1"/>
      <c r="R43" s="1"/>
      <c r="S43" s="1"/>
      <c r="T43" s="1"/>
      <c r="U43" s="1"/>
      <c r="V43" s="1"/>
      <c r="W43" s="1"/>
      <c r="X43" s="1"/>
      <c r="Y43" s="1"/>
      <c r="Z43" s="1"/>
      <c r="AA43" s="1"/>
      <c r="AB43" s="1"/>
      <c r="AC43" s="1"/>
      <c r="AD43" s="1"/>
      <c r="AE43" s="1"/>
      <c r="AF43" s="1"/>
    </row>
    <row r="44" ht="15.75" customHeight="1">
      <c r="A44" s="1"/>
      <c r="B44" s="232"/>
      <c r="C44" s="67"/>
      <c r="D44" s="107"/>
      <c r="E44" s="180"/>
      <c r="F44" s="1"/>
      <c r="G44" s="112"/>
      <c r="H44" s="298"/>
      <c r="I44" s="110"/>
      <c r="J44" s="58" t="s">
        <v>285</v>
      </c>
      <c r="K44" s="228">
        <v>6.0</v>
      </c>
      <c r="L44" s="220"/>
      <c r="M44" s="221"/>
      <c r="N44" s="223"/>
      <c r="O44" s="231"/>
      <c r="P44" s="226"/>
      <c r="Q44" s="1"/>
      <c r="R44" s="1"/>
      <c r="S44" s="1"/>
      <c r="T44" s="1"/>
      <c r="U44" s="1"/>
      <c r="V44" s="1"/>
      <c r="W44" s="1"/>
      <c r="X44" s="1"/>
      <c r="Y44" s="1"/>
      <c r="Z44" s="1"/>
      <c r="AA44" s="1"/>
      <c r="AB44" s="1"/>
      <c r="AC44" s="1"/>
      <c r="AD44" s="1"/>
      <c r="AE44" s="1"/>
      <c r="AF44" s="1"/>
    </row>
    <row r="45" ht="15.75" customHeight="1">
      <c r="A45" s="1"/>
      <c r="B45" s="232"/>
      <c r="C45" s="46"/>
      <c r="D45" s="107"/>
      <c r="E45" s="180"/>
      <c r="F45" s="1"/>
      <c r="G45" s="112"/>
      <c r="H45" s="298"/>
      <c r="I45" s="110"/>
      <c r="J45" s="58" t="s">
        <v>288</v>
      </c>
      <c r="K45" s="228">
        <v>2.0</v>
      </c>
      <c r="L45" s="2"/>
      <c r="M45" s="2"/>
      <c r="N45" s="1"/>
      <c r="O45" s="1"/>
      <c r="P45" s="1"/>
      <c r="Q45" s="1"/>
      <c r="R45" s="1"/>
      <c r="S45" s="1"/>
      <c r="T45" s="1"/>
      <c r="U45" s="1"/>
      <c r="V45" s="1"/>
      <c r="W45" s="1"/>
      <c r="X45" s="1"/>
      <c r="Y45" s="1"/>
      <c r="Z45" s="1"/>
      <c r="AA45" s="1"/>
      <c r="AB45" s="1"/>
      <c r="AC45" s="1"/>
      <c r="AD45" s="1"/>
      <c r="AE45" s="1"/>
      <c r="AF45" s="1"/>
    </row>
    <row r="46" ht="15.75" customHeight="1">
      <c r="A46" s="1"/>
      <c r="B46" s="213"/>
      <c r="C46" s="67"/>
      <c r="D46" s="161"/>
      <c r="E46" s="180"/>
      <c r="F46" s="1"/>
      <c r="G46" s="112"/>
      <c r="H46" s="298"/>
      <c r="I46" s="110"/>
      <c r="J46" s="58" t="s">
        <v>291</v>
      </c>
      <c r="K46" s="228">
        <v>2.0</v>
      </c>
      <c r="L46" s="135"/>
      <c r="M46" s="2"/>
      <c r="N46" s="2"/>
      <c r="O46" s="2"/>
      <c r="P46" s="1"/>
      <c r="Q46" s="1"/>
      <c r="R46" s="1"/>
      <c r="S46" s="1"/>
      <c r="T46" s="1"/>
      <c r="U46" s="1"/>
      <c r="V46" s="1"/>
      <c r="W46" s="1"/>
      <c r="X46" s="1"/>
      <c r="Y46" s="1"/>
      <c r="Z46" s="1"/>
      <c r="AA46" s="1"/>
      <c r="AB46" s="1"/>
      <c r="AC46" s="1"/>
      <c r="AD46" s="1"/>
      <c r="AE46" s="1"/>
      <c r="AF46" s="1"/>
    </row>
    <row r="47" ht="15.75" customHeight="1">
      <c r="A47" s="1"/>
      <c r="B47" s="216"/>
      <c r="C47" s="46"/>
      <c r="D47" s="167"/>
      <c r="E47" s="257"/>
      <c r="F47" s="1"/>
      <c r="G47" s="112"/>
      <c r="H47" s="298"/>
      <c r="I47" s="70"/>
      <c r="J47" s="134" t="s">
        <v>273</v>
      </c>
      <c r="K47" s="240">
        <v>4.0</v>
      </c>
      <c r="L47" s="332"/>
      <c r="M47" s="241"/>
      <c r="N47" s="241"/>
      <c r="O47" s="243"/>
      <c r="P47" s="241"/>
      <c r="Q47" s="241"/>
      <c r="R47" s="241"/>
      <c r="S47" s="241"/>
      <c r="T47" s="241"/>
      <c r="U47" s="241"/>
      <c r="V47" s="241"/>
      <c r="W47" s="241"/>
      <c r="X47" s="241"/>
      <c r="Y47" s="241"/>
      <c r="Z47" s="241"/>
      <c r="AA47" s="241"/>
      <c r="AB47" s="241"/>
      <c r="AC47" s="1"/>
      <c r="AD47" s="1"/>
      <c r="AE47" s="1"/>
      <c r="AF47" s="1"/>
    </row>
    <row r="48" ht="15.75" customHeight="1">
      <c r="A48" s="1"/>
      <c r="B48" s="210"/>
      <c r="C48" s="67"/>
      <c r="D48" s="139"/>
      <c r="E48" s="180"/>
      <c r="F48" s="1"/>
      <c r="G48" s="112"/>
      <c r="H48" s="298"/>
      <c r="I48" s="286" t="s">
        <v>299</v>
      </c>
      <c r="J48" s="58" t="s">
        <v>281</v>
      </c>
      <c r="K48" s="228">
        <v>1.0</v>
      </c>
      <c r="L48" s="2"/>
      <c r="M48" s="2"/>
      <c r="N48" s="1"/>
      <c r="O48" s="1"/>
      <c r="P48" s="1"/>
      <c r="Q48" s="1"/>
      <c r="R48" s="1"/>
      <c r="S48" s="1"/>
      <c r="T48" s="1"/>
      <c r="U48" s="1"/>
      <c r="V48" s="1"/>
      <c r="W48" s="1"/>
      <c r="X48" s="1"/>
      <c r="Y48" s="1"/>
      <c r="Z48" s="1"/>
      <c r="AA48" s="1"/>
      <c r="AB48" s="1"/>
      <c r="AC48" s="1"/>
      <c r="AD48" s="1"/>
      <c r="AE48" s="1"/>
      <c r="AF48" s="1"/>
    </row>
    <row r="49" ht="15.75" customHeight="1">
      <c r="A49" s="1"/>
      <c r="B49" s="210"/>
      <c r="C49" s="46"/>
      <c r="D49" s="139"/>
      <c r="E49" s="180"/>
      <c r="F49" s="1"/>
      <c r="G49" s="112"/>
      <c r="H49" s="298"/>
      <c r="I49" s="110"/>
      <c r="J49" s="58" t="s">
        <v>285</v>
      </c>
      <c r="K49" s="228">
        <v>6.0</v>
      </c>
      <c r="L49" s="220"/>
      <c r="M49" s="221"/>
      <c r="N49" s="223"/>
      <c r="O49" s="231"/>
      <c r="P49" s="226"/>
      <c r="Q49" s="1"/>
      <c r="R49" s="1"/>
      <c r="S49" s="1"/>
      <c r="T49" s="1"/>
      <c r="U49" s="1"/>
      <c r="V49" s="1"/>
      <c r="W49" s="1"/>
      <c r="X49" s="1"/>
      <c r="Y49" s="1"/>
      <c r="Z49" s="1"/>
      <c r="AA49" s="1"/>
      <c r="AB49" s="1"/>
      <c r="AC49" s="1"/>
      <c r="AD49" s="1"/>
      <c r="AE49" s="1"/>
      <c r="AF49" s="1"/>
    </row>
    <row r="50" ht="15.75" customHeight="1">
      <c r="A50" s="1"/>
      <c r="B50" s="213"/>
      <c r="C50" s="67"/>
      <c r="D50" s="161"/>
      <c r="E50" s="52"/>
      <c r="F50" s="1"/>
      <c r="G50" s="112"/>
      <c r="H50" s="298"/>
      <c r="I50" s="110"/>
      <c r="J50" s="58" t="s">
        <v>288</v>
      </c>
      <c r="K50" s="228">
        <v>2.0</v>
      </c>
      <c r="L50" s="2"/>
      <c r="M50" s="2"/>
      <c r="N50" s="1"/>
      <c r="O50" s="1"/>
      <c r="P50" s="1"/>
      <c r="Q50" s="1"/>
      <c r="R50" s="1"/>
      <c r="S50" s="1"/>
      <c r="T50" s="1"/>
      <c r="U50" s="1"/>
      <c r="V50" s="1"/>
      <c r="W50" s="1"/>
      <c r="X50" s="1"/>
      <c r="Y50" s="1"/>
      <c r="Z50" s="1"/>
      <c r="AA50" s="1"/>
      <c r="AB50" s="1"/>
      <c r="AC50" s="1"/>
      <c r="AD50" s="1"/>
      <c r="AE50" s="1"/>
      <c r="AF50" s="1"/>
    </row>
    <row r="51" ht="15.75" customHeight="1">
      <c r="A51" s="1"/>
      <c r="B51" s="210"/>
      <c r="C51" s="138"/>
      <c r="D51" s="46"/>
      <c r="E51" s="180"/>
      <c r="F51" s="1"/>
      <c r="G51" s="112"/>
      <c r="H51" s="298"/>
      <c r="I51" s="110"/>
      <c r="J51" s="58" t="s">
        <v>291</v>
      </c>
      <c r="K51" s="228">
        <v>5.0</v>
      </c>
      <c r="L51" s="135"/>
      <c r="M51" s="2"/>
      <c r="N51" s="2"/>
      <c r="O51" s="1"/>
      <c r="P51" s="1"/>
      <c r="Q51" s="1"/>
      <c r="R51" s="1"/>
      <c r="S51" s="1"/>
      <c r="T51" s="1"/>
      <c r="U51" s="1"/>
      <c r="V51" s="1"/>
      <c r="W51" s="1"/>
      <c r="X51" s="1"/>
      <c r="Y51" s="1"/>
      <c r="Z51" s="1"/>
      <c r="AA51" s="1"/>
      <c r="AB51" s="1"/>
      <c r="AC51" s="1"/>
      <c r="AD51" s="1"/>
      <c r="AE51" s="1"/>
      <c r="AF51" s="1"/>
    </row>
    <row r="52" ht="15.75" customHeight="1">
      <c r="A52" s="1"/>
      <c r="B52" s="216"/>
      <c r="C52" s="165"/>
      <c r="D52" s="67"/>
      <c r="E52" s="347"/>
      <c r="F52" s="1"/>
      <c r="G52" s="112"/>
      <c r="H52" s="298"/>
      <c r="I52" s="70"/>
      <c r="J52" s="134" t="s">
        <v>273</v>
      </c>
      <c r="K52" s="240">
        <v>2.0</v>
      </c>
      <c r="L52" s="332"/>
      <c r="M52" s="241"/>
      <c r="N52" s="241"/>
      <c r="O52" s="241"/>
      <c r="P52" s="241"/>
      <c r="Q52" s="241"/>
      <c r="R52" s="1"/>
      <c r="S52" s="1"/>
      <c r="T52" s="1"/>
      <c r="U52" s="1"/>
      <c r="V52" s="1"/>
      <c r="W52" s="1"/>
      <c r="X52" s="1"/>
      <c r="Y52" s="1"/>
      <c r="Z52" s="1"/>
      <c r="AA52" s="1"/>
      <c r="AB52" s="1"/>
      <c r="AC52" s="1"/>
      <c r="AD52" s="1"/>
      <c r="AE52" s="1"/>
      <c r="AF52" s="1"/>
    </row>
    <row r="53" ht="18.0" customHeight="1">
      <c r="A53" s="1"/>
      <c r="B53" s="88" t="s">
        <v>309</v>
      </c>
      <c r="C53" s="4"/>
      <c r="D53" s="4"/>
      <c r="E53" s="1"/>
      <c r="F53" s="1"/>
      <c r="G53" s="112"/>
      <c r="H53" s="298"/>
      <c r="I53" s="356" t="s">
        <v>310</v>
      </c>
      <c r="J53" s="186" t="s">
        <v>312</v>
      </c>
      <c r="K53" s="358"/>
      <c r="L53" s="2"/>
      <c r="M53" s="2"/>
      <c r="N53" s="2"/>
      <c r="O53" s="2"/>
      <c r="P53" s="1"/>
      <c r="Q53" s="1"/>
      <c r="R53" s="1"/>
      <c r="S53" s="1"/>
      <c r="T53" s="1"/>
      <c r="U53" s="1"/>
      <c r="V53" s="1"/>
      <c r="W53" s="1"/>
      <c r="X53" s="1"/>
      <c r="Y53" s="1"/>
      <c r="Z53" s="1"/>
      <c r="AA53" s="1"/>
      <c r="AB53" s="1"/>
      <c r="AC53" s="1"/>
      <c r="AD53" s="1"/>
      <c r="AE53" s="1"/>
      <c r="AF53" s="1"/>
    </row>
    <row r="54" ht="15.75" customHeight="1">
      <c r="A54" s="1"/>
      <c r="B54" s="156"/>
      <c r="C54" s="364"/>
      <c r="D54" s="364"/>
      <c r="E54" s="156"/>
      <c r="F54" s="1"/>
      <c r="G54" s="112"/>
      <c r="H54" s="298"/>
      <c r="I54" s="110"/>
      <c r="J54" s="58" t="s">
        <v>291</v>
      </c>
      <c r="K54" s="228">
        <v>2.0</v>
      </c>
      <c r="L54" s="61"/>
      <c r="M54" s="2"/>
      <c r="N54" s="1"/>
      <c r="O54" s="1"/>
      <c r="P54" s="1"/>
      <c r="Q54" s="1"/>
      <c r="R54" s="1"/>
      <c r="S54" s="1"/>
      <c r="T54" s="1"/>
      <c r="U54" s="1"/>
      <c r="V54" s="1"/>
      <c r="W54" s="1"/>
      <c r="X54" s="1"/>
      <c r="Y54" s="1"/>
      <c r="Z54" s="1"/>
      <c r="AA54" s="1"/>
      <c r="AB54" s="1"/>
      <c r="AC54" s="1"/>
      <c r="AD54" s="1"/>
      <c r="AE54" s="1"/>
      <c r="AF54" s="1"/>
    </row>
    <row r="55" ht="15.75" customHeight="1">
      <c r="A55" s="1"/>
      <c r="B55" s="1"/>
      <c r="C55" s="1"/>
      <c r="D55" s="1"/>
      <c r="E55" s="156"/>
      <c r="F55" s="1"/>
      <c r="G55" s="112"/>
      <c r="H55" s="298"/>
      <c r="I55" s="110"/>
      <c r="J55" s="368" t="s">
        <v>315</v>
      </c>
      <c r="K55" s="228">
        <v>1.0</v>
      </c>
      <c r="L55" s="61"/>
      <c r="M55" s="2"/>
      <c r="N55" s="1"/>
      <c r="O55" s="1"/>
      <c r="P55" s="1"/>
      <c r="Q55" s="1"/>
      <c r="R55" s="1"/>
      <c r="S55" s="1"/>
      <c r="T55" s="1"/>
      <c r="U55" s="1"/>
      <c r="V55" s="1"/>
      <c r="W55" s="1"/>
      <c r="X55" s="1"/>
      <c r="Y55" s="1"/>
      <c r="Z55" s="1"/>
      <c r="AA55" s="1"/>
      <c r="AB55" s="1"/>
      <c r="AC55" s="1"/>
      <c r="AD55" s="1"/>
      <c r="AE55" s="1"/>
      <c r="AF55" s="1"/>
    </row>
    <row r="56" ht="15.75" customHeight="1">
      <c r="A56" s="1"/>
      <c r="B56" s="1"/>
      <c r="C56" s="1"/>
      <c r="D56" s="1"/>
      <c r="E56" s="156"/>
      <c r="F56" s="1"/>
      <c r="G56" s="112"/>
      <c r="H56" s="298"/>
      <c r="I56" s="110"/>
      <c r="J56" s="58" t="s">
        <v>317</v>
      </c>
      <c r="K56" s="228"/>
      <c r="L56" s="2"/>
      <c r="M56" s="2"/>
      <c r="N56" s="1"/>
      <c r="O56" s="2"/>
      <c r="P56" s="1"/>
      <c r="Q56" s="2"/>
      <c r="R56" s="1"/>
      <c r="S56" s="1"/>
      <c r="T56" s="1"/>
      <c r="U56" s="1"/>
      <c r="V56" s="1"/>
      <c r="W56" s="1"/>
      <c r="X56" s="1"/>
      <c r="Y56" s="1"/>
      <c r="Z56" s="1"/>
      <c r="AA56" s="1"/>
      <c r="AB56" s="1"/>
      <c r="AC56" s="1"/>
      <c r="AD56" s="1"/>
      <c r="AE56" s="1"/>
      <c r="AF56" s="1"/>
    </row>
    <row r="57" ht="15.75" customHeight="1">
      <c r="A57" s="1"/>
      <c r="B57" s="369" t="s">
        <v>319</v>
      </c>
      <c r="C57" s="370" t="s">
        <v>320</v>
      </c>
      <c r="D57" s="371" t="s">
        <v>321</v>
      </c>
      <c r="E57" s="156"/>
      <c r="F57" s="1"/>
      <c r="G57" s="112"/>
      <c r="H57" s="298"/>
      <c r="I57" s="110"/>
      <c r="J57" s="58" t="s">
        <v>291</v>
      </c>
      <c r="K57" s="228">
        <v>1.0</v>
      </c>
      <c r="L57" s="61"/>
      <c r="M57" s="2"/>
      <c r="N57" s="1"/>
      <c r="O57" s="1"/>
      <c r="P57" s="1"/>
      <c r="Q57" s="1"/>
      <c r="R57" s="1"/>
      <c r="S57" s="1"/>
      <c r="T57" s="1"/>
      <c r="U57" s="1"/>
      <c r="V57" s="1"/>
      <c r="W57" s="1"/>
      <c r="X57" s="1"/>
      <c r="Y57" s="1"/>
      <c r="Z57" s="1"/>
      <c r="AA57" s="1"/>
      <c r="AB57" s="1"/>
      <c r="AC57" s="1"/>
      <c r="AD57" s="1"/>
      <c r="AE57" s="1"/>
      <c r="AF57" s="1"/>
    </row>
    <row r="58" ht="15.75" customHeight="1">
      <c r="A58" s="1"/>
      <c r="B58" s="372"/>
      <c r="C58" s="116"/>
      <c r="D58" s="117"/>
      <c r="E58" s="156"/>
      <c r="F58" s="1"/>
      <c r="G58" s="112"/>
      <c r="H58" s="298"/>
      <c r="I58" s="110"/>
      <c r="J58" s="373" t="s">
        <v>315</v>
      </c>
      <c r="K58" s="228">
        <v>1.0</v>
      </c>
      <c r="L58" s="61"/>
      <c r="M58" s="2"/>
      <c r="N58" s="2"/>
      <c r="O58" s="2"/>
      <c r="P58" s="2"/>
      <c r="Q58" s="2"/>
      <c r="R58" s="1"/>
      <c r="S58" s="1"/>
      <c r="T58" s="1"/>
      <c r="U58" s="1"/>
      <c r="V58" s="1"/>
      <c r="W58" s="1"/>
      <c r="X58" s="1"/>
      <c r="Y58" s="1"/>
      <c r="Z58" s="1"/>
      <c r="AA58" s="1"/>
      <c r="AB58" s="1"/>
      <c r="AC58" s="1"/>
      <c r="AD58" s="1"/>
      <c r="AE58" s="1"/>
      <c r="AF58" s="1"/>
    </row>
    <row r="59" ht="15.75" customHeight="1">
      <c r="A59" s="1"/>
      <c r="B59" s="377"/>
      <c r="C59" s="378"/>
      <c r="D59" s="107"/>
      <c r="E59" s="156"/>
      <c r="F59" s="156"/>
      <c r="G59" s="112"/>
      <c r="H59" s="298"/>
      <c r="I59" s="110"/>
      <c r="J59" s="99" t="s">
        <v>327</v>
      </c>
      <c r="K59" s="228"/>
      <c r="L59" s="2"/>
      <c r="M59" s="2"/>
      <c r="N59" s="1"/>
      <c r="O59" s="1"/>
      <c r="P59" s="1"/>
      <c r="Q59" s="1"/>
      <c r="R59" s="1"/>
      <c r="S59" s="1"/>
      <c r="T59" s="1"/>
      <c r="U59" s="1"/>
      <c r="V59" s="1"/>
      <c r="W59" s="1"/>
      <c r="X59" s="1"/>
      <c r="Y59" s="1"/>
      <c r="Z59" s="1"/>
      <c r="AA59" s="1"/>
      <c r="AB59" s="1"/>
      <c r="AC59" s="1"/>
      <c r="AD59" s="1"/>
      <c r="AE59" s="1"/>
      <c r="AF59" s="1"/>
    </row>
    <row r="60" ht="15.75" customHeight="1">
      <c r="A60" s="1"/>
      <c r="B60" s="380"/>
      <c r="C60" s="378"/>
      <c r="D60" s="107"/>
      <c r="E60" s="156"/>
      <c r="F60" s="156"/>
      <c r="G60" s="112"/>
      <c r="H60" s="298"/>
      <c r="I60" s="110"/>
      <c r="J60" s="58" t="s">
        <v>291</v>
      </c>
      <c r="K60" s="228">
        <v>2.0</v>
      </c>
      <c r="L60" s="61"/>
      <c r="M60" s="2"/>
      <c r="N60" s="1"/>
      <c r="O60" s="1"/>
      <c r="P60" s="1"/>
      <c r="Q60" s="1"/>
      <c r="R60" s="1"/>
      <c r="S60" s="1"/>
      <c r="T60" s="1"/>
      <c r="U60" s="1"/>
      <c r="V60" s="1"/>
      <c r="W60" s="1"/>
      <c r="X60" s="1"/>
      <c r="Y60" s="1"/>
      <c r="Z60" s="1"/>
      <c r="AA60" s="1"/>
      <c r="AB60" s="1"/>
      <c r="AC60" s="1"/>
      <c r="AD60" s="1"/>
      <c r="AE60" s="1"/>
      <c r="AF60" s="1"/>
    </row>
    <row r="61" ht="15.75" customHeight="1">
      <c r="A61" s="1"/>
      <c r="B61" s="377"/>
      <c r="C61" s="381"/>
      <c r="D61" s="382"/>
      <c r="E61" s="156"/>
      <c r="F61" s="156"/>
      <c r="G61" s="112"/>
      <c r="H61" s="298"/>
      <c r="I61" s="110"/>
      <c r="J61" s="368" t="s">
        <v>331</v>
      </c>
      <c r="K61" s="228">
        <v>1.0</v>
      </c>
      <c r="L61" s="61"/>
      <c r="M61" s="2"/>
      <c r="N61" s="1"/>
      <c r="O61" s="1"/>
      <c r="P61" s="1"/>
      <c r="Q61" s="1"/>
      <c r="R61" s="1"/>
      <c r="S61" s="1"/>
      <c r="T61" s="1"/>
      <c r="U61" s="1"/>
      <c r="V61" s="1"/>
      <c r="W61" s="1"/>
      <c r="X61" s="1"/>
      <c r="Y61" s="1"/>
      <c r="Z61" s="1"/>
      <c r="AA61" s="1"/>
      <c r="AB61" s="1"/>
      <c r="AC61" s="1"/>
      <c r="AD61" s="1"/>
      <c r="AE61" s="1"/>
      <c r="AF61" s="1"/>
    </row>
    <row r="62" ht="15.75" customHeight="1">
      <c r="A62" s="1"/>
      <c r="B62" s="380"/>
      <c r="C62" s="383"/>
      <c r="D62" s="385"/>
      <c r="E62" s="156"/>
      <c r="F62" s="156"/>
      <c r="G62" s="112"/>
      <c r="H62" s="386"/>
      <c r="I62" s="70"/>
      <c r="J62" s="368" t="s">
        <v>315</v>
      </c>
      <c r="K62" s="240">
        <v>2.0</v>
      </c>
      <c r="L62" s="2"/>
      <c r="M62" s="2"/>
      <c r="N62" s="1"/>
      <c r="O62" s="1"/>
      <c r="P62" s="1"/>
      <c r="Q62" s="1"/>
      <c r="R62" s="1"/>
      <c r="S62" s="1"/>
      <c r="T62" s="1"/>
      <c r="U62" s="1"/>
      <c r="V62" s="1"/>
      <c r="W62" s="1"/>
      <c r="X62" s="1"/>
      <c r="Y62" s="1"/>
      <c r="Z62" s="1"/>
      <c r="AA62" s="1"/>
      <c r="AB62" s="1"/>
      <c r="AC62" s="1"/>
      <c r="AD62" s="1"/>
      <c r="AE62" s="1"/>
      <c r="AF62" s="1"/>
    </row>
    <row r="63" ht="15.75" customHeight="1">
      <c r="A63" s="1"/>
      <c r="B63" s="372"/>
      <c r="C63" s="148"/>
      <c r="D63" s="49"/>
      <c r="E63" s="156"/>
      <c r="F63" s="156"/>
      <c r="G63" s="112"/>
      <c r="H63" s="387" t="s">
        <v>335</v>
      </c>
      <c r="I63" s="286" t="s">
        <v>336</v>
      </c>
      <c r="J63" s="58" t="s">
        <v>281</v>
      </c>
      <c r="K63" s="228">
        <v>1.0</v>
      </c>
      <c r="L63" s="2"/>
      <c r="M63" s="2"/>
      <c r="N63" s="1"/>
      <c r="O63" s="1"/>
      <c r="P63" s="1"/>
      <c r="Q63" s="1"/>
      <c r="R63" s="1"/>
      <c r="S63" s="1"/>
      <c r="T63" s="1"/>
      <c r="U63" s="1"/>
      <c r="V63" s="1"/>
      <c r="W63" s="1"/>
      <c r="X63" s="1"/>
      <c r="Y63" s="1"/>
      <c r="Z63" s="1"/>
      <c r="AA63" s="1"/>
      <c r="AB63" s="1"/>
      <c r="AC63" s="1"/>
      <c r="AD63" s="1"/>
      <c r="AE63" s="1"/>
      <c r="AF63" s="1"/>
    </row>
    <row r="64" ht="15.75" customHeight="1">
      <c r="A64" s="1"/>
      <c r="B64" s="380"/>
      <c r="C64" s="383"/>
      <c r="D64" s="161"/>
      <c r="E64" s="156"/>
      <c r="F64" s="156"/>
      <c r="G64" s="112"/>
      <c r="H64" s="298"/>
      <c r="I64" s="110"/>
      <c r="J64" s="58" t="s">
        <v>285</v>
      </c>
      <c r="K64" s="228">
        <v>6.0</v>
      </c>
      <c r="L64" s="220"/>
      <c r="M64" s="221"/>
      <c r="N64" s="223"/>
      <c r="O64" s="231"/>
      <c r="P64" s="226"/>
      <c r="Q64" s="1"/>
      <c r="R64" s="1"/>
      <c r="S64" s="1"/>
      <c r="T64" s="1"/>
      <c r="U64" s="1"/>
      <c r="V64" s="1"/>
      <c r="W64" s="1"/>
      <c r="X64" s="1"/>
      <c r="Y64" s="1"/>
      <c r="Z64" s="1"/>
      <c r="AA64" s="1"/>
      <c r="AB64" s="1"/>
      <c r="AC64" s="1"/>
      <c r="AD64" s="1"/>
      <c r="AE64" s="1"/>
      <c r="AF64" s="1"/>
    </row>
    <row r="65" ht="15.75" customHeight="1">
      <c r="A65" s="1"/>
      <c r="B65" s="377"/>
      <c r="C65" s="381"/>
      <c r="D65" s="161"/>
      <c r="E65" s="156"/>
      <c r="F65" s="156"/>
      <c r="G65" s="112"/>
      <c r="H65" s="298"/>
      <c r="I65" s="110"/>
      <c r="J65" s="58" t="s">
        <v>288</v>
      </c>
      <c r="K65" s="228">
        <v>2.0</v>
      </c>
      <c r="L65" s="2"/>
      <c r="M65" s="2"/>
      <c r="N65" s="1"/>
      <c r="O65" s="1"/>
      <c r="P65" s="1"/>
      <c r="Q65" s="1"/>
      <c r="R65" s="1"/>
      <c r="S65" s="1"/>
      <c r="T65" s="1"/>
      <c r="U65" s="1"/>
      <c r="V65" s="1"/>
      <c r="W65" s="1"/>
      <c r="X65" s="1"/>
      <c r="Y65" s="1"/>
      <c r="Z65" s="1"/>
      <c r="AA65" s="1"/>
      <c r="AB65" s="1"/>
      <c r="AC65" s="1"/>
      <c r="AD65" s="1"/>
      <c r="AE65" s="1"/>
      <c r="AF65" s="1"/>
    </row>
    <row r="66" ht="15.75" customHeight="1">
      <c r="A66" s="1"/>
      <c r="B66" s="380"/>
      <c r="C66" s="383"/>
      <c r="D66" s="8"/>
      <c r="E66" s="156"/>
      <c r="F66" s="156"/>
      <c r="G66" s="112"/>
      <c r="H66" s="298"/>
      <c r="I66" s="110"/>
      <c r="J66" s="58" t="s">
        <v>291</v>
      </c>
      <c r="K66" s="228">
        <v>4.0</v>
      </c>
      <c r="L66" s="61"/>
      <c r="M66" s="2"/>
      <c r="N66" s="2"/>
      <c r="O66" s="2"/>
      <c r="P66" s="2"/>
      <c r="Q66" s="2"/>
      <c r="R66" s="2"/>
      <c r="S66" s="2"/>
      <c r="T66" s="2"/>
      <c r="U66" s="2"/>
      <c r="V66" s="1"/>
      <c r="W66" s="1"/>
      <c r="X66" s="1"/>
      <c r="Y66" s="1"/>
      <c r="Z66" s="1"/>
      <c r="AA66" s="1"/>
      <c r="AB66" s="1"/>
      <c r="AC66" s="1"/>
      <c r="AD66" s="1"/>
      <c r="AE66" s="1"/>
      <c r="AF66" s="1"/>
    </row>
    <row r="67" ht="15.75" customHeight="1">
      <c r="A67" s="1"/>
      <c r="B67" s="377"/>
      <c r="C67" s="381"/>
      <c r="D67" s="390"/>
      <c r="E67" s="156"/>
      <c r="F67" s="156"/>
      <c r="G67" s="133"/>
      <c r="H67" s="386"/>
      <c r="I67" s="70"/>
      <c r="J67" s="58" t="s">
        <v>273</v>
      </c>
      <c r="K67" s="240">
        <v>1.0</v>
      </c>
      <c r="L67" s="332"/>
      <c r="M67" s="241"/>
      <c r="N67" s="241"/>
      <c r="O67" s="241"/>
      <c r="P67" s="241"/>
      <c r="Q67" s="241"/>
      <c r="R67" s="241"/>
      <c r="S67" s="241"/>
      <c r="T67" s="241"/>
      <c r="U67" s="241"/>
      <c r="V67" s="241"/>
      <c r="W67" s="241"/>
      <c r="X67" s="241"/>
      <c r="Y67" s="241"/>
      <c r="Z67" s="241"/>
      <c r="AA67" s="241"/>
      <c r="AB67" s="241"/>
      <c r="AC67" s="1"/>
      <c r="AD67" s="1"/>
      <c r="AE67" s="1"/>
      <c r="AF67" s="1"/>
    </row>
    <row r="68" ht="24.75" customHeight="1">
      <c r="A68" s="1"/>
      <c r="B68" s="372"/>
      <c r="C68" s="130"/>
      <c r="D68" s="155"/>
      <c r="E68" s="156"/>
      <c r="F68" s="156"/>
      <c r="G68" s="77" t="s">
        <v>340</v>
      </c>
      <c r="H68" s="391" t="s">
        <v>341</v>
      </c>
      <c r="I68" s="95"/>
      <c r="J68" s="392" t="s">
        <v>325</v>
      </c>
      <c r="K68" s="392">
        <v>2.0</v>
      </c>
      <c r="L68" s="2"/>
      <c r="M68" s="2"/>
      <c r="N68" s="1"/>
      <c r="O68" s="1"/>
      <c r="P68" s="1"/>
      <c r="Q68" s="1"/>
      <c r="R68" s="1"/>
      <c r="S68" s="1"/>
      <c r="T68" s="1"/>
      <c r="U68" s="1"/>
      <c r="V68" s="1"/>
      <c r="W68" s="1"/>
      <c r="X68" s="1"/>
      <c r="Y68" s="1"/>
      <c r="Z68" s="1"/>
      <c r="AA68" s="1"/>
      <c r="AB68" s="1"/>
      <c r="AC68" s="1"/>
      <c r="AD68" s="1"/>
      <c r="AE68" s="1"/>
      <c r="AF68" s="1"/>
    </row>
    <row r="69" ht="24.75" customHeight="1">
      <c r="A69" s="1"/>
      <c r="B69" s="377"/>
      <c r="C69" s="381"/>
      <c r="D69" s="155"/>
      <c r="E69" s="156"/>
      <c r="F69" s="156"/>
      <c r="G69" s="70"/>
      <c r="H69" s="133"/>
      <c r="I69" s="78"/>
      <c r="J69" s="393" t="s">
        <v>328</v>
      </c>
      <c r="K69" s="393">
        <v>2.0</v>
      </c>
      <c r="L69" s="2"/>
      <c r="M69" s="2"/>
      <c r="N69" s="1"/>
      <c r="O69" s="1"/>
      <c r="P69" s="1"/>
      <c r="Q69" s="1"/>
      <c r="R69" s="1"/>
      <c r="S69" s="1"/>
      <c r="T69" s="1"/>
      <c r="U69" s="1"/>
      <c r="V69" s="1"/>
      <c r="W69" s="1"/>
      <c r="X69" s="1"/>
      <c r="Y69" s="1"/>
      <c r="Z69" s="1"/>
      <c r="AA69" s="1"/>
      <c r="AB69" s="1"/>
      <c r="AC69" s="1"/>
      <c r="AD69" s="1"/>
      <c r="AE69" s="1"/>
      <c r="AF69" s="1"/>
    </row>
    <row r="70" ht="39.75" customHeight="1">
      <c r="A70" s="1"/>
      <c r="B70" s="380"/>
      <c r="C70" s="383"/>
      <c r="D70" s="197"/>
      <c r="E70" s="156"/>
      <c r="F70" s="156"/>
      <c r="G70" s="96" t="s">
        <v>344</v>
      </c>
      <c r="H70" s="251" t="s">
        <v>334</v>
      </c>
      <c r="I70" s="190"/>
      <c r="J70" s="394" t="s">
        <v>346</v>
      </c>
      <c r="K70" s="56"/>
      <c r="L70" s="1"/>
      <c r="M70" s="1"/>
      <c r="N70" s="1"/>
      <c r="O70" s="1"/>
      <c r="P70" s="1"/>
      <c r="Q70" s="1"/>
      <c r="R70" s="1"/>
      <c r="S70" s="1"/>
      <c r="T70" s="1"/>
      <c r="U70" s="1"/>
      <c r="V70" s="1"/>
      <c r="W70" s="1"/>
      <c r="X70" s="1"/>
      <c r="Y70" s="1"/>
      <c r="Z70" s="1"/>
      <c r="AA70" s="1"/>
      <c r="AB70" s="1"/>
      <c r="AC70" s="1"/>
      <c r="AD70" s="1"/>
      <c r="AE70" s="1"/>
      <c r="AF70" s="1"/>
    </row>
    <row r="71" ht="20.25" customHeight="1">
      <c r="A71" s="1"/>
      <c r="B71" s="377"/>
      <c r="C71" s="381"/>
      <c r="D71" s="197"/>
      <c r="E71" s="156"/>
      <c r="F71" s="156"/>
      <c r="G71" s="112"/>
      <c r="H71" s="112"/>
      <c r="I71" s="56"/>
      <c r="J71" s="112"/>
      <c r="K71" s="56"/>
      <c r="L71" s="1"/>
      <c r="M71" s="1"/>
      <c r="N71" s="1"/>
      <c r="O71" s="1"/>
      <c r="P71" s="1"/>
      <c r="Q71" s="1"/>
      <c r="R71" s="1"/>
      <c r="S71" s="1"/>
      <c r="T71" s="1"/>
      <c r="U71" s="1"/>
      <c r="V71" s="1"/>
      <c r="W71" s="1"/>
      <c r="X71" s="1"/>
      <c r="Y71" s="1"/>
      <c r="Z71" s="1"/>
      <c r="AA71" s="1"/>
      <c r="AB71" s="1"/>
      <c r="AC71" s="1"/>
      <c r="AD71" s="1"/>
      <c r="AE71" s="1"/>
      <c r="AF71" s="1"/>
    </row>
    <row r="72" ht="28.5" customHeight="1">
      <c r="A72" s="1"/>
      <c r="B72" s="380"/>
      <c r="C72" s="383"/>
      <c r="D72" s="390"/>
      <c r="E72" s="156"/>
      <c r="F72" s="156"/>
      <c r="G72" s="112"/>
      <c r="H72" s="112"/>
      <c r="I72" s="56"/>
      <c r="J72" s="133"/>
      <c r="K72" s="78"/>
      <c r="L72" s="241"/>
      <c r="M72" s="241"/>
      <c r="N72" s="241"/>
      <c r="O72" s="241"/>
      <c r="P72" s="241"/>
      <c r="Q72" s="241"/>
      <c r="R72" s="241"/>
      <c r="S72" s="241"/>
      <c r="T72" s="241"/>
      <c r="U72" s="241"/>
      <c r="V72" s="241"/>
      <c r="W72" s="241"/>
      <c r="X72" s="241"/>
      <c r="Y72" s="241"/>
      <c r="Z72" s="241"/>
      <c r="AA72" s="241"/>
      <c r="AB72" s="241"/>
      <c r="AC72" s="1"/>
      <c r="AD72" s="1"/>
      <c r="AE72" s="1"/>
      <c r="AF72" s="1"/>
    </row>
    <row r="73" ht="15.75" customHeight="1">
      <c r="A73" s="1"/>
      <c r="B73" s="372"/>
      <c r="C73" s="66"/>
      <c r="D73" s="179"/>
      <c r="E73" s="156"/>
      <c r="F73" s="156"/>
      <c r="G73" s="112"/>
      <c r="H73" s="112"/>
      <c r="I73" s="56"/>
      <c r="J73" s="261" t="s">
        <v>226</v>
      </c>
      <c r="K73" s="228">
        <v>2.0</v>
      </c>
      <c r="L73" s="2"/>
      <c r="M73" s="2"/>
      <c r="N73" s="1"/>
      <c r="O73" s="1"/>
      <c r="P73" s="1"/>
      <c r="Q73" s="1"/>
      <c r="R73" s="1"/>
      <c r="S73" s="1"/>
      <c r="T73" s="1"/>
      <c r="U73" s="1"/>
      <c r="V73" s="1"/>
      <c r="W73" s="1"/>
      <c r="X73" s="1"/>
      <c r="Y73" s="1"/>
      <c r="Z73" s="1"/>
      <c r="AA73" s="1"/>
      <c r="AB73" s="1"/>
      <c r="AC73" s="1"/>
      <c r="AD73" s="1"/>
      <c r="AE73" s="1"/>
      <c r="AF73" s="1"/>
    </row>
    <row r="74" ht="15.75" customHeight="1">
      <c r="A74" s="1"/>
      <c r="B74" s="380"/>
      <c r="C74" s="383"/>
      <c r="D74" s="139"/>
      <c r="E74" s="156"/>
      <c r="F74" s="156"/>
      <c r="G74" s="112"/>
      <c r="H74" s="112"/>
      <c r="I74" s="56"/>
      <c r="J74" s="58" t="s">
        <v>239</v>
      </c>
      <c r="K74" s="228">
        <v>2.0</v>
      </c>
      <c r="L74" s="2"/>
      <c r="M74" s="2"/>
      <c r="N74" s="1"/>
      <c r="O74" s="1"/>
      <c r="P74" s="1"/>
      <c r="Q74" s="1"/>
      <c r="R74" s="1"/>
      <c r="S74" s="1"/>
      <c r="T74" s="1"/>
      <c r="U74" s="1"/>
      <c r="V74" s="1"/>
      <c r="W74" s="1"/>
      <c r="X74" s="1"/>
      <c r="Y74" s="1"/>
      <c r="Z74" s="1"/>
      <c r="AA74" s="1"/>
      <c r="AB74" s="1"/>
      <c r="AC74" s="1"/>
      <c r="AD74" s="1"/>
      <c r="AE74" s="1"/>
      <c r="AF74" s="1"/>
    </row>
    <row r="75" ht="15.75" customHeight="1">
      <c r="A75" s="1"/>
      <c r="B75" s="377"/>
      <c r="C75" s="381"/>
      <c r="D75" s="139"/>
      <c r="E75" s="156"/>
      <c r="F75" s="156"/>
      <c r="G75" s="112"/>
      <c r="H75" s="112"/>
      <c r="I75" s="56"/>
      <c r="J75" s="58" t="s">
        <v>253</v>
      </c>
      <c r="K75" s="228">
        <v>2.0</v>
      </c>
      <c r="L75" s="2"/>
      <c r="M75" s="2"/>
      <c r="N75" s="2"/>
      <c r="O75" s="1"/>
      <c r="P75" s="1"/>
      <c r="Q75" s="1"/>
      <c r="R75" s="1"/>
      <c r="S75" s="1"/>
      <c r="T75" s="1"/>
      <c r="U75" s="1"/>
      <c r="V75" s="1"/>
      <c r="W75" s="1"/>
      <c r="X75" s="1"/>
      <c r="Y75" s="1"/>
      <c r="Z75" s="1"/>
      <c r="AA75" s="1"/>
      <c r="AB75" s="1"/>
      <c r="AC75" s="1"/>
      <c r="AD75" s="1"/>
      <c r="AE75" s="1"/>
      <c r="AF75" s="1"/>
    </row>
    <row r="76" ht="15.75" customHeight="1">
      <c r="A76" s="1"/>
      <c r="B76" s="380"/>
      <c r="C76" s="383"/>
      <c r="D76" s="390"/>
      <c r="E76" s="156"/>
      <c r="F76" s="156"/>
      <c r="G76" s="112"/>
      <c r="H76" s="133"/>
      <c r="I76" s="78"/>
      <c r="J76" s="368" t="s">
        <v>358</v>
      </c>
      <c r="K76" s="240">
        <v>2.0</v>
      </c>
      <c r="L76" s="241"/>
      <c r="M76" s="241"/>
      <c r="N76" s="243"/>
      <c r="O76" s="241"/>
      <c r="P76" s="241"/>
      <c r="Q76" s="241"/>
      <c r="R76" s="241"/>
      <c r="S76" s="1"/>
      <c r="T76" s="1"/>
      <c r="U76" s="1"/>
      <c r="V76" s="1"/>
      <c r="W76" s="1"/>
      <c r="X76" s="1"/>
      <c r="Y76" s="1"/>
      <c r="Z76" s="1"/>
      <c r="AA76" s="1"/>
      <c r="AB76" s="1"/>
      <c r="AC76" s="1"/>
      <c r="AD76" s="1"/>
      <c r="AE76" s="1"/>
      <c r="AF76" s="1"/>
    </row>
    <row r="77" ht="15.75" customHeight="1">
      <c r="A77" s="1"/>
      <c r="B77" s="377"/>
      <c r="C77" s="381"/>
      <c r="D77" s="185"/>
      <c r="E77" s="156"/>
      <c r="F77" s="156"/>
      <c r="G77" s="112"/>
      <c r="H77" s="285" t="s">
        <v>361</v>
      </c>
      <c r="I77" s="286" t="s">
        <v>362</v>
      </c>
      <c r="J77" s="58" t="s">
        <v>281</v>
      </c>
      <c r="K77" s="228">
        <v>1.0</v>
      </c>
      <c r="L77" s="288"/>
      <c r="M77" s="288"/>
      <c r="N77" s="288"/>
      <c r="O77" s="288"/>
      <c r="P77" s="288"/>
      <c r="Q77" s="288"/>
      <c r="R77" s="1"/>
      <c r="S77" s="1"/>
      <c r="T77" s="1"/>
      <c r="U77" s="1"/>
      <c r="V77" s="1"/>
      <c r="W77" s="1"/>
      <c r="X77" s="1"/>
      <c r="Y77" s="1"/>
      <c r="Z77" s="1"/>
      <c r="AA77" s="1"/>
      <c r="AB77" s="1"/>
      <c r="AC77" s="1"/>
      <c r="AD77" s="1"/>
      <c r="AE77" s="1"/>
      <c r="AF77" s="1"/>
    </row>
    <row r="78" ht="15.75" customHeight="1">
      <c r="A78" s="1"/>
      <c r="B78" s="372"/>
      <c r="C78" s="193"/>
      <c r="D78" s="93"/>
      <c r="E78" s="156"/>
      <c r="F78" s="156"/>
      <c r="G78" s="112"/>
      <c r="H78" s="298"/>
      <c r="I78" s="110"/>
      <c r="J78" s="58" t="s">
        <v>285</v>
      </c>
      <c r="K78" s="228">
        <v>6.0</v>
      </c>
      <c r="L78" s="220"/>
      <c r="M78" s="221"/>
      <c r="N78" s="223"/>
      <c r="O78" s="231"/>
      <c r="P78" s="226"/>
      <c r="Q78" s="1"/>
      <c r="R78" s="1"/>
      <c r="S78" s="1"/>
      <c r="T78" s="1"/>
      <c r="U78" s="1"/>
      <c r="V78" s="1"/>
      <c r="W78" s="1"/>
      <c r="X78" s="1"/>
      <c r="Y78" s="1"/>
      <c r="Z78" s="1"/>
      <c r="AA78" s="1"/>
      <c r="AB78" s="1"/>
      <c r="AC78" s="1"/>
      <c r="AD78" s="1"/>
      <c r="AE78" s="1"/>
      <c r="AF78" s="1"/>
    </row>
    <row r="79" ht="15.75" customHeight="1">
      <c r="A79" s="1"/>
      <c r="B79" s="377"/>
      <c r="C79" s="381"/>
      <c r="D79" s="93"/>
      <c r="E79" s="156"/>
      <c r="F79" s="156"/>
      <c r="G79" s="112"/>
      <c r="H79" s="298"/>
      <c r="I79" s="110"/>
      <c r="J79" s="58" t="s">
        <v>288</v>
      </c>
      <c r="K79" s="228">
        <v>2.0</v>
      </c>
      <c r="L79" s="2"/>
      <c r="M79" s="2"/>
      <c r="N79" s="1"/>
      <c r="O79" s="1"/>
      <c r="P79" s="1"/>
      <c r="Q79" s="1"/>
      <c r="R79" s="1"/>
      <c r="S79" s="1"/>
      <c r="T79" s="1"/>
      <c r="U79" s="1"/>
      <c r="V79" s="1"/>
      <c r="W79" s="1"/>
      <c r="X79" s="1"/>
      <c r="Y79" s="1"/>
      <c r="Z79" s="1"/>
      <c r="AA79" s="1"/>
      <c r="AB79" s="1"/>
      <c r="AC79" s="1"/>
      <c r="AD79" s="1"/>
      <c r="AE79" s="1"/>
      <c r="AF79" s="1"/>
    </row>
    <row r="80" ht="15.75" customHeight="1">
      <c r="A80" s="1"/>
      <c r="B80" s="380"/>
      <c r="C80" s="383"/>
      <c r="D80" s="167"/>
      <c r="E80" s="156"/>
      <c r="F80" s="156"/>
      <c r="G80" s="112"/>
      <c r="H80" s="298"/>
      <c r="I80" s="110"/>
      <c r="J80" s="58" t="s">
        <v>291</v>
      </c>
      <c r="K80" s="228">
        <v>3.0</v>
      </c>
      <c r="L80" s="4"/>
      <c r="M80" s="402"/>
      <c r="N80" s="2"/>
      <c r="O80" s="2"/>
      <c r="P80" s="1"/>
      <c r="Q80" s="1"/>
      <c r="R80" s="1"/>
      <c r="S80" s="1"/>
      <c r="T80" s="1"/>
      <c r="U80" s="1"/>
      <c r="V80" s="1"/>
      <c r="W80" s="1"/>
      <c r="X80" s="1"/>
      <c r="Y80" s="1"/>
      <c r="Z80" s="1"/>
      <c r="AA80" s="1"/>
      <c r="AB80" s="1"/>
      <c r="AC80" s="1"/>
      <c r="AD80" s="1"/>
      <c r="AE80" s="1"/>
      <c r="AF80" s="1"/>
    </row>
    <row r="81" ht="15.75" customHeight="1">
      <c r="A81" s="1"/>
      <c r="B81" s="377"/>
      <c r="C81" s="381"/>
      <c r="D81" s="167"/>
      <c r="E81" s="156"/>
      <c r="F81" s="156"/>
      <c r="G81" s="112"/>
      <c r="H81" s="298"/>
      <c r="I81" s="70"/>
      <c r="J81" s="134" t="s">
        <v>273</v>
      </c>
      <c r="K81" s="240">
        <v>2.0</v>
      </c>
      <c r="L81" s="406"/>
      <c r="M81" s="241"/>
      <c r="N81" s="243"/>
      <c r="O81" s="241"/>
      <c r="P81" s="241"/>
      <c r="Q81" s="241"/>
      <c r="R81" s="241"/>
      <c r="S81" s="241"/>
      <c r="T81" s="241"/>
      <c r="U81" s="241"/>
      <c r="V81" s="241"/>
      <c r="W81" s="241"/>
      <c r="X81" s="241"/>
      <c r="Y81" s="241"/>
      <c r="Z81" s="241"/>
      <c r="AA81" s="241"/>
      <c r="AB81" s="241"/>
      <c r="AC81" s="1"/>
      <c r="AD81" s="1"/>
      <c r="AE81" s="1"/>
      <c r="AF81" s="1"/>
    </row>
    <row r="82" ht="15.75" customHeight="1">
      <c r="A82" s="1"/>
      <c r="B82" s="411"/>
      <c r="C82" s="413"/>
      <c r="D82" s="414"/>
      <c r="E82" s="156"/>
      <c r="F82" s="156"/>
      <c r="G82" s="112"/>
      <c r="H82" s="298"/>
      <c r="I82" s="286" t="s">
        <v>380</v>
      </c>
      <c r="J82" s="58" t="s">
        <v>281</v>
      </c>
      <c r="K82" s="228">
        <v>1.0</v>
      </c>
      <c r="L82" s="416"/>
      <c r="M82" s="288"/>
      <c r="N82" s="288"/>
      <c r="O82" s="288"/>
      <c r="P82" s="288"/>
      <c r="Q82" s="288"/>
      <c r="R82" s="1"/>
      <c r="S82" s="1"/>
      <c r="T82" s="1"/>
      <c r="U82" s="1"/>
      <c r="V82" s="1"/>
      <c r="W82" s="1"/>
      <c r="X82" s="1"/>
      <c r="Y82" s="1"/>
      <c r="Z82" s="1"/>
      <c r="AA82" s="1"/>
      <c r="AB82" s="1"/>
      <c r="AC82" s="1"/>
      <c r="AD82" s="1"/>
      <c r="AE82" s="1"/>
      <c r="AF82" s="1"/>
    </row>
    <row r="83" ht="15.75" customHeight="1">
      <c r="A83" s="1"/>
      <c r="B83" s="1"/>
      <c r="C83" s="4"/>
      <c r="D83" s="4"/>
      <c r="E83" s="156"/>
      <c r="F83" s="156"/>
      <c r="G83" s="112"/>
      <c r="H83" s="298"/>
      <c r="I83" s="110"/>
      <c r="J83" s="58" t="s">
        <v>285</v>
      </c>
      <c r="K83" s="228">
        <v>6.0</v>
      </c>
      <c r="L83" s="418"/>
      <c r="M83" s="221"/>
      <c r="N83" s="223"/>
      <c r="O83" s="231"/>
      <c r="P83" s="226"/>
      <c r="Q83" s="1"/>
      <c r="R83" s="1"/>
      <c r="S83" s="1"/>
      <c r="T83" s="1"/>
      <c r="U83" s="1"/>
      <c r="V83" s="1"/>
      <c r="W83" s="1"/>
      <c r="X83" s="1"/>
      <c r="Y83" s="1"/>
      <c r="Z83" s="1"/>
      <c r="AA83" s="1"/>
      <c r="AB83" s="1"/>
      <c r="AC83" s="1"/>
      <c r="AD83" s="1"/>
      <c r="AE83" s="1"/>
      <c r="AF83" s="1"/>
    </row>
    <row r="84" ht="15.75" customHeight="1">
      <c r="A84" s="1"/>
      <c r="B84" s="369" t="s">
        <v>383</v>
      </c>
      <c r="C84" s="370" t="s">
        <v>320</v>
      </c>
      <c r="D84" s="371" t="s">
        <v>321</v>
      </c>
      <c r="E84" s="156"/>
      <c r="F84" s="156"/>
      <c r="G84" s="112"/>
      <c r="H84" s="298"/>
      <c r="I84" s="110"/>
      <c r="J84" s="58" t="s">
        <v>288</v>
      </c>
      <c r="K84" s="228">
        <v>2.0</v>
      </c>
      <c r="L84" s="4"/>
      <c r="M84" s="2"/>
      <c r="N84" s="1"/>
      <c r="O84" s="1"/>
      <c r="P84" s="1"/>
      <c r="Q84" s="1"/>
      <c r="R84" s="1"/>
      <c r="S84" s="1"/>
      <c r="T84" s="1"/>
      <c r="U84" s="1"/>
      <c r="V84" s="1"/>
      <c r="W84" s="1"/>
      <c r="X84" s="1"/>
      <c r="Y84" s="1"/>
      <c r="Z84" s="1"/>
      <c r="AA84" s="1"/>
      <c r="AB84" s="1"/>
      <c r="AC84" s="1"/>
      <c r="AD84" s="1"/>
      <c r="AE84" s="1"/>
      <c r="AF84" s="1"/>
    </row>
    <row r="85" ht="15.75" customHeight="1">
      <c r="A85" s="1"/>
      <c r="B85" s="372"/>
      <c r="C85" s="116"/>
      <c r="D85" s="117"/>
      <c r="E85" s="156"/>
      <c r="F85" s="156"/>
      <c r="G85" s="112"/>
      <c r="H85" s="298"/>
      <c r="I85" s="110"/>
      <c r="J85" s="58" t="s">
        <v>291</v>
      </c>
      <c r="K85" s="228">
        <v>3.0</v>
      </c>
      <c r="L85" s="4"/>
      <c r="M85" s="2"/>
      <c r="N85" s="2"/>
      <c r="O85" s="1"/>
      <c r="P85" s="1"/>
      <c r="Q85" s="1"/>
      <c r="R85" s="1"/>
      <c r="S85" s="1"/>
      <c r="T85" s="1"/>
      <c r="U85" s="1"/>
      <c r="V85" s="1"/>
      <c r="W85" s="1"/>
      <c r="X85" s="1"/>
      <c r="Y85" s="1"/>
      <c r="Z85" s="1"/>
      <c r="AA85" s="1"/>
      <c r="AB85" s="1"/>
      <c r="AC85" s="1"/>
      <c r="AD85" s="1"/>
      <c r="AE85" s="1"/>
      <c r="AF85" s="1"/>
    </row>
    <row r="86" ht="15.75" customHeight="1">
      <c r="A86" s="1"/>
      <c r="B86" s="377"/>
      <c r="C86" s="378"/>
      <c r="D86" s="107"/>
      <c r="E86" s="156"/>
      <c r="F86" s="156"/>
      <c r="G86" s="112"/>
      <c r="H86" s="298"/>
      <c r="I86" s="70"/>
      <c r="J86" s="424" t="s">
        <v>273</v>
      </c>
      <c r="K86" s="425">
        <v>2.0</v>
      </c>
      <c r="L86" s="406"/>
      <c r="M86" s="241"/>
      <c r="N86" s="241"/>
      <c r="O86" s="241"/>
      <c r="P86" s="241"/>
      <c r="Q86" s="241"/>
      <c r="R86" s="2"/>
      <c r="S86" s="2"/>
      <c r="T86" s="2"/>
      <c r="U86" s="2"/>
      <c r="V86" s="2"/>
      <c r="W86" s="2"/>
      <c r="X86" s="1"/>
      <c r="Y86" s="1"/>
      <c r="Z86" s="2"/>
      <c r="AA86" s="2"/>
      <c r="AB86" s="1"/>
      <c r="AC86" s="1"/>
      <c r="AD86" s="1"/>
      <c r="AE86" s="1"/>
      <c r="AF86" s="1"/>
    </row>
    <row r="87" ht="15.75" customHeight="1">
      <c r="A87" s="1"/>
      <c r="B87" s="380"/>
      <c r="C87" s="378"/>
      <c r="D87" s="107"/>
      <c r="E87" s="156"/>
      <c r="F87" s="156"/>
      <c r="G87" s="112"/>
      <c r="H87" s="298"/>
      <c r="I87" s="426" t="s">
        <v>384</v>
      </c>
      <c r="J87" s="58" t="s">
        <v>385</v>
      </c>
      <c r="K87" s="228"/>
      <c r="L87" s="416"/>
      <c r="M87" s="288"/>
      <c r="N87" s="288"/>
      <c r="O87" s="288"/>
      <c r="P87" s="288"/>
      <c r="Q87" s="1"/>
      <c r="R87" s="1"/>
      <c r="S87" s="1"/>
      <c r="T87" s="1"/>
      <c r="U87" s="1"/>
      <c r="V87" s="1"/>
      <c r="W87" s="1"/>
      <c r="X87" s="1"/>
      <c r="Y87" s="1"/>
      <c r="Z87" s="1"/>
      <c r="AA87" s="1"/>
      <c r="AB87" s="1"/>
      <c r="AC87" s="1"/>
      <c r="AD87" s="1"/>
      <c r="AE87" s="1"/>
      <c r="AF87" s="1"/>
    </row>
    <row r="88" ht="15.75" customHeight="1">
      <c r="A88" s="1"/>
      <c r="B88" s="377"/>
      <c r="C88" s="378"/>
      <c r="D88" s="427"/>
      <c r="E88" s="156"/>
      <c r="F88" s="156"/>
      <c r="G88" s="112"/>
      <c r="H88" s="298"/>
      <c r="I88" s="110"/>
      <c r="J88" s="58" t="s">
        <v>350</v>
      </c>
      <c r="K88" s="228">
        <v>1.0</v>
      </c>
      <c r="L88" s="4"/>
      <c r="M88" s="1"/>
      <c r="N88" s="2"/>
      <c r="O88" s="1"/>
      <c r="P88" s="1"/>
      <c r="Q88" s="1"/>
      <c r="R88" s="1"/>
      <c r="S88" s="1"/>
      <c r="T88" s="1"/>
      <c r="U88" s="1"/>
      <c r="V88" s="1"/>
      <c r="W88" s="1"/>
      <c r="X88" s="1"/>
      <c r="Y88" s="1"/>
      <c r="Z88" s="1"/>
      <c r="AA88" s="1"/>
      <c r="AB88" s="1"/>
      <c r="AC88" s="1"/>
      <c r="AD88" s="1"/>
      <c r="AE88" s="1"/>
      <c r="AF88" s="1"/>
    </row>
    <row r="89" ht="15.75" customHeight="1">
      <c r="A89" s="1"/>
      <c r="B89" s="380"/>
      <c r="C89" s="383"/>
      <c r="D89" s="428"/>
      <c r="E89" s="156"/>
      <c r="F89" s="156"/>
      <c r="G89" s="112"/>
      <c r="H89" s="298"/>
      <c r="I89" s="110"/>
      <c r="J89" s="368" t="s">
        <v>291</v>
      </c>
      <c r="K89" s="240">
        <v>1.0</v>
      </c>
      <c r="L89" s="406"/>
      <c r="M89" s="241"/>
      <c r="N89" s="241"/>
      <c r="O89" s="241"/>
      <c r="P89" s="241"/>
      <c r="Q89" s="241"/>
      <c r="R89" s="241"/>
      <c r="S89" s="241"/>
      <c r="T89" s="241"/>
      <c r="U89" s="241"/>
      <c r="V89" s="241"/>
      <c r="W89" s="241"/>
      <c r="X89" s="241"/>
      <c r="Y89" s="241"/>
      <c r="Z89" s="241"/>
      <c r="AA89" s="241"/>
      <c r="AB89" s="241"/>
      <c r="AC89" s="2"/>
      <c r="AD89" s="1"/>
      <c r="AE89" s="1"/>
      <c r="AF89" s="1"/>
    </row>
    <row r="90" ht="15.75" customHeight="1">
      <c r="A90" s="1"/>
      <c r="B90" s="377"/>
      <c r="C90" s="381"/>
      <c r="D90" s="185"/>
      <c r="E90" s="156"/>
      <c r="F90" s="156"/>
      <c r="G90" s="112"/>
      <c r="H90" s="298"/>
      <c r="I90" s="110"/>
      <c r="J90" s="58" t="s">
        <v>386</v>
      </c>
      <c r="K90" s="228"/>
      <c r="L90" s="4"/>
      <c r="M90" s="2"/>
      <c r="N90" s="2"/>
      <c r="O90" s="1"/>
      <c r="P90" s="1"/>
      <c r="Q90" s="1"/>
      <c r="R90" s="1"/>
      <c r="S90" s="1"/>
      <c r="T90" s="1"/>
      <c r="U90" s="1"/>
      <c r="V90" s="1"/>
      <c r="W90" s="1"/>
      <c r="X90" s="1"/>
      <c r="Y90" s="1"/>
      <c r="Z90" s="1"/>
      <c r="AA90" s="1"/>
      <c r="AB90" s="1"/>
      <c r="AC90" s="1"/>
      <c r="AD90" s="1"/>
      <c r="AE90" s="1"/>
      <c r="AF90" s="1"/>
    </row>
    <row r="91" ht="15.75" customHeight="1">
      <c r="A91" s="1"/>
      <c r="B91" s="372"/>
      <c r="C91" s="148"/>
      <c r="D91" s="49"/>
      <c r="E91" s="156"/>
      <c r="F91" s="156"/>
      <c r="G91" s="112"/>
      <c r="H91" s="298"/>
      <c r="I91" s="110"/>
      <c r="J91" s="58" t="s">
        <v>387</v>
      </c>
      <c r="K91" s="228">
        <v>1.0</v>
      </c>
      <c r="L91" s="4"/>
      <c r="M91" s="2"/>
      <c r="N91" s="1"/>
      <c r="O91" s="1"/>
      <c r="P91" s="1"/>
      <c r="Q91" s="1"/>
      <c r="R91" s="1"/>
      <c r="S91" s="1"/>
      <c r="T91" s="1"/>
      <c r="U91" s="1"/>
      <c r="V91" s="1"/>
      <c r="W91" s="1"/>
      <c r="X91" s="1"/>
      <c r="Y91" s="1"/>
      <c r="Z91" s="1"/>
      <c r="AA91" s="1"/>
      <c r="AB91" s="1"/>
      <c r="AC91" s="1"/>
      <c r="AD91" s="1"/>
      <c r="AE91" s="1"/>
      <c r="AF91" s="1"/>
    </row>
    <row r="92" ht="15.75" customHeight="1">
      <c r="A92" s="1"/>
      <c r="B92" s="377"/>
      <c r="C92" s="381"/>
      <c r="D92" s="161"/>
      <c r="E92" s="156"/>
      <c r="F92" s="156"/>
      <c r="G92" s="112"/>
      <c r="H92" s="298"/>
      <c r="I92" s="110"/>
      <c r="J92" s="368" t="s">
        <v>388</v>
      </c>
      <c r="K92" s="240">
        <v>1.0</v>
      </c>
      <c r="L92" s="406"/>
      <c r="M92" s="241"/>
      <c r="N92" s="241"/>
      <c r="O92" s="241"/>
      <c r="P92" s="241"/>
      <c r="Q92" s="241"/>
      <c r="R92" s="241"/>
      <c r="S92" s="241"/>
      <c r="T92" s="241"/>
      <c r="U92" s="241"/>
      <c r="V92" s="241"/>
      <c r="W92" s="241"/>
      <c r="X92" s="241"/>
      <c r="Y92" s="241"/>
      <c r="Z92" s="241"/>
      <c r="AA92" s="241"/>
      <c r="AB92" s="241"/>
      <c r="AC92" s="2"/>
      <c r="AD92" s="1"/>
      <c r="AE92" s="1"/>
      <c r="AF92" s="1"/>
    </row>
    <row r="93" ht="15.75" customHeight="1">
      <c r="A93" s="1"/>
      <c r="B93" s="380"/>
      <c r="C93" s="383"/>
      <c r="D93" s="161"/>
      <c r="E93" s="156"/>
      <c r="F93" s="156"/>
      <c r="G93" s="112"/>
      <c r="H93" s="298"/>
      <c r="I93" s="110"/>
      <c r="J93" s="58" t="s">
        <v>389</v>
      </c>
      <c r="K93" s="228"/>
      <c r="L93" s="4"/>
      <c r="M93" s="2"/>
      <c r="N93" s="2"/>
      <c r="O93" s="1"/>
      <c r="P93" s="1"/>
      <c r="Q93" s="1"/>
      <c r="R93" s="1"/>
      <c r="S93" s="1"/>
      <c r="T93" s="1"/>
      <c r="U93" s="1"/>
      <c r="V93" s="1"/>
      <c r="W93" s="1"/>
      <c r="X93" s="1"/>
      <c r="Y93" s="1"/>
      <c r="Z93" s="1"/>
      <c r="AA93" s="1"/>
      <c r="AB93" s="1"/>
      <c r="AC93" s="1"/>
      <c r="AD93" s="1"/>
      <c r="AE93" s="1"/>
      <c r="AF93" s="1"/>
    </row>
    <row r="94" ht="15.75" customHeight="1">
      <c r="A94" s="1"/>
      <c r="B94" s="377"/>
      <c r="C94" s="381"/>
      <c r="D94" s="8"/>
      <c r="E94" s="156"/>
      <c r="F94" s="156"/>
      <c r="G94" s="112"/>
      <c r="H94" s="298"/>
      <c r="I94" s="110"/>
      <c r="J94" s="58" t="s">
        <v>387</v>
      </c>
      <c r="K94" s="228">
        <v>1.0</v>
      </c>
      <c r="L94" s="406"/>
      <c r="M94" s="241"/>
      <c r="N94" s="1"/>
      <c r="O94" s="1"/>
      <c r="P94" s="1"/>
      <c r="Q94" s="1"/>
      <c r="R94" s="1"/>
      <c r="S94" s="1"/>
      <c r="T94" s="1"/>
      <c r="U94" s="1"/>
      <c r="V94" s="1"/>
      <c r="W94" s="1"/>
      <c r="X94" s="1"/>
      <c r="Y94" s="1"/>
      <c r="Z94" s="1"/>
      <c r="AA94" s="1"/>
      <c r="AB94" s="1"/>
      <c r="AC94" s="1"/>
      <c r="AD94" s="1"/>
      <c r="AE94" s="1"/>
      <c r="AF94" s="1"/>
    </row>
    <row r="95" ht="15.75" customHeight="1">
      <c r="A95" s="1"/>
      <c r="B95" s="380"/>
      <c r="C95" s="383"/>
      <c r="D95" s="390"/>
      <c r="E95" s="156"/>
      <c r="F95" s="156"/>
      <c r="G95" s="112"/>
      <c r="H95" s="386"/>
      <c r="I95" s="70"/>
      <c r="J95" s="368" t="s">
        <v>388</v>
      </c>
      <c r="K95" s="240">
        <v>1.0</v>
      </c>
      <c r="L95" s="406"/>
      <c r="M95" s="241"/>
      <c r="N95" s="241"/>
      <c r="O95" s="241"/>
      <c r="P95" s="241"/>
      <c r="Q95" s="241"/>
      <c r="R95" s="241"/>
      <c r="S95" s="241"/>
      <c r="T95" s="241"/>
      <c r="U95" s="241"/>
      <c r="V95" s="241"/>
      <c r="W95" s="241"/>
      <c r="X95" s="241"/>
      <c r="Y95" s="241"/>
      <c r="Z95" s="241"/>
      <c r="AA95" s="241"/>
      <c r="AB95" s="241"/>
      <c r="AC95" s="2"/>
      <c r="AD95" s="1"/>
      <c r="AE95" s="1"/>
      <c r="AF95" s="1"/>
    </row>
    <row r="96" ht="15.75" customHeight="1">
      <c r="A96" s="1"/>
      <c r="B96" s="377"/>
      <c r="C96" s="381"/>
      <c r="D96" s="185"/>
      <c r="E96" s="429"/>
      <c r="F96" s="429"/>
      <c r="G96" s="112"/>
      <c r="H96" s="285" t="s">
        <v>390</v>
      </c>
      <c r="I96" s="430" t="s">
        <v>391</v>
      </c>
      <c r="J96" s="58" t="s">
        <v>281</v>
      </c>
      <c r="K96" s="228">
        <v>3.0</v>
      </c>
      <c r="L96" s="416"/>
      <c r="M96" s="288"/>
      <c r="N96" s="288"/>
      <c r="O96" s="288"/>
      <c r="P96" s="288"/>
      <c r="Q96" s="288"/>
      <c r="R96" s="1"/>
      <c r="S96" s="1"/>
      <c r="T96" s="1"/>
      <c r="U96" s="1"/>
      <c r="V96" s="1"/>
      <c r="W96" s="1"/>
      <c r="X96" s="1"/>
      <c r="Y96" s="1"/>
      <c r="Z96" s="1"/>
      <c r="AA96" s="1"/>
      <c r="AB96" s="1"/>
      <c r="AC96" s="1"/>
      <c r="AD96" s="1"/>
      <c r="AE96" s="1"/>
      <c r="AF96" s="1"/>
    </row>
    <row r="97" ht="16.5" customHeight="1">
      <c r="A97" s="1"/>
      <c r="B97" s="372"/>
      <c r="C97" s="130"/>
      <c r="D97" s="155"/>
      <c r="E97" s="429"/>
      <c r="F97" s="429"/>
      <c r="G97" s="112"/>
      <c r="H97" s="298"/>
      <c r="I97" s="110"/>
      <c r="J97" s="58" t="s">
        <v>285</v>
      </c>
      <c r="K97" s="228">
        <v>6.0</v>
      </c>
      <c r="L97" s="418"/>
      <c r="M97" s="221"/>
      <c r="N97" s="223"/>
      <c r="O97" s="231"/>
      <c r="P97" s="226"/>
      <c r="Q97" s="1"/>
      <c r="R97" s="1"/>
      <c r="S97" s="1"/>
      <c r="T97" s="1"/>
      <c r="U97" s="1"/>
      <c r="V97" s="1"/>
      <c r="W97" s="1"/>
      <c r="X97" s="1"/>
      <c r="Y97" s="1"/>
      <c r="Z97" s="1"/>
      <c r="AA97" s="1"/>
      <c r="AB97" s="1"/>
      <c r="AC97" s="1"/>
      <c r="AD97" s="1"/>
      <c r="AE97" s="1"/>
      <c r="AF97" s="1"/>
    </row>
    <row r="98" ht="15.75" customHeight="1">
      <c r="A98" s="1"/>
      <c r="B98" s="377"/>
      <c r="C98" s="381"/>
      <c r="D98" s="155"/>
      <c r="E98" s="429"/>
      <c r="F98" s="429"/>
      <c r="G98" s="112"/>
      <c r="H98" s="298"/>
      <c r="I98" s="110"/>
      <c r="J98" s="58" t="s">
        <v>288</v>
      </c>
      <c r="K98" s="228">
        <v>2.0</v>
      </c>
      <c r="L98" s="4"/>
      <c r="M98" s="2"/>
      <c r="N98" s="1"/>
      <c r="O98" s="1"/>
      <c r="P98" s="1"/>
      <c r="Q98" s="1"/>
      <c r="R98" s="1"/>
      <c r="S98" s="1"/>
      <c r="T98" s="1"/>
      <c r="U98" s="1"/>
      <c r="V98" s="1"/>
      <c r="W98" s="1"/>
      <c r="X98" s="1"/>
      <c r="Y98" s="1"/>
      <c r="Z98" s="1"/>
      <c r="AA98" s="1"/>
      <c r="AB98" s="1"/>
      <c r="AC98" s="1"/>
      <c r="AD98" s="1"/>
      <c r="AE98" s="1"/>
      <c r="AF98" s="1"/>
    </row>
    <row r="99" ht="15.75" customHeight="1">
      <c r="A99" s="1"/>
      <c r="B99" s="380"/>
      <c r="C99" s="383"/>
      <c r="D99" s="197"/>
      <c r="E99" s="429"/>
      <c r="F99" s="429"/>
      <c r="G99" s="112"/>
      <c r="H99" s="298"/>
      <c r="I99" s="110"/>
      <c r="J99" s="58" t="s">
        <v>291</v>
      </c>
      <c r="K99" s="228">
        <v>4.0</v>
      </c>
      <c r="L99" s="4"/>
      <c r="M99" s="2"/>
      <c r="N99" s="2"/>
      <c r="O99" s="2"/>
      <c r="P99" s="2"/>
      <c r="Q99" s="1"/>
      <c r="R99" s="1"/>
      <c r="S99" s="1"/>
      <c r="T99" s="1"/>
      <c r="U99" s="1"/>
      <c r="V99" s="1"/>
      <c r="W99" s="1"/>
      <c r="X99" s="1"/>
      <c r="Y99" s="1"/>
      <c r="Z99" s="1"/>
      <c r="AA99" s="1"/>
      <c r="AB99" s="1"/>
      <c r="AC99" s="1"/>
      <c r="AD99" s="1"/>
      <c r="AE99" s="1"/>
      <c r="AF99" s="1"/>
    </row>
    <row r="100" ht="15.75" customHeight="1">
      <c r="A100" s="1"/>
      <c r="B100" s="377"/>
      <c r="C100" s="381"/>
      <c r="D100" s="197"/>
      <c r="E100" s="156"/>
      <c r="F100" s="156"/>
      <c r="G100" s="133"/>
      <c r="H100" s="386"/>
      <c r="I100" s="70"/>
      <c r="J100" s="134" t="s">
        <v>273</v>
      </c>
      <c r="K100" s="240">
        <v>2.0</v>
      </c>
      <c r="L100" s="406"/>
      <c r="M100" s="241"/>
      <c r="N100" s="241"/>
      <c r="O100" s="241"/>
      <c r="P100" s="241"/>
      <c r="Q100" s="241"/>
      <c r="R100" s="241"/>
      <c r="S100" s="241"/>
      <c r="T100" s="241"/>
      <c r="U100" s="241"/>
      <c r="V100" s="241"/>
      <c r="W100" s="241"/>
      <c r="X100" s="241"/>
      <c r="Y100" s="241"/>
      <c r="Z100" s="241"/>
      <c r="AA100" s="241"/>
      <c r="AB100" s="241"/>
      <c r="AC100" s="1"/>
      <c r="AD100" s="1"/>
      <c r="AE100" s="1"/>
      <c r="AF100" s="1"/>
    </row>
    <row r="101" ht="15.75" customHeight="1">
      <c r="A101" s="1"/>
      <c r="B101" s="380"/>
      <c r="C101" s="383"/>
      <c r="D101" s="197"/>
      <c r="E101" s="156"/>
      <c r="F101" s="156"/>
      <c r="G101" s="96" t="s">
        <v>392</v>
      </c>
      <c r="H101" s="177" t="s">
        <v>366</v>
      </c>
      <c r="I101" s="56"/>
      <c r="J101" s="58" t="s">
        <v>367</v>
      </c>
      <c r="K101" s="228">
        <v>2.0</v>
      </c>
      <c r="L101" s="2"/>
      <c r="M101" s="2"/>
      <c r="N101" s="288"/>
      <c r="O101" s="288"/>
      <c r="P101" s="288"/>
      <c r="Q101" s="288"/>
      <c r="R101" s="1"/>
      <c r="S101" s="1"/>
      <c r="T101" s="1"/>
      <c r="U101" s="1"/>
      <c r="V101" s="1"/>
      <c r="W101" s="1"/>
      <c r="X101" s="1"/>
      <c r="Y101" s="1"/>
      <c r="Z101" s="1"/>
      <c r="AA101" s="1"/>
      <c r="AB101" s="1"/>
      <c r="AC101" s="1"/>
      <c r="AD101" s="1"/>
      <c r="AE101" s="1"/>
      <c r="AF101" s="1"/>
    </row>
    <row r="102" ht="15.75" customHeight="1">
      <c r="A102" s="1"/>
      <c r="B102" s="377"/>
      <c r="C102" s="381"/>
      <c r="D102" s="390"/>
      <c r="E102" s="156"/>
      <c r="F102" s="156"/>
      <c r="G102" s="133"/>
      <c r="H102" s="133"/>
      <c r="I102" s="78"/>
      <c r="J102" s="134" t="s">
        <v>369</v>
      </c>
      <c r="K102" s="240">
        <v>2.0</v>
      </c>
      <c r="L102" s="2"/>
      <c r="M102" s="2"/>
      <c r="N102" s="241"/>
      <c r="O102" s="241"/>
      <c r="P102" s="241"/>
      <c r="Q102" s="241"/>
      <c r="R102" s="241"/>
      <c r="S102" s="241"/>
      <c r="T102" s="241"/>
      <c r="U102" s="241"/>
      <c r="V102" s="241"/>
      <c r="W102" s="241"/>
      <c r="X102" s="241"/>
      <c r="Y102" s="241"/>
      <c r="Z102" s="241"/>
      <c r="AA102" s="241"/>
      <c r="AB102" s="241"/>
      <c r="AC102" s="1"/>
      <c r="AD102" s="1"/>
      <c r="AE102" s="1"/>
      <c r="AF102" s="1"/>
    </row>
    <row r="103" ht="16.5" customHeight="1">
      <c r="A103" s="1"/>
      <c r="B103" s="372"/>
      <c r="C103" s="66"/>
      <c r="D103" s="179"/>
      <c r="E103" s="156"/>
      <c r="F103" s="156"/>
      <c r="G103" s="96" t="s">
        <v>393</v>
      </c>
      <c r="H103" s="96" t="s">
        <v>372</v>
      </c>
      <c r="I103" s="56"/>
      <c r="J103" s="433" t="s">
        <v>394</v>
      </c>
      <c r="K103" s="434" t="s">
        <v>395</v>
      </c>
      <c r="L103" s="288" t="s">
        <v>396</v>
      </c>
      <c r="M103" s="288"/>
      <c r="N103" s="288"/>
      <c r="O103" s="288"/>
      <c r="P103" s="288"/>
      <c r="Q103" s="288"/>
      <c r="R103" s="1"/>
      <c r="S103" s="1"/>
      <c r="T103" s="1"/>
      <c r="U103" s="1"/>
      <c r="V103" s="1"/>
      <c r="W103" s="1"/>
      <c r="X103" s="1"/>
      <c r="Y103" s="1"/>
      <c r="Z103" s="1"/>
      <c r="AA103" s="1"/>
      <c r="AB103" s="1"/>
      <c r="AC103" s="1"/>
      <c r="AD103" s="1"/>
      <c r="AE103" s="1"/>
      <c r="AF103" s="1"/>
    </row>
    <row r="104" ht="15.75" customHeight="1">
      <c r="A104" s="1"/>
      <c r="B104" s="377"/>
      <c r="C104" s="381"/>
      <c r="D104" s="139"/>
      <c r="E104" s="156"/>
      <c r="F104" s="156"/>
      <c r="G104" s="133"/>
      <c r="H104" s="133"/>
      <c r="I104" s="78"/>
      <c r="J104" s="70"/>
      <c r="K104" s="78"/>
      <c r="L104" s="2" t="s">
        <v>397</v>
      </c>
      <c r="M104" s="1"/>
      <c r="N104" s="1"/>
      <c r="O104" s="1"/>
      <c r="P104" s="1"/>
      <c r="Q104" s="1"/>
      <c r="R104" s="1"/>
      <c r="S104" s="1"/>
      <c r="T104" s="1"/>
      <c r="U104" s="1"/>
      <c r="V104" s="1"/>
      <c r="W104" s="1"/>
      <c r="X104" s="1"/>
      <c r="Y104" s="1"/>
      <c r="Z104" s="1"/>
      <c r="AA104" s="1"/>
      <c r="AB104" s="1"/>
      <c r="AC104" s="1"/>
      <c r="AD104" s="1"/>
      <c r="AE104" s="1"/>
      <c r="AF104" s="1"/>
    </row>
    <row r="105" ht="15.75" customHeight="1">
      <c r="A105" s="1"/>
      <c r="B105" s="380"/>
      <c r="C105" s="383"/>
      <c r="D105" s="139"/>
      <c r="E105" s="156"/>
      <c r="F105" s="156"/>
      <c r="G105" s="53" t="s">
        <v>398</v>
      </c>
      <c r="H105" s="97" t="s">
        <v>399</v>
      </c>
      <c r="I105" s="95"/>
      <c r="J105" s="99" t="s">
        <v>400</v>
      </c>
      <c r="K105" s="435">
        <v>4.0</v>
      </c>
      <c r="L105" s="436"/>
      <c r="M105" s="437"/>
      <c r="N105" s="438"/>
      <c r="O105" s="438"/>
      <c r="P105" s="439"/>
      <c r="Q105" s="439"/>
      <c r="R105" s="439"/>
      <c r="S105" s="440"/>
      <c r="T105" s="440"/>
      <c r="U105" s="440"/>
      <c r="V105" s="440"/>
      <c r="W105" s="440"/>
      <c r="X105" s="440"/>
      <c r="Y105" s="440"/>
      <c r="Z105" s="440"/>
      <c r="AA105" s="440"/>
      <c r="AB105" s="440"/>
      <c r="AC105" s="55"/>
      <c r="AD105" s="55"/>
      <c r="AE105" s="55"/>
      <c r="AF105" s="1"/>
    </row>
    <row r="106" ht="15.75" customHeight="1">
      <c r="A106" s="1"/>
      <c r="B106" s="377"/>
      <c r="C106" s="381"/>
      <c r="D106" s="139"/>
      <c r="E106" s="156"/>
      <c r="F106" s="156"/>
      <c r="G106" s="70"/>
      <c r="H106" s="133"/>
      <c r="I106" s="78"/>
      <c r="J106" s="134" t="s">
        <v>36</v>
      </c>
      <c r="K106" s="441">
        <v>3.0</v>
      </c>
      <c r="L106" s="442"/>
      <c r="M106" s="443"/>
      <c r="N106" s="443"/>
      <c r="O106" s="444"/>
      <c r="P106" s="444"/>
      <c r="Q106" s="444"/>
      <c r="R106" s="444"/>
      <c r="S106" s="241"/>
      <c r="T106" s="1"/>
      <c r="U106" s="1"/>
      <c r="V106" s="1"/>
      <c r="W106" s="1"/>
      <c r="X106" s="1"/>
      <c r="Y106" s="1"/>
      <c r="Z106" s="1"/>
      <c r="AA106" s="1"/>
      <c r="AB106" s="1"/>
      <c r="AC106" s="1"/>
      <c r="AD106" s="1"/>
      <c r="AE106" s="1"/>
      <c r="AF106" s="1"/>
    </row>
    <row r="107" ht="15.75" customHeight="1">
      <c r="A107" s="1"/>
      <c r="B107" s="380"/>
      <c r="C107" s="383"/>
      <c r="D107" s="139"/>
      <c r="E107" s="156"/>
      <c r="F107" s="156"/>
      <c r="G107" s="445">
        <v>0.7708333333333334</v>
      </c>
      <c r="H107" s="97" t="s">
        <v>377</v>
      </c>
      <c r="I107" s="95"/>
      <c r="J107" s="8"/>
      <c r="K107" s="1"/>
      <c r="L107" s="1"/>
      <c r="M107" s="1"/>
      <c r="N107" s="1"/>
      <c r="O107" s="1"/>
      <c r="P107" s="1"/>
      <c r="Q107" s="1"/>
      <c r="R107" s="1"/>
      <c r="S107" s="1"/>
      <c r="T107" s="1"/>
      <c r="U107" s="1"/>
      <c r="V107" s="1"/>
      <c r="W107" s="1"/>
      <c r="X107" s="1"/>
      <c r="Y107" s="1"/>
      <c r="Z107" s="1"/>
      <c r="AA107" s="1"/>
      <c r="AB107" s="1"/>
      <c r="AC107" s="1"/>
      <c r="AD107" s="1"/>
      <c r="AE107" s="1"/>
      <c r="AF107" s="1"/>
    </row>
    <row r="108" ht="15.75" customHeight="1">
      <c r="A108" s="1"/>
      <c r="B108" s="377"/>
      <c r="C108" s="381"/>
      <c r="D108" s="185"/>
      <c r="E108" s="156"/>
      <c r="F108" s="156"/>
      <c r="G108" s="70"/>
      <c r="H108" s="133"/>
      <c r="I108" s="78"/>
      <c r="J108" s="1"/>
      <c r="K108" s="1"/>
      <c r="L108" s="1"/>
      <c r="M108" s="1"/>
      <c r="N108" s="1"/>
      <c r="O108" s="1"/>
      <c r="P108" s="1"/>
      <c r="Q108" s="1"/>
      <c r="R108" s="1"/>
      <c r="S108" s="1"/>
      <c r="T108" s="1"/>
      <c r="U108" s="1"/>
      <c r="V108" s="1"/>
      <c r="W108" s="1"/>
      <c r="X108" s="1"/>
      <c r="Y108" s="1"/>
      <c r="Z108" s="1"/>
      <c r="AA108" s="1"/>
      <c r="AB108" s="1"/>
      <c r="AC108" s="1"/>
      <c r="AD108" s="1"/>
      <c r="AE108" s="1"/>
      <c r="AF108" s="1"/>
    </row>
    <row r="109" ht="15.75" customHeight="1">
      <c r="A109" s="1"/>
      <c r="B109" s="372"/>
      <c r="C109" s="193"/>
      <c r="D109" s="93"/>
      <c r="E109" s="156"/>
      <c r="F109" s="156"/>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row>
    <row r="110" ht="15.75" customHeight="1">
      <c r="A110" s="1"/>
      <c r="B110" s="377"/>
      <c r="C110" s="381"/>
      <c r="D110" s="167"/>
      <c r="E110" s="156"/>
      <c r="F110" s="156"/>
      <c r="G110" s="88" t="s">
        <v>401</v>
      </c>
      <c r="H110" s="172" t="s">
        <v>402</v>
      </c>
      <c r="I110" s="34"/>
      <c r="J110" s="25"/>
      <c r="K110" s="446">
        <v>1.0</v>
      </c>
      <c r="L110" s="446"/>
      <c r="M110" s="1"/>
      <c r="N110" s="1"/>
      <c r="O110" s="1"/>
      <c r="P110" s="1"/>
      <c r="Q110" s="1"/>
      <c r="R110" s="1"/>
      <c r="S110" s="1"/>
      <c r="T110" s="1"/>
      <c r="U110" s="1"/>
      <c r="V110" s="1"/>
      <c r="W110" s="1"/>
      <c r="X110" s="1"/>
      <c r="Y110" s="1"/>
      <c r="Z110" s="1"/>
      <c r="AA110" s="1"/>
      <c r="AB110" s="1"/>
      <c r="AC110" s="1"/>
      <c r="AD110" s="1"/>
      <c r="AE110" s="1"/>
      <c r="AF110" s="1"/>
    </row>
    <row r="111" ht="15.75" customHeight="1">
      <c r="A111" s="1"/>
      <c r="B111" s="380"/>
      <c r="C111" s="383"/>
      <c r="D111" s="167"/>
      <c r="E111" s="156"/>
      <c r="F111" s="156"/>
      <c r="G111" s="1"/>
      <c r="H111" s="8"/>
      <c r="I111" s="8"/>
      <c r="J111" s="8"/>
      <c r="K111" s="1"/>
      <c r="L111" s="1"/>
      <c r="M111" s="1"/>
      <c r="N111" s="1"/>
      <c r="O111" s="1"/>
      <c r="P111" s="1"/>
      <c r="Q111" s="1"/>
      <c r="R111" s="1"/>
      <c r="S111" s="1"/>
      <c r="T111" s="1"/>
      <c r="U111" s="1"/>
      <c r="V111" s="1"/>
      <c r="W111" s="1"/>
      <c r="X111" s="1"/>
      <c r="Y111" s="1"/>
      <c r="Z111" s="1"/>
      <c r="AA111" s="1"/>
      <c r="AB111" s="1"/>
      <c r="AC111" s="1"/>
      <c r="AD111" s="1"/>
      <c r="AE111" s="1"/>
      <c r="AF111" s="1"/>
    </row>
    <row r="112" ht="15.75" customHeight="1">
      <c r="A112" s="1"/>
      <c r="B112" s="447"/>
      <c r="C112" s="448"/>
      <c r="D112" s="414"/>
      <c r="E112" s="156"/>
      <c r="F112" s="156"/>
      <c r="G112" s="1"/>
      <c r="H112" s="8"/>
      <c r="I112" s="8"/>
      <c r="J112" s="8"/>
      <c r="K112" s="1"/>
      <c r="L112" s="1"/>
      <c r="M112" s="1"/>
      <c r="N112" s="1"/>
      <c r="O112" s="1"/>
      <c r="P112" s="1"/>
      <c r="Q112" s="1"/>
      <c r="R112" s="1"/>
      <c r="S112" s="1"/>
      <c r="T112" s="1"/>
      <c r="U112" s="1"/>
      <c r="V112" s="1"/>
      <c r="W112" s="1"/>
      <c r="X112" s="1"/>
      <c r="Y112" s="1"/>
      <c r="Z112" s="1"/>
      <c r="AA112" s="1"/>
      <c r="AB112" s="1"/>
      <c r="AC112" s="1"/>
      <c r="AD112" s="1"/>
      <c r="AE112" s="1"/>
      <c r="AF112" s="1"/>
    </row>
    <row r="113" ht="15.75" customHeight="1">
      <c r="A113" s="1"/>
      <c r="B113" s="1"/>
      <c r="C113" s="4"/>
      <c r="D113" s="4"/>
      <c r="E113" s="156"/>
      <c r="F113" s="156"/>
      <c r="G113" s="1"/>
      <c r="H113" s="8"/>
      <c r="I113" s="8"/>
      <c r="J113" s="8"/>
      <c r="K113" s="1"/>
      <c r="L113" s="1"/>
      <c r="M113" s="1"/>
      <c r="N113" s="1"/>
      <c r="O113" s="1"/>
      <c r="P113" s="1"/>
      <c r="Q113" s="1"/>
      <c r="R113" s="1"/>
      <c r="S113" s="1"/>
      <c r="T113" s="1"/>
      <c r="U113" s="1"/>
      <c r="V113" s="1"/>
      <c r="W113" s="1"/>
      <c r="X113" s="1"/>
      <c r="Y113" s="1"/>
      <c r="Z113" s="1"/>
      <c r="AA113" s="1"/>
      <c r="AB113" s="1"/>
      <c r="AC113" s="1"/>
      <c r="AD113" s="1"/>
      <c r="AE113" s="1"/>
      <c r="AF113" s="1"/>
    </row>
    <row r="114" ht="15.75" customHeight="1">
      <c r="A114" s="1"/>
      <c r="B114" s="156"/>
      <c r="C114" s="364"/>
      <c r="D114" s="364"/>
      <c r="E114" s="156"/>
      <c r="F114" s="156"/>
      <c r="G114" s="1"/>
      <c r="H114" s="8"/>
      <c r="I114" s="8"/>
      <c r="J114" s="8"/>
      <c r="K114" s="1"/>
      <c r="L114" s="1"/>
      <c r="M114" s="1"/>
      <c r="N114" s="1"/>
      <c r="O114" s="1"/>
      <c r="P114" s="1"/>
      <c r="Q114" s="1"/>
      <c r="R114" s="1"/>
      <c r="S114" s="1"/>
      <c r="T114" s="1"/>
      <c r="U114" s="1"/>
      <c r="V114" s="1"/>
      <c r="W114" s="1"/>
      <c r="X114" s="1"/>
      <c r="Y114" s="1"/>
      <c r="Z114" s="1"/>
      <c r="AA114" s="1"/>
      <c r="AB114" s="1"/>
      <c r="AC114" s="1"/>
      <c r="AD114" s="1"/>
      <c r="AE114" s="1"/>
      <c r="AF114" s="1"/>
    </row>
    <row r="115" ht="15.75" customHeight="1">
      <c r="A115" s="1"/>
      <c r="B115" s="156"/>
      <c r="C115" s="364"/>
      <c r="D115" s="364"/>
      <c r="E115" s="156"/>
      <c r="F115" s="156"/>
      <c r="G115" s="1"/>
      <c r="H115" s="8"/>
      <c r="I115" s="8"/>
      <c r="J115" s="8"/>
      <c r="K115" s="1"/>
      <c r="L115" s="1"/>
      <c r="M115" s="1"/>
      <c r="N115" s="1"/>
      <c r="O115" s="1"/>
      <c r="P115" s="1"/>
      <c r="Q115" s="1"/>
      <c r="R115" s="1"/>
      <c r="S115" s="1"/>
      <c r="T115" s="1"/>
      <c r="U115" s="1"/>
      <c r="V115" s="1"/>
      <c r="W115" s="1"/>
      <c r="X115" s="1"/>
      <c r="Y115" s="1"/>
      <c r="Z115" s="1"/>
      <c r="AA115" s="1"/>
      <c r="AB115" s="1"/>
      <c r="AC115" s="1"/>
      <c r="AD115" s="1"/>
      <c r="AE115" s="1"/>
      <c r="AF115" s="1"/>
    </row>
    <row r="116" ht="15.75" customHeight="1">
      <c r="A116" s="1"/>
      <c r="B116" s="156"/>
      <c r="C116" s="364"/>
      <c r="D116" s="364"/>
      <c r="E116" s="156"/>
      <c r="F116" s="156"/>
      <c r="G116" s="1"/>
      <c r="H116" s="8"/>
      <c r="I116" s="8"/>
      <c r="J116" s="8"/>
      <c r="K116" s="1"/>
      <c r="L116" s="1"/>
      <c r="M116" s="1"/>
      <c r="N116" s="1"/>
      <c r="O116" s="1"/>
      <c r="P116" s="1"/>
      <c r="Q116" s="1"/>
      <c r="R116" s="1"/>
      <c r="S116" s="1"/>
      <c r="T116" s="1"/>
      <c r="U116" s="1"/>
      <c r="V116" s="1"/>
      <c r="W116" s="1"/>
      <c r="X116" s="1"/>
      <c r="Y116" s="1"/>
      <c r="Z116" s="1"/>
      <c r="AA116" s="1"/>
      <c r="AB116" s="1"/>
      <c r="AC116" s="1"/>
      <c r="AD116" s="1"/>
      <c r="AE116" s="1"/>
      <c r="AF116" s="1"/>
    </row>
    <row r="117" ht="15.75" customHeight="1">
      <c r="A117" s="1"/>
      <c r="B117" s="1"/>
      <c r="C117" s="4"/>
      <c r="D117" s="4"/>
      <c r="E117" s="156"/>
      <c r="F117" s="156"/>
      <c r="G117" s="1"/>
      <c r="H117" s="8"/>
      <c r="I117" s="8"/>
      <c r="J117" s="8"/>
      <c r="K117" s="1"/>
      <c r="L117" s="1"/>
      <c r="M117" s="1"/>
      <c r="N117" s="1"/>
      <c r="O117" s="1"/>
      <c r="P117" s="1"/>
      <c r="Q117" s="1"/>
      <c r="R117" s="1"/>
      <c r="S117" s="1"/>
      <c r="T117" s="1"/>
      <c r="U117" s="1"/>
      <c r="V117" s="1"/>
      <c r="W117" s="1"/>
      <c r="X117" s="1"/>
      <c r="Y117" s="1"/>
      <c r="Z117" s="1"/>
      <c r="AA117" s="1"/>
      <c r="AB117" s="1"/>
      <c r="AC117" s="1"/>
      <c r="AD117" s="1"/>
      <c r="AE117" s="1"/>
      <c r="AF117" s="1"/>
    </row>
    <row r="118" ht="15.75" customHeight="1">
      <c r="A118" s="1"/>
      <c r="B118" s="1"/>
      <c r="C118" s="4"/>
      <c r="D118" s="4"/>
      <c r="E118" s="156"/>
      <c r="F118" s="156"/>
      <c r="G118" s="1"/>
      <c r="H118" s="8"/>
      <c r="I118" s="8"/>
      <c r="J118" s="8"/>
      <c r="K118" s="1"/>
      <c r="L118" s="1"/>
      <c r="M118" s="1"/>
      <c r="N118" s="1"/>
      <c r="O118" s="1"/>
      <c r="P118" s="1"/>
      <c r="Q118" s="1"/>
      <c r="R118" s="1"/>
      <c r="S118" s="1"/>
      <c r="T118" s="1"/>
      <c r="U118" s="1"/>
      <c r="V118" s="1"/>
      <c r="W118" s="1"/>
      <c r="X118" s="1"/>
      <c r="Y118" s="1"/>
      <c r="Z118" s="1"/>
      <c r="AA118" s="1"/>
      <c r="AB118" s="1"/>
      <c r="AC118" s="1"/>
      <c r="AD118" s="1"/>
      <c r="AE118" s="1"/>
      <c r="AF118" s="1"/>
    </row>
    <row r="119" ht="15.75" customHeight="1">
      <c r="A119" s="1"/>
      <c r="B119" s="156"/>
      <c r="C119" s="364"/>
      <c r="D119" s="364"/>
      <c r="E119" s="156"/>
      <c r="F119" s="156"/>
      <c r="G119" s="1"/>
      <c r="H119" s="8"/>
      <c r="I119" s="8"/>
      <c r="J119" s="8"/>
      <c r="K119" s="1"/>
      <c r="L119" s="1"/>
      <c r="M119" s="1"/>
      <c r="N119" s="1"/>
      <c r="O119" s="1"/>
      <c r="P119" s="1"/>
      <c r="Q119" s="1"/>
      <c r="R119" s="1"/>
      <c r="S119" s="1"/>
      <c r="T119" s="1"/>
      <c r="U119" s="1"/>
      <c r="V119" s="1"/>
      <c r="W119" s="1"/>
      <c r="X119" s="1"/>
      <c r="Y119" s="1"/>
      <c r="Z119" s="1"/>
      <c r="AA119" s="1"/>
      <c r="AB119" s="1"/>
      <c r="AC119" s="1"/>
      <c r="AD119" s="1"/>
      <c r="AE119" s="1"/>
      <c r="AF119" s="1"/>
    </row>
    <row r="120" ht="15.75" customHeight="1">
      <c r="A120" s="1"/>
      <c r="B120" s="156"/>
      <c r="C120" s="364"/>
      <c r="D120" s="364"/>
      <c r="E120" s="156"/>
      <c r="F120" s="156"/>
      <c r="G120" s="1"/>
      <c r="H120" s="8"/>
      <c r="I120" s="8"/>
      <c r="J120" s="8"/>
      <c r="K120" s="1"/>
      <c r="L120" s="1"/>
      <c r="M120" s="1"/>
      <c r="N120" s="1"/>
      <c r="O120" s="1"/>
      <c r="P120" s="1"/>
      <c r="Q120" s="1"/>
      <c r="R120" s="1"/>
      <c r="S120" s="1"/>
      <c r="T120" s="1"/>
      <c r="U120" s="1"/>
      <c r="V120" s="1"/>
      <c r="W120" s="1"/>
      <c r="X120" s="1"/>
      <c r="Y120" s="1"/>
      <c r="Z120" s="1"/>
      <c r="AA120" s="1"/>
      <c r="AB120" s="1"/>
      <c r="AC120" s="1"/>
      <c r="AD120" s="1"/>
      <c r="AE120" s="1"/>
      <c r="AF120" s="1"/>
    </row>
    <row r="121" ht="15.75" customHeight="1">
      <c r="A121" s="1"/>
      <c r="B121" s="156"/>
      <c r="C121" s="364"/>
      <c r="D121" s="364"/>
      <c r="E121" s="156"/>
      <c r="F121" s="156"/>
      <c r="G121" s="1"/>
      <c r="H121" s="8"/>
      <c r="I121" s="8"/>
      <c r="J121" s="8"/>
      <c r="K121" s="1"/>
      <c r="L121" s="1"/>
      <c r="M121" s="1"/>
      <c r="N121" s="1"/>
      <c r="O121" s="1"/>
      <c r="P121" s="1"/>
      <c r="Q121" s="1"/>
      <c r="R121" s="1"/>
      <c r="S121" s="1"/>
      <c r="T121" s="1"/>
      <c r="U121" s="1"/>
      <c r="V121" s="1"/>
      <c r="W121" s="1"/>
      <c r="X121" s="1"/>
      <c r="Y121" s="1"/>
      <c r="Z121" s="1"/>
      <c r="AA121" s="1"/>
      <c r="AB121" s="1"/>
      <c r="AC121" s="1"/>
      <c r="AD121" s="1"/>
      <c r="AE121" s="1"/>
      <c r="AF121" s="1"/>
    </row>
    <row r="122" ht="15.75" customHeight="1">
      <c r="A122" s="1"/>
      <c r="B122" s="156"/>
      <c r="C122" s="364"/>
      <c r="D122" s="364"/>
      <c r="E122" s="156"/>
      <c r="F122" s="156"/>
      <c r="G122" s="1"/>
      <c r="H122" s="8"/>
      <c r="I122" s="8"/>
      <c r="J122" s="8"/>
      <c r="K122" s="1"/>
      <c r="L122" s="1"/>
      <c r="M122" s="1"/>
      <c r="N122" s="1"/>
      <c r="O122" s="1"/>
      <c r="P122" s="1"/>
      <c r="Q122" s="1"/>
      <c r="R122" s="1"/>
      <c r="S122" s="1"/>
      <c r="T122" s="1"/>
      <c r="U122" s="1"/>
      <c r="V122" s="1"/>
      <c r="W122" s="1"/>
      <c r="X122" s="1"/>
      <c r="Y122" s="1"/>
      <c r="Z122" s="1"/>
      <c r="AA122" s="1"/>
      <c r="AB122" s="1"/>
      <c r="AC122" s="1"/>
      <c r="AD122" s="1"/>
      <c r="AE122" s="1"/>
      <c r="AF122" s="1"/>
    </row>
    <row r="123" ht="15.75" customHeight="1">
      <c r="A123" s="1"/>
      <c r="B123" s="156"/>
      <c r="C123" s="364"/>
      <c r="D123" s="364"/>
      <c r="E123" s="156"/>
      <c r="F123" s="156"/>
      <c r="G123" s="1"/>
      <c r="H123" s="8"/>
      <c r="I123" s="8"/>
      <c r="J123" s="8"/>
      <c r="K123" s="1"/>
      <c r="L123" s="1"/>
      <c r="M123" s="1"/>
      <c r="N123" s="1"/>
      <c r="O123" s="1"/>
      <c r="P123" s="1"/>
      <c r="Q123" s="1"/>
      <c r="R123" s="1"/>
      <c r="S123" s="1"/>
      <c r="T123" s="1"/>
      <c r="U123" s="1"/>
      <c r="V123" s="1"/>
      <c r="W123" s="1"/>
      <c r="X123" s="1"/>
      <c r="Y123" s="1"/>
      <c r="Z123" s="1"/>
      <c r="AA123" s="1"/>
      <c r="AB123" s="1"/>
      <c r="AC123" s="1"/>
      <c r="AD123" s="1"/>
      <c r="AE123" s="1"/>
      <c r="AF123" s="1"/>
    </row>
    <row r="124" ht="15.75" customHeight="1">
      <c r="A124" s="1"/>
      <c r="B124" s="156"/>
      <c r="C124" s="364"/>
      <c r="D124" s="364"/>
      <c r="E124" s="156"/>
      <c r="F124" s="156"/>
      <c r="G124" s="1"/>
      <c r="H124" s="8"/>
      <c r="I124" s="8"/>
      <c r="J124" s="8"/>
      <c r="K124" s="1"/>
      <c r="L124" s="1"/>
      <c r="M124" s="1"/>
      <c r="N124" s="1"/>
      <c r="O124" s="1"/>
      <c r="P124" s="1"/>
      <c r="Q124" s="1"/>
      <c r="R124" s="1"/>
      <c r="S124" s="1"/>
      <c r="T124" s="1"/>
      <c r="U124" s="1"/>
      <c r="V124" s="1"/>
      <c r="W124" s="1"/>
      <c r="X124" s="1"/>
      <c r="Y124" s="1"/>
      <c r="Z124" s="1"/>
      <c r="AA124" s="1"/>
      <c r="AB124" s="1"/>
      <c r="AC124" s="1"/>
      <c r="AD124" s="1"/>
      <c r="AE124" s="1"/>
      <c r="AF124" s="1"/>
    </row>
    <row r="125" ht="15.75" customHeight="1">
      <c r="A125" s="1"/>
      <c r="B125" s="156"/>
      <c r="C125" s="364"/>
      <c r="D125" s="364"/>
      <c r="E125" s="156"/>
      <c r="F125" s="156"/>
      <c r="G125" s="1"/>
      <c r="H125" s="8"/>
      <c r="I125" s="8"/>
      <c r="J125" s="8"/>
      <c r="K125" s="1"/>
      <c r="L125" s="1"/>
      <c r="M125" s="1"/>
      <c r="N125" s="1"/>
      <c r="O125" s="1"/>
      <c r="P125" s="1"/>
      <c r="Q125" s="1"/>
      <c r="R125" s="1"/>
      <c r="S125" s="1"/>
      <c r="T125" s="1"/>
      <c r="U125" s="1"/>
      <c r="V125" s="1"/>
      <c r="W125" s="1"/>
      <c r="X125" s="1"/>
      <c r="Y125" s="1"/>
      <c r="Z125" s="1"/>
      <c r="AA125" s="1"/>
      <c r="AB125" s="1"/>
      <c r="AC125" s="1"/>
      <c r="AD125" s="1"/>
      <c r="AE125" s="1"/>
      <c r="AF125" s="1"/>
    </row>
    <row r="126" ht="15.75" customHeight="1">
      <c r="A126" s="1"/>
      <c r="B126" s="156"/>
      <c r="C126" s="364"/>
      <c r="D126" s="364"/>
      <c r="E126" s="156"/>
      <c r="F126" s="156"/>
      <c r="G126" s="1"/>
      <c r="H126" s="8"/>
      <c r="I126" s="8"/>
      <c r="J126" s="8"/>
      <c r="K126" s="1"/>
      <c r="L126" s="1"/>
      <c r="M126" s="1"/>
      <c r="N126" s="1"/>
      <c r="O126" s="1"/>
      <c r="P126" s="1"/>
      <c r="Q126" s="1"/>
      <c r="R126" s="1"/>
      <c r="S126" s="1"/>
      <c r="T126" s="1"/>
      <c r="U126" s="1"/>
      <c r="V126" s="1"/>
      <c r="W126" s="1"/>
      <c r="X126" s="1"/>
      <c r="Y126" s="1"/>
      <c r="Z126" s="1"/>
      <c r="AA126" s="1"/>
      <c r="AB126" s="1"/>
      <c r="AC126" s="1"/>
      <c r="AD126" s="1"/>
      <c r="AE126" s="1"/>
      <c r="AF126" s="1"/>
    </row>
    <row r="127" ht="15.75" customHeight="1">
      <c r="A127" s="1"/>
      <c r="B127" s="156"/>
      <c r="C127" s="364"/>
      <c r="D127" s="364"/>
      <c r="E127" s="156"/>
      <c r="F127" s="156"/>
      <c r="G127" s="1"/>
      <c r="H127" s="8"/>
      <c r="I127" s="8"/>
      <c r="J127" s="8"/>
      <c r="K127" s="1"/>
      <c r="L127" s="1"/>
      <c r="M127" s="1"/>
      <c r="N127" s="1"/>
      <c r="O127" s="1"/>
      <c r="P127" s="1"/>
      <c r="Q127" s="1"/>
      <c r="R127" s="1"/>
      <c r="S127" s="1"/>
      <c r="T127" s="1"/>
      <c r="U127" s="1"/>
      <c r="V127" s="1"/>
      <c r="W127" s="1"/>
      <c r="X127" s="1"/>
      <c r="Y127" s="1"/>
      <c r="Z127" s="1"/>
      <c r="AA127" s="1"/>
      <c r="AB127" s="1"/>
      <c r="AC127" s="1"/>
      <c r="AD127" s="1"/>
      <c r="AE127" s="1"/>
      <c r="AF127" s="1"/>
    </row>
    <row r="128" ht="15.75" customHeight="1">
      <c r="A128" s="1"/>
      <c r="B128" s="156"/>
      <c r="C128" s="364"/>
      <c r="D128" s="364"/>
      <c r="E128" s="156"/>
      <c r="F128" s="156"/>
      <c r="G128" s="1"/>
      <c r="H128" s="8"/>
      <c r="I128" s="8"/>
      <c r="J128" s="8"/>
      <c r="K128" s="1"/>
      <c r="L128" s="1"/>
      <c r="M128" s="1"/>
      <c r="N128" s="1"/>
      <c r="O128" s="1"/>
      <c r="P128" s="1"/>
      <c r="Q128" s="1"/>
      <c r="R128" s="1"/>
      <c r="S128" s="1"/>
      <c r="T128" s="1"/>
      <c r="U128" s="1"/>
      <c r="V128" s="1"/>
      <c r="W128" s="1"/>
      <c r="X128" s="1"/>
      <c r="Y128" s="1"/>
      <c r="Z128" s="1"/>
      <c r="AA128" s="1"/>
      <c r="AB128" s="1"/>
      <c r="AC128" s="1"/>
      <c r="AD128" s="1"/>
      <c r="AE128" s="1"/>
      <c r="AF128" s="1"/>
    </row>
    <row r="129" ht="15.75" customHeight="1">
      <c r="A129" s="1"/>
      <c r="B129" s="156"/>
      <c r="C129" s="364"/>
      <c r="D129" s="364"/>
      <c r="E129" s="156"/>
      <c r="F129" s="156"/>
      <c r="G129" s="1"/>
      <c r="H129" s="8"/>
      <c r="I129" s="8"/>
      <c r="J129" s="8"/>
      <c r="K129" s="1"/>
      <c r="L129" s="1"/>
      <c r="M129" s="1"/>
      <c r="N129" s="1"/>
      <c r="O129" s="1"/>
      <c r="P129" s="1"/>
      <c r="Q129" s="1"/>
      <c r="R129" s="1"/>
      <c r="S129" s="1"/>
      <c r="T129" s="1"/>
      <c r="U129" s="1"/>
      <c r="V129" s="1"/>
      <c r="W129" s="1"/>
      <c r="X129" s="1"/>
      <c r="Y129" s="1"/>
      <c r="Z129" s="1"/>
      <c r="AA129" s="1"/>
      <c r="AB129" s="1"/>
      <c r="AC129" s="1"/>
      <c r="AD129" s="1"/>
      <c r="AE129" s="1"/>
      <c r="AF129" s="1"/>
    </row>
    <row r="130" ht="15.75" customHeight="1">
      <c r="A130" s="1"/>
      <c r="B130" s="156"/>
      <c r="C130" s="364"/>
      <c r="D130" s="364"/>
      <c r="E130" s="156"/>
      <c r="F130" s="156"/>
      <c r="G130" s="1"/>
      <c r="H130" s="8"/>
      <c r="I130" s="8"/>
      <c r="J130" s="8"/>
      <c r="K130" s="1"/>
      <c r="L130" s="1"/>
      <c r="M130" s="1"/>
      <c r="N130" s="1"/>
      <c r="O130" s="1"/>
      <c r="P130" s="1"/>
      <c r="Q130" s="1"/>
      <c r="R130" s="1"/>
      <c r="S130" s="1"/>
      <c r="T130" s="1"/>
      <c r="U130" s="1"/>
      <c r="V130" s="1"/>
      <c r="W130" s="1"/>
      <c r="X130" s="1"/>
      <c r="Y130" s="1"/>
      <c r="Z130" s="1"/>
      <c r="AA130" s="1"/>
      <c r="AB130" s="1"/>
      <c r="AC130" s="1"/>
      <c r="AD130" s="1"/>
      <c r="AE130" s="1"/>
      <c r="AF130" s="1"/>
    </row>
    <row r="131" ht="15.75" customHeight="1">
      <c r="A131" s="1"/>
      <c r="B131" s="156"/>
      <c r="C131" s="364"/>
      <c r="D131" s="364"/>
      <c r="E131" s="156"/>
      <c r="F131" s="156"/>
      <c r="G131" s="1"/>
      <c r="H131" s="8"/>
      <c r="I131" s="8"/>
      <c r="J131" s="8"/>
      <c r="K131" s="1"/>
      <c r="L131" s="1"/>
      <c r="M131" s="1"/>
      <c r="N131" s="1"/>
      <c r="O131" s="1"/>
      <c r="P131" s="1"/>
      <c r="Q131" s="1"/>
      <c r="R131" s="1"/>
      <c r="S131" s="1"/>
      <c r="T131" s="1"/>
      <c r="U131" s="1"/>
      <c r="V131" s="1"/>
      <c r="W131" s="1"/>
      <c r="X131" s="1"/>
      <c r="Y131" s="1"/>
      <c r="Z131" s="1"/>
      <c r="AA131" s="1"/>
      <c r="AB131" s="1"/>
      <c r="AC131" s="1"/>
      <c r="AD131" s="1"/>
      <c r="AE131" s="1"/>
      <c r="AF131" s="1"/>
    </row>
    <row r="132" ht="15.75" customHeight="1">
      <c r="A132" s="1"/>
      <c r="B132" s="156"/>
      <c r="C132" s="364"/>
      <c r="D132" s="364"/>
      <c r="E132" s="156"/>
      <c r="F132" s="156"/>
      <c r="G132" s="1"/>
      <c r="H132" s="8"/>
      <c r="I132" s="8"/>
      <c r="J132" s="8"/>
      <c r="K132" s="1"/>
      <c r="L132" s="1"/>
      <c r="M132" s="1"/>
      <c r="N132" s="1"/>
      <c r="O132" s="1"/>
      <c r="P132" s="1"/>
      <c r="Q132" s="1"/>
      <c r="R132" s="1"/>
      <c r="S132" s="1"/>
      <c r="T132" s="1"/>
      <c r="U132" s="1"/>
      <c r="V132" s="1"/>
      <c r="W132" s="1"/>
      <c r="X132" s="1"/>
      <c r="Y132" s="1"/>
      <c r="Z132" s="1"/>
      <c r="AA132" s="1"/>
      <c r="AB132" s="1"/>
      <c r="AC132" s="1"/>
      <c r="AD132" s="1"/>
      <c r="AE132" s="1"/>
      <c r="AF132" s="1"/>
    </row>
    <row r="133" ht="15.75" customHeight="1">
      <c r="A133" s="1"/>
      <c r="B133" s="156"/>
      <c r="C133" s="364"/>
      <c r="D133" s="364"/>
      <c r="E133" s="156"/>
      <c r="F133" s="156"/>
      <c r="G133" s="1"/>
      <c r="H133" s="8"/>
      <c r="I133" s="8"/>
      <c r="J133" s="8"/>
      <c r="K133" s="1"/>
      <c r="L133" s="1"/>
      <c r="M133" s="1"/>
      <c r="N133" s="1"/>
      <c r="O133" s="1"/>
      <c r="P133" s="1"/>
      <c r="Q133" s="1"/>
      <c r="R133" s="1"/>
      <c r="S133" s="1"/>
      <c r="T133" s="1"/>
      <c r="U133" s="1"/>
      <c r="V133" s="1"/>
      <c r="W133" s="1"/>
      <c r="X133" s="1"/>
      <c r="Y133" s="1"/>
      <c r="Z133" s="1"/>
      <c r="AA133" s="1"/>
      <c r="AB133" s="1"/>
      <c r="AC133" s="1"/>
      <c r="AD133" s="1"/>
      <c r="AE133" s="1"/>
      <c r="AF133" s="1"/>
    </row>
    <row r="134" ht="15.75" customHeight="1">
      <c r="A134" s="1"/>
      <c r="B134" s="156"/>
      <c r="C134" s="364"/>
      <c r="D134" s="364"/>
      <c r="E134" s="156"/>
      <c r="F134" s="156"/>
      <c r="G134" s="1"/>
      <c r="H134" s="8"/>
      <c r="I134" s="8"/>
      <c r="J134" s="8"/>
      <c r="K134" s="1"/>
      <c r="L134" s="1"/>
      <c r="M134" s="1"/>
      <c r="N134" s="1"/>
      <c r="O134" s="1"/>
      <c r="P134" s="1"/>
      <c r="Q134" s="1"/>
      <c r="R134" s="1"/>
      <c r="S134" s="1"/>
      <c r="T134" s="1"/>
      <c r="U134" s="1"/>
      <c r="V134" s="1"/>
      <c r="W134" s="1"/>
      <c r="X134" s="1"/>
      <c r="Y134" s="1"/>
      <c r="Z134" s="1"/>
      <c r="AA134" s="1"/>
      <c r="AB134" s="1"/>
      <c r="AC134" s="1"/>
      <c r="AD134" s="1"/>
      <c r="AE134" s="1"/>
      <c r="AF134" s="1"/>
    </row>
    <row r="135" ht="15.75" customHeight="1">
      <c r="A135" s="1"/>
      <c r="B135" s="156"/>
      <c r="C135" s="364"/>
      <c r="D135" s="364"/>
      <c r="E135" s="156"/>
      <c r="F135" s="156"/>
      <c r="G135" s="1"/>
      <c r="H135" s="8"/>
      <c r="I135" s="8"/>
      <c r="J135" s="8"/>
      <c r="K135" s="1"/>
      <c r="L135" s="1"/>
      <c r="M135" s="1"/>
      <c r="N135" s="1"/>
      <c r="O135" s="1"/>
      <c r="P135" s="1"/>
      <c r="Q135" s="1"/>
      <c r="R135" s="1"/>
      <c r="S135" s="1"/>
      <c r="T135" s="1"/>
      <c r="U135" s="1"/>
      <c r="V135" s="1"/>
      <c r="W135" s="1"/>
      <c r="X135" s="1"/>
      <c r="Y135" s="1"/>
      <c r="Z135" s="1"/>
      <c r="AA135" s="1"/>
      <c r="AB135" s="1"/>
      <c r="AC135" s="1"/>
      <c r="AD135" s="1"/>
      <c r="AE135" s="1"/>
      <c r="AF135" s="1"/>
    </row>
    <row r="136" ht="15.75" customHeight="1">
      <c r="A136" s="1"/>
      <c r="B136" s="156"/>
      <c r="C136" s="364"/>
      <c r="D136" s="364"/>
      <c r="E136" s="156"/>
      <c r="F136" s="156"/>
      <c r="G136" s="1"/>
      <c r="H136" s="8"/>
      <c r="I136" s="8"/>
      <c r="J136" s="8"/>
      <c r="K136" s="1"/>
      <c r="L136" s="1"/>
      <c r="M136" s="1"/>
      <c r="N136" s="1"/>
      <c r="O136" s="1"/>
      <c r="P136" s="1"/>
      <c r="Q136" s="1"/>
      <c r="R136" s="1"/>
      <c r="S136" s="1"/>
      <c r="T136" s="1"/>
      <c r="U136" s="1"/>
      <c r="V136" s="1"/>
      <c r="W136" s="1"/>
      <c r="X136" s="1"/>
      <c r="Y136" s="1"/>
      <c r="Z136" s="1"/>
      <c r="AA136" s="1"/>
      <c r="AB136" s="1"/>
      <c r="AC136" s="1"/>
      <c r="AD136" s="1"/>
      <c r="AE136" s="1"/>
      <c r="AF136" s="1"/>
    </row>
    <row r="137" ht="15.75" customHeight="1">
      <c r="A137" s="1"/>
      <c r="B137" s="156"/>
      <c r="C137" s="364"/>
      <c r="D137" s="364"/>
      <c r="E137" s="156"/>
      <c r="F137" s="156"/>
      <c r="G137" s="1"/>
      <c r="H137" s="8"/>
      <c r="I137" s="8"/>
      <c r="J137" s="8"/>
      <c r="K137" s="1"/>
      <c r="L137" s="1"/>
      <c r="M137" s="1"/>
      <c r="N137" s="1"/>
      <c r="O137" s="1"/>
      <c r="P137" s="1"/>
      <c r="Q137" s="1"/>
      <c r="R137" s="1"/>
      <c r="S137" s="1"/>
      <c r="T137" s="1"/>
      <c r="U137" s="1"/>
      <c r="V137" s="1"/>
      <c r="W137" s="1"/>
      <c r="X137" s="1"/>
      <c r="Y137" s="1"/>
      <c r="Z137" s="1"/>
      <c r="AA137" s="1"/>
      <c r="AB137" s="1"/>
      <c r="AC137" s="1"/>
      <c r="AD137" s="1"/>
      <c r="AE137" s="1"/>
      <c r="AF137" s="1"/>
    </row>
    <row r="138" ht="15.75" customHeight="1">
      <c r="A138" s="1"/>
      <c r="B138" s="156"/>
      <c r="C138" s="364"/>
      <c r="D138" s="364"/>
      <c r="E138" s="449"/>
      <c r="F138" s="398"/>
      <c r="G138" s="1"/>
      <c r="H138" s="8"/>
      <c r="I138" s="8"/>
      <c r="J138" s="8"/>
      <c r="K138" s="1"/>
      <c r="L138" s="1"/>
      <c r="M138" s="1"/>
      <c r="N138" s="1"/>
      <c r="O138" s="1"/>
      <c r="P138" s="1"/>
      <c r="Q138" s="1"/>
      <c r="R138" s="1"/>
      <c r="S138" s="1"/>
      <c r="T138" s="1"/>
      <c r="U138" s="1"/>
      <c r="V138" s="1"/>
      <c r="W138" s="1"/>
      <c r="X138" s="1"/>
      <c r="Y138" s="1"/>
      <c r="Z138" s="1"/>
      <c r="AA138" s="1"/>
      <c r="AB138" s="1"/>
      <c r="AC138" s="1"/>
      <c r="AD138" s="1"/>
      <c r="AE138" s="1"/>
      <c r="AF138" s="1"/>
    </row>
    <row r="139" ht="15.75" customHeight="1">
      <c r="A139" s="1"/>
      <c r="B139" s="156"/>
      <c r="C139" s="364"/>
      <c r="D139" s="364"/>
      <c r="E139" s="194"/>
      <c r="F139" s="399"/>
      <c r="G139" s="1"/>
      <c r="H139" s="8"/>
      <c r="I139" s="8"/>
      <c r="J139" s="8"/>
      <c r="K139" s="1"/>
      <c r="L139" s="1"/>
      <c r="M139" s="1"/>
      <c r="N139" s="1"/>
      <c r="O139" s="1"/>
      <c r="P139" s="1"/>
      <c r="Q139" s="1"/>
      <c r="R139" s="1"/>
      <c r="S139" s="1"/>
      <c r="T139" s="1"/>
      <c r="U139" s="1"/>
      <c r="V139" s="1"/>
      <c r="W139" s="1"/>
      <c r="X139" s="1"/>
      <c r="Y139" s="1"/>
      <c r="Z139" s="1"/>
      <c r="AA139" s="1"/>
      <c r="AB139" s="1"/>
      <c r="AC139" s="1"/>
      <c r="AD139" s="1"/>
      <c r="AE139" s="1"/>
      <c r="AF139" s="1"/>
    </row>
    <row r="140" ht="15.75" customHeight="1">
      <c r="A140" s="1"/>
      <c r="B140" s="156"/>
      <c r="C140" s="364"/>
      <c r="D140" s="364"/>
      <c r="E140" s="194"/>
      <c r="F140" s="399"/>
      <c r="G140" s="1"/>
      <c r="H140" s="8"/>
      <c r="I140" s="8"/>
      <c r="J140" s="8"/>
      <c r="K140" s="1"/>
      <c r="L140" s="1"/>
      <c r="M140" s="1"/>
      <c r="N140" s="1"/>
      <c r="O140" s="1"/>
      <c r="P140" s="1"/>
      <c r="Q140" s="1"/>
      <c r="R140" s="1"/>
      <c r="S140" s="1"/>
      <c r="T140" s="1"/>
      <c r="U140" s="1"/>
      <c r="V140" s="1"/>
      <c r="W140" s="1"/>
      <c r="X140" s="1"/>
      <c r="Y140" s="1"/>
      <c r="Z140" s="1"/>
      <c r="AA140" s="1"/>
      <c r="AB140" s="1"/>
      <c r="AC140" s="1"/>
      <c r="AD140" s="1"/>
      <c r="AE140" s="1"/>
      <c r="AF140" s="1"/>
    </row>
    <row r="141" ht="15.75" customHeight="1">
      <c r="A141" s="1"/>
      <c r="B141" s="156"/>
      <c r="C141" s="364"/>
      <c r="D141" s="364"/>
      <c r="E141" s="450"/>
      <c r="F141" s="451"/>
      <c r="G141" s="1"/>
      <c r="H141" s="8"/>
      <c r="I141" s="8"/>
      <c r="J141" s="8"/>
      <c r="K141" s="1"/>
      <c r="L141" s="1"/>
      <c r="M141" s="1"/>
      <c r="N141" s="1"/>
      <c r="O141" s="1"/>
      <c r="P141" s="1"/>
      <c r="Q141" s="1"/>
      <c r="R141" s="1"/>
      <c r="S141" s="1"/>
      <c r="T141" s="1"/>
      <c r="U141" s="1"/>
      <c r="V141" s="1"/>
      <c r="W141" s="1"/>
      <c r="X141" s="1"/>
      <c r="Y141" s="1"/>
      <c r="Z141" s="1"/>
      <c r="AA141" s="1"/>
      <c r="AB141" s="1"/>
      <c r="AC141" s="1"/>
      <c r="AD141" s="1"/>
      <c r="AE141" s="1"/>
      <c r="AF141" s="1"/>
    </row>
    <row r="142" ht="15.75" customHeight="1">
      <c r="A142" s="1"/>
      <c r="B142" s="156"/>
      <c r="C142" s="364"/>
      <c r="D142" s="364"/>
      <c r="E142" s="156"/>
      <c r="F142" s="156"/>
      <c r="G142" s="1"/>
      <c r="H142" s="8"/>
      <c r="I142" s="8"/>
      <c r="J142" s="8"/>
      <c r="K142" s="1"/>
      <c r="L142" s="1"/>
      <c r="M142" s="1"/>
      <c r="N142" s="1"/>
      <c r="O142" s="1"/>
      <c r="P142" s="1"/>
      <c r="Q142" s="1"/>
      <c r="R142" s="1"/>
      <c r="S142" s="1"/>
      <c r="T142" s="1"/>
      <c r="U142" s="1"/>
      <c r="V142" s="1"/>
      <c r="W142" s="1"/>
      <c r="X142" s="1"/>
      <c r="Y142" s="1"/>
      <c r="Z142" s="1"/>
      <c r="AA142" s="1"/>
      <c r="AB142" s="1"/>
      <c r="AC142" s="1"/>
      <c r="AD142" s="1"/>
      <c r="AE142" s="1"/>
      <c r="AF142" s="1"/>
    </row>
    <row r="143" ht="15.75" customHeight="1">
      <c r="A143" s="1"/>
      <c r="B143" s="156"/>
      <c r="C143" s="364"/>
      <c r="D143" s="364"/>
      <c r="E143" s="156"/>
      <c r="F143" s="156"/>
      <c r="G143" s="1"/>
      <c r="H143" s="8"/>
      <c r="I143" s="8"/>
      <c r="J143" s="8"/>
      <c r="K143" s="1"/>
      <c r="L143" s="1"/>
      <c r="M143" s="1"/>
      <c r="N143" s="1"/>
      <c r="O143" s="1"/>
      <c r="P143" s="1"/>
      <c r="Q143" s="1"/>
      <c r="R143" s="1"/>
      <c r="S143" s="1"/>
      <c r="T143" s="1"/>
      <c r="U143" s="1"/>
      <c r="V143" s="1"/>
      <c r="W143" s="1"/>
      <c r="X143" s="1"/>
      <c r="Y143" s="1"/>
      <c r="Z143" s="1"/>
      <c r="AA143" s="1"/>
      <c r="AB143" s="1"/>
      <c r="AC143" s="1"/>
      <c r="AD143" s="1"/>
      <c r="AE143" s="1"/>
      <c r="AF143" s="1"/>
    </row>
    <row r="144" ht="15.75" customHeight="1">
      <c r="A144" s="1"/>
      <c r="B144" s="156"/>
      <c r="C144" s="364"/>
      <c r="D144" s="364"/>
      <c r="E144" s="156"/>
      <c r="F144" s="156"/>
      <c r="G144" s="1"/>
      <c r="H144" s="8"/>
      <c r="I144" s="8"/>
      <c r="J144" s="8"/>
      <c r="K144" s="1"/>
      <c r="L144" s="1"/>
      <c r="M144" s="1"/>
      <c r="N144" s="1"/>
      <c r="O144" s="1"/>
      <c r="P144" s="1"/>
      <c r="Q144" s="1"/>
      <c r="R144" s="1"/>
      <c r="S144" s="1"/>
      <c r="T144" s="1"/>
      <c r="U144" s="1"/>
      <c r="V144" s="1"/>
      <c r="W144" s="1"/>
      <c r="X144" s="1"/>
      <c r="Y144" s="1"/>
      <c r="Z144" s="1"/>
      <c r="AA144" s="1"/>
      <c r="AB144" s="1"/>
      <c r="AC144" s="1"/>
      <c r="AD144" s="1"/>
      <c r="AE144" s="1"/>
      <c r="AF144" s="1"/>
    </row>
    <row r="145" ht="15.75" customHeight="1">
      <c r="A145" s="1"/>
      <c r="B145" s="156"/>
      <c r="C145" s="364"/>
      <c r="D145" s="364"/>
      <c r="E145" s="156"/>
      <c r="F145" s="156"/>
      <c r="G145" s="1"/>
      <c r="H145" s="8"/>
      <c r="I145" s="8"/>
      <c r="J145" s="8"/>
      <c r="K145" s="1"/>
      <c r="L145" s="1"/>
      <c r="M145" s="1"/>
      <c r="N145" s="1"/>
      <c r="O145" s="1"/>
      <c r="P145" s="1"/>
      <c r="Q145" s="1"/>
      <c r="R145" s="1"/>
      <c r="S145" s="1"/>
      <c r="T145" s="1"/>
      <c r="U145" s="1"/>
      <c r="V145" s="1"/>
      <c r="W145" s="1"/>
      <c r="X145" s="1"/>
      <c r="Y145" s="1"/>
      <c r="Z145" s="1"/>
      <c r="AA145" s="1"/>
      <c r="AB145" s="1"/>
      <c r="AC145" s="1"/>
      <c r="AD145" s="1"/>
      <c r="AE145" s="1"/>
      <c r="AF145" s="1"/>
    </row>
    <row r="146" ht="15.75" customHeight="1">
      <c r="A146" s="1"/>
      <c r="B146" s="156"/>
      <c r="C146" s="364"/>
      <c r="D146" s="364"/>
      <c r="E146" s="156"/>
      <c r="F146" s="156"/>
      <c r="G146" s="1"/>
      <c r="H146" s="8"/>
      <c r="I146" s="8"/>
      <c r="J146" s="8"/>
      <c r="K146" s="1"/>
      <c r="L146" s="1"/>
      <c r="M146" s="1"/>
      <c r="N146" s="1"/>
      <c r="O146" s="1"/>
      <c r="P146" s="1"/>
      <c r="Q146" s="1"/>
      <c r="R146" s="1"/>
      <c r="S146" s="1"/>
      <c r="T146" s="1"/>
      <c r="U146" s="1"/>
      <c r="V146" s="1"/>
      <c r="W146" s="1"/>
      <c r="X146" s="1"/>
      <c r="Y146" s="1"/>
      <c r="Z146" s="1"/>
      <c r="AA146" s="1"/>
      <c r="AB146" s="1"/>
      <c r="AC146" s="1"/>
      <c r="AD146" s="1"/>
      <c r="AE146" s="1"/>
      <c r="AF146" s="1"/>
    </row>
    <row r="147" ht="15.75" customHeight="1">
      <c r="A147" s="1"/>
      <c r="B147" s="156"/>
      <c r="C147" s="364"/>
      <c r="D147" s="364"/>
      <c r="E147" s="156"/>
      <c r="F147" s="156"/>
      <c r="G147" s="1"/>
      <c r="H147" s="8"/>
      <c r="I147" s="8"/>
      <c r="J147" s="8"/>
      <c r="K147" s="1"/>
      <c r="L147" s="1"/>
      <c r="M147" s="1"/>
      <c r="N147" s="1"/>
      <c r="O147" s="1"/>
      <c r="P147" s="1"/>
      <c r="Q147" s="1"/>
      <c r="R147" s="1"/>
      <c r="S147" s="1"/>
      <c r="T147" s="1"/>
      <c r="U147" s="1"/>
      <c r="V147" s="1"/>
      <c r="W147" s="1"/>
      <c r="X147" s="1"/>
      <c r="Y147" s="1"/>
      <c r="Z147" s="1"/>
      <c r="AA147" s="1"/>
      <c r="AB147" s="1"/>
      <c r="AC147" s="1"/>
      <c r="AD147" s="1"/>
      <c r="AE147" s="1"/>
      <c r="AF147" s="1"/>
    </row>
    <row r="148" ht="15.75" customHeight="1">
      <c r="A148" s="1"/>
      <c r="B148" s="156"/>
      <c r="C148" s="364"/>
      <c r="D148" s="364"/>
      <c r="E148" s="156"/>
      <c r="F148" s="156"/>
      <c r="G148" s="1"/>
      <c r="H148" s="8"/>
      <c r="I148" s="8"/>
      <c r="J148" s="8"/>
      <c r="K148" s="1"/>
      <c r="L148" s="1"/>
      <c r="M148" s="1"/>
      <c r="N148" s="1"/>
      <c r="O148" s="1"/>
      <c r="P148" s="1"/>
      <c r="Q148" s="1"/>
      <c r="R148" s="1"/>
      <c r="S148" s="1"/>
      <c r="T148" s="1"/>
      <c r="U148" s="1"/>
      <c r="V148" s="1"/>
      <c r="W148" s="1"/>
      <c r="X148" s="1"/>
      <c r="Y148" s="1"/>
      <c r="Z148" s="1"/>
      <c r="AA148" s="1"/>
      <c r="AB148" s="1"/>
      <c r="AC148" s="1"/>
      <c r="AD148" s="1"/>
      <c r="AE148" s="1"/>
      <c r="AF148" s="1"/>
    </row>
    <row r="149" ht="15.75" customHeight="1">
      <c r="A149" s="1"/>
      <c r="B149" s="156"/>
      <c r="C149" s="364"/>
      <c r="D149" s="364"/>
      <c r="E149" s="156"/>
      <c r="F149" s="156"/>
      <c r="G149" s="1"/>
      <c r="H149" s="8"/>
      <c r="I149" s="8"/>
      <c r="J149" s="8"/>
      <c r="K149" s="1"/>
      <c r="L149" s="1"/>
      <c r="M149" s="1"/>
      <c r="N149" s="1"/>
      <c r="O149" s="1"/>
      <c r="P149" s="1"/>
      <c r="Q149" s="1"/>
      <c r="R149" s="1"/>
      <c r="S149" s="1"/>
      <c r="T149" s="1"/>
      <c r="U149" s="1"/>
      <c r="V149" s="1"/>
      <c r="W149" s="1"/>
      <c r="X149" s="1"/>
      <c r="Y149" s="1"/>
      <c r="Z149" s="1"/>
      <c r="AA149" s="1"/>
      <c r="AB149" s="1"/>
      <c r="AC149" s="1"/>
      <c r="AD149" s="1"/>
      <c r="AE149" s="1"/>
      <c r="AF149" s="1"/>
    </row>
    <row r="150" ht="15.75" customHeight="1">
      <c r="A150" s="1"/>
      <c r="B150" s="156"/>
      <c r="C150" s="364"/>
      <c r="D150" s="364"/>
      <c r="E150" s="156"/>
      <c r="F150" s="156"/>
      <c r="G150" s="1"/>
      <c r="H150" s="8"/>
      <c r="I150" s="8"/>
      <c r="J150" s="8"/>
      <c r="K150" s="1"/>
      <c r="L150" s="1"/>
      <c r="M150" s="1"/>
      <c r="N150" s="1"/>
      <c r="O150" s="1"/>
      <c r="P150" s="1"/>
      <c r="Q150" s="1"/>
      <c r="R150" s="1"/>
      <c r="S150" s="1"/>
      <c r="T150" s="1"/>
      <c r="U150" s="1"/>
      <c r="V150" s="1"/>
      <c r="W150" s="1"/>
      <c r="X150" s="1"/>
      <c r="Y150" s="1"/>
      <c r="Z150" s="1"/>
      <c r="AA150" s="1"/>
      <c r="AB150" s="1"/>
      <c r="AC150" s="1"/>
      <c r="AD150" s="1"/>
      <c r="AE150" s="1"/>
      <c r="AF150" s="1"/>
    </row>
    <row r="151" ht="15.75" customHeight="1">
      <c r="A151" s="1"/>
      <c r="B151" s="156"/>
      <c r="C151" s="364"/>
      <c r="D151" s="364"/>
      <c r="E151" s="156"/>
      <c r="F151" s="156"/>
      <c r="G151" s="1"/>
      <c r="H151" s="8"/>
      <c r="I151" s="8"/>
      <c r="J151" s="8"/>
      <c r="K151" s="1"/>
      <c r="L151" s="1"/>
      <c r="M151" s="1"/>
      <c r="N151" s="1"/>
      <c r="O151" s="1"/>
      <c r="P151" s="1"/>
      <c r="Q151" s="1"/>
      <c r="R151" s="1"/>
      <c r="S151" s="1"/>
      <c r="T151" s="1"/>
      <c r="U151" s="1"/>
      <c r="V151" s="1"/>
      <c r="W151" s="1"/>
      <c r="X151" s="1"/>
      <c r="Y151" s="1"/>
      <c r="Z151" s="1"/>
      <c r="AA151" s="1"/>
      <c r="AB151" s="1"/>
      <c r="AC151" s="1"/>
      <c r="AD151" s="1"/>
      <c r="AE151" s="1"/>
      <c r="AF151" s="1"/>
    </row>
    <row r="152" ht="15.75" customHeight="1">
      <c r="A152" s="1"/>
      <c r="B152" s="156"/>
      <c r="C152" s="364"/>
      <c r="D152" s="364"/>
      <c r="E152" s="156"/>
      <c r="F152" s="156"/>
      <c r="G152" s="1"/>
      <c r="H152" s="8"/>
      <c r="I152" s="8"/>
      <c r="J152" s="8"/>
      <c r="K152" s="1"/>
      <c r="L152" s="1"/>
      <c r="M152" s="1"/>
      <c r="N152" s="1"/>
      <c r="O152" s="1"/>
      <c r="P152" s="1"/>
      <c r="Q152" s="1"/>
      <c r="R152" s="1"/>
      <c r="S152" s="1"/>
      <c r="T152" s="1"/>
      <c r="U152" s="1"/>
      <c r="V152" s="1"/>
      <c r="W152" s="1"/>
      <c r="X152" s="1"/>
      <c r="Y152" s="1"/>
      <c r="Z152" s="1"/>
      <c r="AA152" s="1"/>
      <c r="AB152" s="1"/>
      <c r="AC152" s="1"/>
      <c r="AD152" s="1"/>
      <c r="AE152" s="1"/>
      <c r="AF152" s="1"/>
    </row>
    <row r="153" ht="15.75" customHeight="1">
      <c r="A153" s="1"/>
      <c r="B153" s="156"/>
      <c r="C153" s="364"/>
      <c r="D153" s="364"/>
      <c r="E153" s="156"/>
      <c r="F153" s="156"/>
      <c r="G153" s="1"/>
      <c r="H153" s="8"/>
      <c r="I153" s="8"/>
      <c r="J153" s="8"/>
      <c r="K153" s="1"/>
      <c r="L153" s="1"/>
      <c r="M153" s="1"/>
      <c r="N153" s="1"/>
      <c r="O153" s="1"/>
      <c r="P153" s="1"/>
      <c r="Q153" s="1"/>
      <c r="R153" s="1"/>
      <c r="S153" s="1"/>
      <c r="T153" s="1"/>
      <c r="U153" s="1"/>
      <c r="V153" s="1"/>
      <c r="W153" s="1"/>
      <c r="X153" s="1"/>
      <c r="Y153" s="1"/>
      <c r="Z153" s="1"/>
      <c r="AA153" s="1"/>
      <c r="AB153" s="1"/>
      <c r="AC153" s="1"/>
      <c r="AD153" s="1"/>
      <c r="AE153" s="1"/>
      <c r="AF153" s="1"/>
    </row>
    <row r="154" ht="15.75" customHeight="1">
      <c r="A154" s="1"/>
      <c r="B154" s="156"/>
      <c r="C154" s="364"/>
      <c r="D154" s="364"/>
      <c r="E154" s="156"/>
      <c r="F154" s="156"/>
      <c r="G154" s="1"/>
      <c r="H154" s="8"/>
      <c r="I154" s="8"/>
      <c r="J154" s="8"/>
      <c r="K154" s="1"/>
      <c r="L154" s="1"/>
      <c r="M154" s="1"/>
      <c r="N154" s="1"/>
      <c r="O154" s="1"/>
      <c r="P154" s="1"/>
      <c r="Q154" s="1"/>
      <c r="R154" s="1"/>
      <c r="S154" s="1"/>
      <c r="T154" s="1"/>
      <c r="U154" s="1"/>
      <c r="V154" s="1"/>
      <c r="W154" s="1"/>
      <c r="X154" s="1"/>
      <c r="Y154" s="1"/>
      <c r="Z154" s="1"/>
      <c r="AA154" s="1"/>
      <c r="AB154" s="1"/>
      <c r="AC154" s="1"/>
      <c r="AD154" s="1"/>
      <c r="AE154" s="1"/>
      <c r="AF154" s="1"/>
    </row>
    <row r="155" ht="15.75" customHeight="1">
      <c r="A155" s="1"/>
      <c r="B155" s="1"/>
      <c r="C155" s="4"/>
      <c r="D155" s="4"/>
      <c r="E155" s="1"/>
      <c r="F155" s="1"/>
      <c r="G155" s="1"/>
      <c r="H155" s="8"/>
      <c r="I155" s="8"/>
      <c r="J155" s="8"/>
      <c r="K155" s="1"/>
      <c r="L155" s="1"/>
      <c r="M155" s="1"/>
      <c r="N155" s="1"/>
      <c r="O155" s="1"/>
      <c r="P155" s="1"/>
      <c r="Q155" s="1"/>
      <c r="R155" s="1"/>
      <c r="S155" s="1"/>
      <c r="T155" s="1"/>
      <c r="U155" s="1"/>
      <c r="V155" s="1"/>
      <c r="W155" s="1"/>
      <c r="X155" s="1"/>
      <c r="Y155" s="1"/>
      <c r="Z155" s="1"/>
      <c r="AA155" s="1"/>
      <c r="AB155" s="1"/>
      <c r="AC155" s="1"/>
      <c r="AD155" s="1"/>
      <c r="AE155" s="1"/>
      <c r="AF155" s="1"/>
    </row>
    <row r="156" ht="15.75" customHeight="1">
      <c r="A156" s="1"/>
      <c r="B156" s="1"/>
      <c r="C156" s="4"/>
      <c r="D156" s="4"/>
      <c r="E156" s="1"/>
      <c r="F156" s="1"/>
      <c r="G156" s="1"/>
      <c r="H156" s="8"/>
      <c r="I156" s="8"/>
      <c r="J156" s="8"/>
      <c r="K156" s="1"/>
      <c r="L156" s="1"/>
      <c r="M156" s="1"/>
      <c r="N156" s="1"/>
      <c r="O156" s="1"/>
      <c r="P156" s="1"/>
      <c r="Q156" s="1"/>
      <c r="R156" s="1"/>
      <c r="S156" s="1"/>
      <c r="T156" s="1"/>
      <c r="U156" s="1"/>
      <c r="V156" s="1"/>
      <c r="W156" s="1"/>
      <c r="X156" s="1"/>
      <c r="Y156" s="1"/>
      <c r="Z156" s="1"/>
      <c r="AA156" s="1"/>
      <c r="AB156" s="1"/>
      <c r="AC156" s="1"/>
      <c r="AD156" s="1"/>
      <c r="AE156" s="1"/>
      <c r="AF156" s="1"/>
    </row>
    <row r="157" ht="15.75" customHeight="1">
      <c r="A157" s="1"/>
      <c r="B157" s="1"/>
      <c r="C157" s="4"/>
      <c r="D157" s="4"/>
      <c r="E157" s="1"/>
      <c r="F157" s="1"/>
      <c r="G157" s="1"/>
      <c r="H157" s="8"/>
      <c r="I157" s="8"/>
      <c r="J157" s="8"/>
      <c r="K157" s="1"/>
      <c r="L157" s="1"/>
      <c r="M157" s="1"/>
      <c r="N157" s="1"/>
      <c r="O157" s="1"/>
      <c r="P157" s="1"/>
      <c r="Q157" s="1"/>
      <c r="R157" s="1"/>
      <c r="S157" s="1"/>
      <c r="T157" s="1"/>
      <c r="U157" s="1"/>
      <c r="V157" s="1"/>
      <c r="W157" s="1"/>
      <c r="X157" s="1"/>
      <c r="Y157" s="1"/>
      <c r="Z157" s="1"/>
      <c r="AA157" s="1"/>
      <c r="AB157" s="1"/>
      <c r="AC157" s="1"/>
      <c r="AD157" s="1"/>
      <c r="AE157" s="1"/>
      <c r="AF157" s="1"/>
    </row>
    <row r="158" ht="15.75" customHeight="1">
      <c r="A158" s="1"/>
      <c r="B158" s="1"/>
      <c r="C158" s="4"/>
      <c r="D158" s="4"/>
      <c r="E158" s="1"/>
      <c r="F158" s="1"/>
      <c r="G158" s="1"/>
      <c r="H158" s="8"/>
      <c r="I158" s="8"/>
      <c r="J158" s="8"/>
      <c r="K158" s="1"/>
      <c r="L158" s="1"/>
      <c r="M158" s="1"/>
      <c r="N158" s="1"/>
      <c r="O158" s="1"/>
      <c r="P158" s="1"/>
      <c r="Q158" s="1"/>
      <c r="R158" s="1"/>
      <c r="S158" s="1"/>
      <c r="T158" s="1"/>
      <c r="U158" s="1"/>
      <c r="V158" s="1"/>
      <c r="W158" s="1"/>
      <c r="X158" s="1"/>
      <c r="Y158" s="1"/>
      <c r="Z158" s="1"/>
      <c r="AA158" s="1"/>
      <c r="AB158" s="1"/>
      <c r="AC158" s="1"/>
      <c r="AD158" s="1"/>
      <c r="AE158" s="1"/>
      <c r="AF158" s="1"/>
    </row>
    <row r="159" ht="15.75" customHeight="1">
      <c r="A159" s="1"/>
      <c r="B159" s="1"/>
      <c r="C159" s="4"/>
      <c r="D159" s="4"/>
      <c r="E159" s="1"/>
      <c r="F159" s="1"/>
      <c r="G159" s="1"/>
      <c r="H159" s="8"/>
      <c r="I159" s="8"/>
      <c r="J159" s="8"/>
      <c r="K159" s="1"/>
      <c r="L159" s="1"/>
      <c r="M159" s="1"/>
      <c r="N159" s="1"/>
      <c r="O159" s="1"/>
      <c r="P159" s="1"/>
      <c r="Q159" s="1"/>
      <c r="R159" s="1"/>
      <c r="S159" s="1"/>
      <c r="T159" s="1"/>
      <c r="U159" s="1"/>
      <c r="V159" s="1"/>
      <c r="W159" s="1"/>
      <c r="X159" s="1"/>
      <c r="Y159" s="1"/>
      <c r="Z159" s="1"/>
      <c r="AA159" s="1"/>
      <c r="AB159" s="1"/>
      <c r="AC159" s="1"/>
      <c r="AD159" s="1"/>
      <c r="AE159" s="1"/>
      <c r="AF159" s="1"/>
    </row>
    <row r="160" ht="15.75" customHeight="1">
      <c r="A160" s="1"/>
      <c r="B160" s="1"/>
      <c r="C160" s="4"/>
      <c r="D160" s="4"/>
      <c r="E160" s="1"/>
      <c r="F160" s="1"/>
      <c r="G160" s="1"/>
      <c r="H160" s="8"/>
      <c r="I160" s="8"/>
      <c r="J160" s="8"/>
      <c r="K160" s="1"/>
      <c r="L160" s="1"/>
      <c r="M160" s="1"/>
      <c r="N160" s="1"/>
      <c r="O160" s="1"/>
      <c r="P160" s="1"/>
      <c r="Q160" s="1"/>
      <c r="R160" s="1"/>
      <c r="S160" s="1"/>
      <c r="T160" s="1"/>
      <c r="U160" s="1"/>
      <c r="V160" s="1"/>
      <c r="W160" s="1"/>
      <c r="X160" s="1"/>
      <c r="Y160" s="1"/>
      <c r="Z160" s="1"/>
      <c r="AA160" s="1"/>
      <c r="AB160" s="1"/>
      <c r="AC160" s="1"/>
      <c r="AD160" s="1"/>
      <c r="AE160" s="1"/>
      <c r="AF160" s="1"/>
    </row>
    <row r="161" ht="15.75" customHeight="1">
      <c r="A161" s="1"/>
      <c r="B161" s="1"/>
      <c r="C161" s="4"/>
      <c r="D161" s="4"/>
      <c r="E161" s="1"/>
      <c r="F161" s="1"/>
      <c r="G161" s="1"/>
      <c r="H161" s="8"/>
      <c r="I161" s="8"/>
      <c r="J161" s="8"/>
      <c r="K161" s="1"/>
      <c r="L161" s="1"/>
      <c r="M161" s="1"/>
      <c r="N161" s="1"/>
      <c r="O161" s="1"/>
      <c r="P161" s="1"/>
      <c r="Q161" s="1"/>
      <c r="R161" s="1"/>
      <c r="S161" s="1"/>
      <c r="T161" s="1"/>
      <c r="U161" s="1"/>
      <c r="V161" s="1"/>
      <c r="W161" s="1"/>
      <c r="X161" s="1"/>
      <c r="Y161" s="1"/>
      <c r="Z161" s="1"/>
      <c r="AA161" s="1"/>
      <c r="AB161" s="1"/>
      <c r="AC161" s="1"/>
      <c r="AD161" s="1"/>
      <c r="AE161" s="1"/>
      <c r="AF161" s="1"/>
    </row>
    <row r="162" ht="15.75" customHeight="1">
      <c r="A162" s="1"/>
      <c r="B162" s="1"/>
      <c r="C162" s="4"/>
      <c r="D162" s="4"/>
      <c r="E162" s="1"/>
      <c r="F162" s="1"/>
      <c r="G162" s="1"/>
      <c r="H162" s="8"/>
      <c r="I162" s="8"/>
      <c r="J162" s="8"/>
      <c r="K162" s="1"/>
      <c r="L162" s="1"/>
      <c r="M162" s="1"/>
      <c r="N162" s="1"/>
      <c r="O162" s="1"/>
      <c r="P162" s="1"/>
      <c r="Q162" s="1"/>
      <c r="R162" s="1"/>
      <c r="S162" s="1"/>
      <c r="T162" s="1"/>
      <c r="U162" s="1"/>
      <c r="V162" s="1"/>
      <c r="W162" s="1"/>
      <c r="X162" s="1"/>
      <c r="Y162" s="1"/>
      <c r="Z162" s="1"/>
      <c r="AA162" s="1"/>
      <c r="AB162" s="1"/>
      <c r="AC162" s="1"/>
      <c r="AD162" s="1"/>
      <c r="AE162" s="1"/>
      <c r="AF162" s="1"/>
    </row>
    <row r="163" ht="15.75" customHeight="1">
      <c r="A163" s="1"/>
      <c r="B163" s="1"/>
      <c r="C163" s="4"/>
      <c r="D163" s="4"/>
      <c r="E163" s="1"/>
      <c r="F163" s="1"/>
      <c r="G163" s="1"/>
      <c r="H163" s="8"/>
      <c r="I163" s="8"/>
      <c r="J163" s="8"/>
      <c r="K163" s="1"/>
      <c r="L163" s="1"/>
      <c r="M163" s="1"/>
      <c r="N163" s="1"/>
      <c r="O163" s="1"/>
      <c r="P163" s="1"/>
      <c r="Q163" s="1"/>
      <c r="R163" s="1"/>
      <c r="S163" s="1"/>
      <c r="T163" s="1"/>
      <c r="U163" s="1"/>
      <c r="V163" s="1"/>
      <c r="W163" s="1"/>
      <c r="X163" s="1"/>
      <c r="Y163" s="1"/>
      <c r="Z163" s="1"/>
      <c r="AA163" s="1"/>
      <c r="AB163" s="1"/>
      <c r="AC163" s="1"/>
      <c r="AD163" s="1"/>
      <c r="AE163" s="1"/>
      <c r="AF163" s="1"/>
    </row>
    <row r="164" ht="15.75" customHeight="1">
      <c r="A164" s="1"/>
      <c r="B164" s="1"/>
      <c r="C164" s="4"/>
      <c r="D164" s="4"/>
      <c r="E164" s="1"/>
      <c r="F164" s="1"/>
      <c r="G164" s="1"/>
      <c r="H164" s="8"/>
      <c r="I164" s="8"/>
      <c r="J164" s="8"/>
      <c r="K164" s="1"/>
      <c r="L164" s="1"/>
      <c r="M164" s="1"/>
      <c r="N164" s="1"/>
      <c r="O164" s="1"/>
      <c r="P164" s="1"/>
      <c r="Q164" s="1"/>
      <c r="R164" s="1"/>
      <c r="S164" s="1"/>
      <c r="T164" s="1"/>
      <c r="U164" s="1"/>
      <c r="V164" s="1"/>
      <c r="W164" s="1"/>
      <c r="X164" s="1"/>
      <c r="Y164" s="1"/>
      <c r="Z164" s="1"/>
      <c r="AA164" s="1"/>
      <c r="AB164" s="1"/>
      <c r="AC164" s="1"/>
      <c r="AD164" s="1"/>
      <c r="AE164" s="1"/>
      <c r="AF164" s="1"/>
    </row>
    <row r="165" ht="15.75" customHeight="1">
      <c r="A165" s="1"/>
      <c r="B165" s="1"/>
      <c r="C165" s="4"/>
      <c r="D165" s="4"/>
      <c r="E165" s="1"/>
      <c r="F165" s="1"/>
      <c r="G165" s="1"/>
      <c r="H165" s="8"/>
      <c r="I165" s="8"/>
      <c r="J165" s="8"/>
      <c r="K165" s="1"/>
      <c r="L165" s="1"/>
      <c r="M165" s="1"/>
      <c r="N165" s="1"/>
      <c r="O165" s="1"/>
      <c r="P165" s="1"/>
      <c r="Q165" s="1"/>
      <c r="R165" s="1"/>
      <c r="S165" s="1"/>
      <c r="T165" s="1"/>
      <c r="U165" s="1"/>
      <c r="V165" s="1"/>
      <c r="W165" s="1"/>
      <c r="X165" s="1"/>
      <c r="Y165" s="1"/>
      <c r="Z165" s="1"/>
      <c r="AA165" s="1"/>
      <c r="AB165" s="1"/>
      <c r="AC165" s="1"/>
      <c r="AD165" s="1"/>
      <c r="AE165" s="1"/>
      <c r="AF165" s="1"/>
    </row>
    <row r="166" ht="15.75" customHeight="1">
      <c r="A166" s="1"/>
      <c r="B166" s="1"/>
      <c r="C166" s="4"/>
      <c r="D166" s="4"/>
      <c r="E166" s="1"/>
      <c r="F166" s="1"/>
      <c r="G166" s="1"/>
      <c r="H166" s="8"/>
      <c r="I166" s="8"/>
      <c r="J166" s="8"/>
      <c r="K166" s="1"/>
      <c r="L166" s="1"/>
      <c r="M166" s="1"/>
      <c r="N166" s="1"/>
      <c r="O166" s="1"/>
      <c r="P166" s="1"/>
      <c r="Q166" s="1"/>
      <c r="R166" s="1"/>
      <c r="S166" s="1"/>
      <c r="T166" s="1"/>
      <c r="U166" s="1"/>
      <c r="V166" s="1"/>
      <c r="W166" s="1"/>
      <c r="X166" s="1"/>
      <c r="Y166" s="1"/>
      <c r="Z166" s="1"/>
      <c r="AA166" s="1"/>
      <c r="AB166" s="1"/>
      <c r="AC166" s="1"/>
      <c r="AD166" s="1"/>
      <c r="AE166" s="1"/>
      <c r="AF166" s="1"/>
    </row>
    <row r="167" ht="15.75" customHeight="1">
      <c r="A167" s="1"/>
      <c r="B167" s="1"/>
      <c r="C167" s="4"/>
      <c r="D167" s="4"/>
      <c r="E167" s="1"/>
      <c r="F167" s="1"/>
      <c r="G167" s="1"/>
      <c r="H167" s="8"/>
      <c r="I167" s="8"/>
      <c r="J167" s="8"/>
      <c r="K167" s="1"/>
      <c r="L167" s="1"/>
      <c r="M167" s="1"/>
      <c r="N167" s="1"/>
      <c r="O167" s="1"/>
      <c r="P167" s="1"/>
      <c r="Q167" s="1"/>
      <c r="R167" s="1"/>
      <c r="S167" s="1"/>
      <c r="T167" s="1"/>
      <c r="U167" s="1"/>
      <c r="V167" s="1"/>
      <c r="W167" s="1"/>
      <c r="X167" s="1"/>
      <c r="Y167" s="1"/>
      <c r="Z167" s="1"/>
      <c r="AA167" s="1"/>
      <c r="AB167" s="1"/>
      <c r="AC167" s="1"/>
      <c r="AD167" s="1"/>
      <c r="AE167" s="1"/>
      <c r="AF167" s="1"/>
    </row>
    <row r="168" ht="15.75" customHeight="1">
      <c r="A168" s="1"/>
      <c r="B168" s="1"/>
      <c r="C168" s="4"/>
      <c r="D168" s="4"/>
      <c r="E168" s="1"/>
      <c r="F168" s="1"/>
      <c r="G168" s="1"/>
      <c r="H168" s="8"/>
      <c r="I168" s="8"/>
      <c r="J168" s="8"/>
      <c r="K168" s="1"/>
      <c r="L168" s="1"/>
      <c r="M168" s="1"/>
      <c r="N168" s="1"/>
      <c r="O168" s="1"/>
      <c r="P168" s="1"/>
      <c r="Q168" s="1"/>
      <c r="R168" s="1"/>
      <c r="S168" s="1"/>
      <c r="T168" s="1"/>
      <c r="U168" s="1"/>
      <c r="V168" s="1"/>
      <c r="W168" s="1"/>
      <c r="X168" s="1"/>
      <c r="Y168" s="1"/>
      <c r="Z168" s="1"/>
      <c r="AA168" s="1"/>
      <c r="AB168" s="1"/>
      <c r="AC168" s="1"/>
      <c r="AD168" s="1"/>
      <c r="AE168" s="1"/>
      <c r="AF168" s="1"/>
    </row>
    <row r="169" ht="15.75" customHeight="1">
      <c r="A169" s="1"/>
      <c r="B169" s="1"/>
      <c r="C169" s="4"/>
      <c r="D169" s="4"/>
      <c r="E169" s="1"/>
      <c r="F169" s="1"/>
      <c r="G169" s="1"/>
      <c r="H169" s="8"/>
      <c r="I169" s="8"/>
      <c r="J169" s="8"/>
      <c r="K169" s="1"/>
      <c r="L169" s="1"/>
      <c r="M169" s="1"/>
      <c r="N169" s="1"/>
      <c r="O169" s="1"/>
      <c r="P169" s="1"/>
      <c r="Q169" s="1"/>
      <c r="R169" s="1"/>
      <c r="S169" s="1"/>
      <c r="T169" s="1"/>
      <c r="U169" s="1"/>
      <c r="V169" s="1"/>
      <c r="W169" s="1"/>
      <c r="X169" s="1"/>
      <c r="Y169" s="1"/>
      <c r="Z169" s="1"/>
      <c r="AA169" s="1"/>
      <c r="AB169" s="1"/>
      <c r="AC169" s="1"/>
      <c r="AD169" s="1"/>
      <c r="AE169" s="1"/>
      <c r="AF169" s="1"/>
    </row>
    <row r="170" ht="15.75" customHeight="1">
      <c r="A170" s="1"/>
      <c r="B170" s="1"/>
      <c r="C170" s="4"/>
      <c r="D170" s="4"/>
      <c r="E170" s="1"/>
      <c r="F170" s="1"/>
      <c r="G170" s="1"/>
      <c r="H170" s="8"/>
      <c r="I170" s="8"/>
      <c r="J170" s="8"/>
      <c r="K170" s="1"/>
      <c r="L170" s="1"/>
      <c r="M170" s="1"/>
      <c r="N170" s="1"/>
      <c r="O170" s="1"/>
      <c r="P170" s="1"/>
      <c r="Q170" s="1"/>
      <c r="R170" s="1"/>
      <c r="S170" s="1"/>
      <c r="T170" s="1"/>
      <c r="U170" s="1"/>
      <c r="V170" s="1"/>
      <c r="W170" s="1"/>
      <c r="X170" s="1"/>
      <c r="Y170" s="1"/>
      <c r="Z170" s="1"/>
      <c r="AA170" s="1"/>
      <c r="AB170" s="1"/>
      <c r="AC170" s="1"/>
      <c r="AD170" s="1"/>
      <c r="AE170" s="1"/>
      <c r="AF170" s="1"/>
    </row>
    <row r="171" ht="15.75" customHeight="1">
      <c r="A171" s="1"/>
      <c r="B171" s="1"/>
      <c r="C171" s="4"/>
      <c r="D171" s="4"/>
      <c r="E171" s="1"/>
      <c r="F171" s="1"/>
      <c r="G171" s="1"/>
      <c r="H171" s="8"/>
      <c r="I171" s="8"/>
      <c r="J171" s="8"/>
      <c r="K171" s="1"/>
      <c r="L171" s="1"/>
      <c r="M171" s="1"/>
      <c r="N171" s="1"/>
      <c r="O171" s="1"/>
      <c r="P171" s="1"/>
      <c r="Q171" s="1"/>
      <c r="R171" s="1"/>
      <c r="S171" s="1"/>
      <c r="T171" s="1"/>
      <c r="U171" s="1"/>
      <c r="V171" s="1"/>
      <c r="W171" s="1"/>
      <c r="X171" s="1"/>
      <c r="Y171" s="1"/>
      <c r="Z171" s="1"/>
      <c r="AA171" s="1"/>
      <c r="AB171" s="1"/>
      <c r="AC171" s="1"/>
      <c r="AD171" s="1"/>
      <c r="AE171" s="1"/>
      <c r="AF171" s="1"/>
    </row>
    <row r="172" ht="15.75" customHeight="1">
      <c r="A172" s="1"/>
      <c r="B172" s="1"/>
      <c r="C172" s="4"/>
      <c r="D172" s="4"/>
      <c r="E172" s="1"/>
      <c r="F172" s="1"/>
      <c r="G172" s="1"/>
      <c r="H172" s="8"/>
      <c r="I172" s="8"/>
      <c r="J172" s="8"/>
      <c r="K172" s="1"/>
      <c r="L172" s="1"/>
      <c r="M172" s="1"/>
      <c r="N172" s="1"/>
      <c r="O172" s="1"/>
      <c r="P172" s="1"/>
      <c r="Q172" s="1"/>
      <c r="R172" s="1"/>
      <c r="S172" s="1"/>
      <c r="T172" s="1"/>
      <c r="U172" s="1"/>
      <c r="V172" s="1"/>
      <c r="W172" s="1"/>
      <c r="X172" s="1"/>
      <c r="Y172" s="1"/>
      <c r="Z172" s="1"/>
      <c r="AA172" s="1"/>
      <c r="AB172" s="1"/>
      <c r="AC172" s="1"/>
      <c r="AD172" s="1"/>
      <c r="AE172" s="1"/>
      <c r="AF172" s="1"/>
    </row>
    <row r="173" ht="15.75" customHeight="1">
      <c r="A173" s="1"/>
      <c r="B173" s="1"/>
      <c r="C173" s="4"/>
      <c r="D173" s="4"/>
      <c r="E173" s="1"/>
      <c r="F173" s="1"/>
      <c r="G173" s="1"/>
      <c r="H173" s="8"/>
      <c r="I173" s="8"/>
      <c r="J173" s="8"/>
      <c r="K173" s="1"/>
      <c r="L173" s="1"/>
      <c r="M173" s="1"/>
      <c r="N173" s="1"/>
      <c r="O173" s="1"/>
      <c r="P173" s="1"/>
      <c r="Q173" s="1"/>
      <c r="R173" s="1"/>
      <c r="S173" s="1"/>
      <c r="T173" s="1"/>
      <c r="U173" s="1"/>
      <c r="V173" s="1"/>
      <c r="W173" s="1"/>
      <c r="X173" s="1"/>
      <c r="Y173" s="1"/>
      <c r="Z173" s="1"/>
      <c r="AA173" s="1"/>
      <c r="AB173" s="1"/>
      <c r="AC173" s="1"/>
      <c r="AD173" s="1"/>
      <c r="AE173" s="1"/>
      <c r="AF173" s="1"/>
    </row>
    <row r="174" ht="15.75" customHeight="1">
      <c r="A174" s="1"/>
      <c r="B174" s="1"/>
      <c r="C174" s="4"/>
      <c r="D174" s="4"/>
      <c r="E174" s="1"/>
      <c r="F174" s="1"/>
      <c r="G174" s="1"/>
      <c r="H174" s="8"/>
      <c r="I174" s="8"/>
      <c r="J174" s="8"/>
      <c r="K174" s="1"/>
      <c r="L174" s="1"/>
      <c r="M174" s="1"/>
      <c r="N174" s="1"/>
      <c r="O174" s="1"/>
      <c r="P174" s="1"/>
      <c r="Q174" s="1"/>
      <c r="R174" s="1"/>
      <c r="S174" s="1"/>
      <c r="T174" s="1"/>
      <c r="U174" s="1"/>
      <c r="V174" s="1"/>
      <c r="W174" s="1"/>
      <c r="X174" s="1"/>
      <c r="Y174" s="1"/>
      <c r="Z174" s="1"/>
      <c r="AA174" s="1"/>
      <c r="AB174" s="1"/>
      <c r="AC174" s="1"/>
      <c r="AD174" s="1"/>
      <c r="AE174" s="1"/>
      <c r="AF174" s="1"/>
    </row>
    <row r="175" ht="15.75" customHeight="1">
      <c r="A175" s="1"/>
      <c r="B175" s="1"/>
      <c r="C175" s="4"/>
      <c r="D175" s="4"/>
      <c r="E175" s="1"/>
      <c r="F175" s="1"/>
      <c r="G175" s="1"/>
      <c r="H175" s="8"/>
      <c r="I175" s="8"/>
      <c r="J175" s="8"/>
      <c r="K175" s="1"/>
      <c r="L175" s="1"/>
      <c r="M175" s="1"/>
      <c r="N175" s="1"/>
      <c r="O175" s="1"/>
      <c r="P175" s="1"/>
      <c r="Q175" s="1"/>
      <c r="R175" s="1"/>
      <c r="S175" s="1"/>
      <c r="T175" s="1"/>
      <c r="U175" s="1"/>
      <c r="V175" s="1"/>
      <c r="W175" s="1"/>
      <c r="X175" s="1"/>
      <c r="Y175" s="1"/>
      <c r="Z175" s="1"/>
      <c r="AA175" s="1"/>
      <c r="AB175" s="1"/>
      <c r="AC175" s="1"/>
      <c r="AD175" s="1"/>
      <c r="AE175" s="1"/>
      <c r="AF175" s="1"/>
    </row>
    <row r="176" ht="15.75" customHeight="1">
      <c r="A176" s="1"/>
      <c r="B176" s="1"/>
      <c r="C176" s="4"/>
      <c r="D176" s="4"/>
      <c r="E176" s="1"/>
      <c r="F176" s="1"/>
      <c r="G176" s="1"/>
      <c r="H176" s="8"/>
      <c r="I176" s="8"/>
      <c r="J176" s="8"/>
      <c r="K176" s="1"/>
      <c r="L176" s="1"/>
      <c r="M176" s="1"/>
      <c r="N176" s="1"/>
      <c r="O176" s="1"/>
      <c r="P176" s="1"/>
      <c r="Q176" s="1"/>
      <c r="R176" s="1"/>
      <c r="S176" s="1"/>
      <c r="T176" s="1"/>
      <c r="U176" s="1"/>
      <c r="V176" s="1"/>
      <c r="W176" s="1"/>
      <c r="X176" s="1"/>
      <c r="Y176" s="1"/>
      <c r="Z176" s="1"/>
      <c r="AA176" s="1"/>
      <c r="AB176" s="1"/>
      <c r="AC176" s="1"/>
      <c r="AD176" s="1"/>
      <c r="AE176" s="1"/>
      <c r="AF176" s="1"/>
    </row>
    <row r="177" ht="15.75" customHeight="1">
      <c r="A177" s="1"/>
      <c r="B177" s="1"/>
      <c r="C177" s="4"/>
      <c r="D177" s="4"/>
      <c r="E177" s="1"/>
      <c r="F177" s="1"/>
      <c r="G177" s="1"/>
      <c r="H177" s="8"/>
      <c r="I177" s="8"/>
      <c r="J177" s="8"/>
      <c r="K177" s="1"/>
      <c r="L177" s="1"/>
      <c r="M177" s="1"/>
      <c r="N177" s="1"/>
      <c r="O177" s="1"/>
      <c r="P177" s="1"/>
      <c r="Q177" s="1"/>
      <c r="R177" s="1"/>
      <c r="S177" s="1"/>
      <c r="T177" s="1"/>
      <c r="U177" s="1"/>
      <c r="V177" s="1"/>
      <c r="W177" s="1"/>
      <c r="X177" s="1"/>
      <c r="Y177" s="1"/>
      <c r="Z177" s="1"/>
      <c r="AA177" s="1"/>
      <c r="AB177" s="1"/>
      <c r="AC177" s="1"/>
      <c r="AD177" s="1"/>
      <c r="AE177" s="1"/>
      <c r="AF177" s="1"/>
    </row>
    <row r="178" ht="15.75" customHeight="1">
      <c r="A178" s="1"/>
      <c r="B178" s="1"/>
      <c r="C178" s="4"/>
      <c r="D178" s="4"/>
      <c r="E178" s="1"/>
      <c r="F178" s="1"/>
      <c r="G178" s="1"/>
      <c r="H178" s="8"/>
      <c r="I178" s="8"/>
      <c r="J178" s="8"/>
      <c r="K178" s="1"/>
      <c r="L178" s="1"/>
      <c r="M178" s="1"/>
      <c r="N178" s="1"/>
      <c r="O178" s="1"/>
      <c r="P178" s="1"/>
      <c r="Q178" s="1"/>
      <c r="R178" s="1"/>
      <c r="S178" s="1"/>
      <c r="T178" s="1"/>
      <c r="U178" s="1"/>
      <c r="V178" s="1"/>
      <c r="W178" s="1"/>
      <c r="X178" s="1"/>
      <c r="Y178" s="1"/>
      <c r="Z178" s="1"/>
      <c r="AA178" s="1"/>
      <c r="AB178" s="1"/>
      <c r="AC178" s="1"/>
      <c r="AD178" s="1"/>
      <c r="AE178" s="1"/>
      <c r="AF178" s="1"/>
    </row>
    <row r="179" ht="15.75" customHeight="1">
      <c r="A179" s="1"/>
      <c r="B179" s="1"/>
      <c r="C179" s="4"/>
      <c r="D179" s="4"/>
      <c r="E179" s="1"/>
      <c r="F179" s="1"/>
      <c r="G179" s="1"/>
      <c r="H179" s="8"/>
      <c r="I179" s="8"/>
      <c r="J179" s="8"/>
      <c r="K179" s="1"/>
      <c r="L179" s="1"/>
      <c r="M179" s="1"/>
      <c r="N179" s="1"/>
      <c r="O179" s="1"/>
      <c r="P179" s="1"/>
      <c r="Q179" s="1"/>
      <c r="R179" s="1"/>
      <c r="S179" s="1"/>
      <c r="T179" s="1"/>
      <c r="U179" s="1"/>
      <c r="V179" s="1"/>
      <c r="W179" s="1"/>
      <c r="X179" s="1"/>
      <c r="Y179" s="1"/>
      <c r="Z179" s="1"/>
      <c r="AA179" s="1"/>
      <c r="AB179" s="1"/>
      <c r="AC179" s="1"/>
      <c r="AD179" s="1"/>
      <c r="AE179" s="1"/>
      <c r="AF179" s="1"/>
    </row>
    <row r="180" ht="15.75" customHeight="1">
      <c r="A180" s="1"/>
      <c r="B180" s="1"/>
      <c r="C180" s="4"/>
      <c r="D180" s="4"/>
      <c r="E180" s="1"/>
      <c r="F180" s="1"/>
      <c r="G180" s="1"/>
      <c r="H180" s="8"/>
      <c r="I180" s="8"/>
      <c r="J180" s="8"/>
      <c r="K180" s="1"/>
      <c r="L180" s="1"/>
      <c r="M180" s="1"/>
      <c r="N180" s="1"/>
      <c r="O180" s="1"/>
      <c r="P180" s="1"/>
      <c r="Q180" s="1"/>
      <c r="R180" s="1"/>
      <c r="S180" s="1"/>
      <c r="T180" s="1"/>
      <c r="U180" s="1"/>
      <c r="V180" s="1"/>
      <c r="W180" s="1"/>
      <c r="X180" s="1"/>
      <c r="Y180" s="1"/>
      <c r="Z180" s="1"/>
      <c r="AA180" s="1"/>
      <c r="AB180" s="1"/>
      <c r="AC180" s="1"/>
      <c r="AD180" s="1"/>
      <c r="AE180" s="1"/>
      <c r="AF180" s="1"/>
    </row>
    <row r="181" ht="15.75" customHeight="1">
      <c r="A181" s="1"/>
      <c r="B181" s="1"/>
      <c r="C181" s="4"/>
      <c r="D181" s="4"/>
      <c r="E181" s="1"/>
      <c r="F181" s="1"/>
      <c r="G181" s="1"/>
      <c r="H181" s="8"/>
      <c r="I181" s="8"/>
      <c r="J181" s="8"/>
      <c r="K181" s="1"/>
      <c r="L181" s="1"/>
      <c r="M181" s="1"/>
      <c r="N181" s="1"/>
      <c r="O181" s="1"/>
      <c r="P181" s="1"/>
      <c r="Q181" s="1"/>
      <c r="R181" s="1"/>
      <c r="S181" s="1"/>
      <c r="T181" s="1"/>
      <c r="U181" s="1"/>
      <c r="V181" s="1"/>
      <c r="W181" s="1"/>
      <c r="X181" s="1"/>
      <c r="Y181" s="1"/>
      <c r="Z181" s="1"/>
      <c r="AA181" s="1"/>
      <c r="AB181" s="1"/>
      <c r="AC181" s="1"/>
      <c r="AD181" s="1"/>
      <c r="AE181" s="1"/>
      <c r="AF181" s="1"/>
    </row>
    <row r="182" ht="15.75" customHeight="1">
      <c r="A182" s="1"/>
      <c r="B182" s="1"/>
      <c r="C182" s="4"/>
      <c r="D182" s="4"/>
      <c r="E182" s="1"/>
      <c r="F182" s="1"/>
      <c r="G182" s="1"/>
      <c r="H182" s="8"/>
      <c r="I182" s="8"/>
      <c r="J182" s="8"/>
      <c r="K182" s="1"/>
      <c r="L182" s="1"/>
      <c r="M182" s="1"/>
      <c r="N182" s="1"/>
      <c r="O182" s="1"/>
      <c r="P182" s="1"/>
      <c r="Q182" s="1"/>
      <c r="R182" s="1"/>
      <c r="S182" s="1"/>
      <c r="T182" s="1"/>
      <c r="U182" s="1"/>
      <c r="V182" s="1"/>
      <c r="W182" s="1"/>
      <c r="X182" s="1"/>
      <c r="Y182" s="1"/>
      <c r="Z182" s="1"/>
      <c r="AA182" s="1"/>
      <c r="AB182" s="1"/>
      <c r="AC182" s="1"/>
      <c r="AD182" s="1"/>
      <c r="AE182" s="1"/>
      <c r="AF182" s="1"/>
    </row>
    <row r="183" ht="15.75" customHeight="1">
      <c r="A183" s="1"/>
      <c r="B183" s="1"/>
      <c r="C183" s="4"/>
      <c r="D183" s="4"/>
      <c r="E183" s="1"/>
      <c r="F183" s="1"/>
      <c r="G183" s="1"/>
      <c r="H183" s="8"/>
      <c r="I183" s="8"/>
      <c r="J183" s="8"/>
      <c r="K183" s="1"/>
      <c r="L183" s="1"/>
      <c r="M183" s="1"/>
      <c r="N183" s="1"/>
      <c r="O183" s="1"/>
      <c r="P183" s="1"/>
      <c r="Q183" s="1"/>
      <c r="R183" s="1"/>
      <c r="S183" s="1"/>
      <c r="T183" s="1"/>
      <c r="U183" s="1"/>
      <c r="V183" s="1"/>
      <c r="W183" s="1"/>
      <c r="X183" s="1"/>
      <c r="Y183" s="1"/>
      <c r="Z183" s="1"/>
      <c r="AA183" s="1"/>
      <c r="AB183" s="1"/>
      <c r="AC183" s="1"/>
      <c r="AD183" s="1"/>
      <c r="AE183" s="1"/>
      <c r="AF183" s="1"/>
    </row>
    <row r="184" ht="15.75" customHeight="1">
      <c r="A184" s="1"/>
      <c r="B184" s="1"/>
      <c r="C184" s="4"/>
      <c r="D184" s="4"/>
      <c r="E184" s="1"/>
      <c r="F184" s="1"/>
      <c r="G184" s="1"/>
      <c r="H184" s="8"/>
      <c r="I184" s="8"/>
      <c r="J184" s="8"/>
      <c r="K184" s="1"/>
      <c r="L184" s="1"/>
      <c r="M184" s="1"/>
      <c r="N184" s="1"/>
      <c r="O184" s="1"/>
      <c r="P184" s="1"/>
      <c r="Q184" s="1"/>
      <c r="R184" s="1"/>
      <c r="S184" s="1"/>
      <c r="T184" s="1"/>
      <c r="U184" s="1"/>
      <c r="V184" s="1"/>
      <c r="W184" s="1"/>
      <c r="X184" s="1"/>
      <c r="Y184" s="1"/>
      <c r="Z184" s="1"/>
      <c r="AA184" s="1"/>
      <c r="AB184" s="1"/>
      <c r="AC184" s="1"/>
      <c r="AD184" s="1"/>
      <c r="AE184" s="1"/>
      <c r="AF184" s="1"/>
    </row>
    <row r="185" ht="15.75" customHeight="1">
      <c r="A185" s="1"/>
      <c r="B185" s="1"/>
      <c r="C185" s="4"/>
      <c r="D185" s="4"/>
      <c r="E185" s="1"/>
      <c r="F185" s="1"/>
      <c r="G185" s="1"/>
      <c r="H185" s="8"/>
      <c r="I185" s="8"/>
      <c r="J185" s="8"/>
      <c r="K185" s="1"/>
      <c r="L185" s="1"/>
      <c r="M185" s="1"/>
      <c r="N185" s="1"/>
      <c r="O185" s="1"/>
      <c r="P185" s="1"/>
      <c r="Q185" s="1"/>
      <c r="R185" s="1"/>
      <c r="S185" s="1"/>
      <c r="T185" s="1"/>
      <c r="U185" s="1"/>
      <c r="V185" s="1"/>
      <c r="W185" s="1"/>
      <c r="X185" s="1"/>
      <c r="Y185" s="1"/>
      <c r="Z185" s="1"/>
      <c r="AA185" s="1"/>
      <c r="AB185" s="1"/>
      <c r="AC185" s="1"/>
      <c r="AD185" s="1"/>
      <c r="AE185" s="1"/>
      <c r="AF185" s="1"/>
    </row>
    <row r="186" ht="15.75" customHeight="1">
      <c r="A186" s="1"/>
      <c r="B186" s="1"/>
      <c r="C186" s="4"/>
      <c r="D186" s="4"/>
      <c r="E186" s="1"/>
      <c r="F186" s="1"/>
      <c r="G186" s="1"/>
      <c r="H186" s="8"/>
      <c r="I186" s="8"/>
      <c r="J186" s="8"/>
      <c r="K186" s="1"/>
      <c r="L186" s="1"/>
      <c r="M186" s="1"/>
      <c r="N186" s="1"/>
      <c r="O186" s="1"/>
      <c r="P186" s="1"/>
      <c r="Q186" s="1"/>
      <c r="R186" s="1"/>
      <c r="S186" s="1"/>
      <c r="T186" s="1"/>
      <c r="U186" s="1"/>
      <c r="V186" s="1"/>
      <c r="W186" s="1"/>
      <c r="X186" s="1"/>
      <c r="Y186" s="1"/>
      <c r="Z186" s="1"/>
      <c r="AA186" s="1"/>
      <c r="AB186" s="1"/>
      <c r="AC186" s="1"/>
      <c r="AD186" s="1"/>
      <c r="AE186" s="1"/>
      <c r="AF186" s="1"/>
    </row>
    <row r="187" ht="15.75" customHeight="1">
      <c r="A187" s="1"/>
      <c r="B187" s="1"/>
      <c r="C187" s="4"/>
      <c r="D187" s="4"/>
      <c r="E187" s="1"/>
      <c r="F187" s="1"/>
      <c r="G187" s="1"/>
      <c r="H187" s="8"/>
      <c r="I187" s="8"/>
      <c r="J187" s="8"/>
      <c r="K187" s="1"/>
      <c r="L187" s="1"/>
      <c r="M187" s="1"/>
      <c r="N187" s="1"/>
      <c r="O187" s="1"/>
      <c r="P187" s="1"/>
      <c r="Q187" s="1"/>
      <c r="R187" s="1"/>
      <c r="S187" s="1"/>
      <c r="T187" s="1"/>
      <c r="U187" s="1"/>
      <c r="V187" s="1"/>
      <c r="W187" s="1"/>
      <c r="X187" s="1"/>
      <c r="Y187" s="1"/>
      <c r="Z187" s="1"/>
      <c r="AA187" s="1"/>
      <c r="AB187" s="1"/>
      <c r="AC187" s="1"/>
      <c r="AD187" s="1"/>
      <c r="AE187" s="1"/>
      <c r="AF187" s="1"/>
    </row>
    <row r="188" ht="15.75" customHeight="1">
      <c r="A188" s="1"/>
      <c r="B188" s="1"/>
      <c r="C188" s="4"/>
      <c r="D188" s="4"/>
      <c r="E188" s="1"/>
      <c r="F188" s="1"/>
      <c r="G188" s="1"/>
      <c r="H188" s="8"/>
      <c r="I188" s="8"/>
      <c r="J188" s="8"/>
      <c r="K188" s="1"/>
      <c r="L188" s="1"/>
      <c r="M188" s="1"/>
      <c r="N188" s="1"/>
      <c r="O188" s="1"/>
      <c r="P188" s="1"/>
      <c r="Q188" s="1"/>
      <c r="R188" s="1"/>
      <c r="S188" s="1"/>
      <c r="T188" s="1"/>
      <c r="U188" s="1"/>
      <c r="V188" s="1"/>
      <c r="W188" s="1"/>
      <c r="X188" s="1"/>
      <c r="Y188" s="1"/>
      <c r="Z188" s="1"/>
      <c r="AA188" s="1"/>
      <c r="AB188" s="1"/>
      <c r="AC188" s="1"/>
      <c r="AD188" s="1"/>
      <c r="AE188" s="1"/>
      <c r="AF188" s="1"/>
    </row>
    <row r="189" ht="15.75" customHeight="1">
      <c r="A189" s="1"/>
      <c r="B189" s="1"/>
      <c r="C189" s="4"/>
      <c r="D189" s="4"/>
      <c r="E189" s="1"/>
      <c r="F189" s="1"/>
      <c r="G189" s="1"/>
      <c r="H189" s="8"/>
      <c r="I189" s="8"/>
      <c r="J189" s="8"/>
      <c r="K189" s="1"/>
      <c r="L189" s="1"/>
      <c r="M189" s="1"/>
      <c r="N189" s="1"/>
      <c r="O189" s="1"/>
      <c r="P189" s="1"/>
      <c r="Q189" s="1"/>
      <c r="R189" s="1"/>
      <c r="S189" s="1"/>
      <c r="T189" s="1"/>
      <c r="U189" s="1"/>
      <c r="V189" s="1"/>
      <c r="W189" s="1"/>
      <c r="X189" s="1"/>
      <c r="Y189" s="1"/>
      <c r="Z189" s="1"/>
      <c r="AA189" s="1"/>
      <c r="AB189" s="1"/>
      <c r="AC189" s="1"/>
      <c r="AD189" s="1"/>
      <c r="AE189" s="1"/>
      <c r="AF189" s="1"/>
    </row>
    <row r="190" ht="15.75" customHeight="1">
      <c r="A190" s="1"/>
      <c r="B190" s="1"/>
      <c r="C190" s="4"/>
      <c r="D190" s="4"/>
      <c r="E190" s="1"/>
      <c r="F190" s="1"/>
      <c r="G190" s="1"/>
      <c r="H190" s="8"/>
      <c r="I190" s="8"/>
      <c r="J190" s="8"/>
      <c r="K190" s="1"/>
      <c r="L190" s="1"/>
      <c r="M190" s="1"/>
      <c r="N190" s="1"/>
      <c r="O190" s="1"/>
      <c r="P190" s="1"/>
      <c r="Q190" s="1"/>
      <c r="R190" s="1"/>
      <c r="S190" s="1"/>
      <c r="T190" s="1"/>
      <c r="U190" s="1"/>
      <c r="V190" s="1"/>
      <c r="W190" s="1"/>
      <c r="X190" s="1"/>
      <c r="Y190" s="1"/>
      <c r="Z190" s="1"/>
      <c r="AA190" s="1"/>
      <c r="AB190" s="1"/>
      <c r="AC190" s="1"/>
      <c r="AD190" s="1"/>
      <c r="AE190" s="1"/>
      <c r="AF190" s="1"/>
    </row>
    <row r="191" ht="15.75" customHeight="1">
      <c r="A191" s="1"/>
      <c r="B191" s="1"/>
      <c r="C191" s="4"/>
      <c r="D191" s="4"/>
      <c r="E191" s="1"/>
      <c r="F191" s="1"/>
      <c r="G191" s="1"/>
      <c r="H191" s="8"/>
      <c r="I191" s="8"/>
      <c r="J191" s="8"/>
      <c r="K191" s="1"/>
      <c r="L191" s="1"/>
      <c r="M191" s="1"/>
      <c r="N191" s="1"/>
      <c r="O191" s="1"/>
      <c r="P191" s="1"/>
      <c r="Q191" s="1"/>
      <c r="R191" s="1"/>
      <c r="S191" s="1"/>
      <c r="T191" s="1"/>
      <c r="U191" s="1"/>
      <c r="V191" s="1"/>
      <c r="W191" s="1"/>
      <c r="X191" s="1"/>
      <c r="Y191" s="1"/>
      <c r="Z191" s="1"/>
      <c r="AA191" s="1"/>
      <c r="AB191" s="1"/>
      <c r="AC191" s="1"/>
      <c r="AD191" s="1"/>
      <c r="AE191" s="1"/>
      <c r="AF191" s="1"/>
    </row>
    <row r="192" ht="15.75" customHeight="1">
      <c r="A192" s="1"/>
      <c r="B192" s="1"/>
      <c r="C192" s="4"/>
      <c r="D192" s="4"/>
      <c r="E192" s="1"/>
      <c r="F192" s="1"/>
      <c r="G192" s="1"/>
      <c r="H192" s="8"/>
      <c r="I192" s="8"/>
      <c r="J192" s="8"/>
      <c r="K192" s="1"/>
      <c r="L192" s="1"/>
      <c r="M192" s="1"/>
      <c r="N192" s="1"/>
      <c r="O192" s="1"/>
      <c r="P192" s="1"/>
      <c r="Q192" s="1"/>
      <c r="R192" s="1"/>
      <c r="S192" s="1"/>
      <c r="T192" s="1"/>
      <c r="U192" s="1"/>
      <c r="V192" s="1"/>
      <c r="W192" s="1"/>
      <c r="X192" s="1"/>
      <c r="Y192" s="1"/>
      <c r="Z192" s="1"/>
      <c r="AA192" s="1"/>
      <c r="AB192" s="1"/>
      <c r="AC192" s="1"/>
      <c r="AD192" s="1"/>
      <c r="AE192" s="1"/>
      <c r="AF192" s="1"/>
    </row>
    <row r="193" ht="15.75" customHeight="1">
      <c r="A193" s="1"/>
      <c r="B193" s="1"/>
      <c r="C193" s="4"/>
      <c r="D193" s="4"/>
      <c r="E193" s="1"/>
      <c r="F193" s="1"/>
      <c r="G193" s="1"/>
      <c r="H193" s="8"/>
      <c r="I193" s="8"/>
      <c r="J193" s="8"/>
      <c r="K193" s="1"/>
      <c r="L193" s="1"/>
      <c r="M193" s="1"/>
      <c r="N193" s="1"/>
      <c r="O193" s="1"/>
      <c r="P193" s="1"/>
      <c r="Q193" s="1"/>
      <c r="R193" s="1"/>
      <c r="S193" s="1"/>
      <c r="T193" s="1"/>
      <c r="U193" s="1"/>
      <c r="V193" s="1"/>
      <c r="W193" s="1"/>
      <c r="X193" s="1"/>
      <c r="Y193" s="1"/>
      <c r="Z193" s="1"/>
      <c r="AA193" s="1"/>
      <c r="AB193" s="1"/>
      <c r="AC193" s="1"/>
      <c r="AD193" s="1"/>
      <c r="AE193" s="1"/>
      <c r="AF193" s="1"/>
    </row>
    <row r="194" ht="15.75" customHeight="1">
      <c r="A194" s="1"/>
      <c r="B194" s="1"/>
      <c r="C194" s="4"/>
      <c r="D194" s="4"/>
      <c r="E194" s="1"/>
      <c r="F194" s="1"/>
      <c r="G194" s="1"/>
      <c r="H194" s="8"/>
      <c r="I194" s="8"/>
      <c r="J194" s="8"/>
      <c r="K194" s="1"/>
      <c r="L194" s="1"/>
      <c r="M194" s="1"/>
      <c r="N194" s="1"/>
      <c r="O194" s="1"/>
      <c r="P194" s="1"/>
      <c r="Q194" s="1"/>
      <c r="R194" s="1"/>
      <c r="S194" s="1"/>
      <c r="T194" s="1"/>
      <c r="U194" s="1"/>
      <c r="V194" s="1"/>
      <c r="W194" s="1"/>
      <c r="X194" s="1"/>
      <c r="Y194" s="1"/>
      <c r="Z194" s="1"/>
      <c r="AA194" s="1"/>
      <c r="AB194" s="1"/>
      <c r="AC194" s="1"/>
      <c r="AD194" s="1"/>
      <c r="AE194" s="1"/>
      <c r="AF194" s="1"/>
    </row>
    <row r="195" ht="15.75" customHeight="1">
      <c r="A195" s="1"/>
      <c r="B195" s="1"/>
      <c r="C195" s="4"/>
      <c r="D195" s="4"/>
      <c r="E195" s="1"/>
      <c r="F195" s="1"/>
      <c r="G195" s="1"/>
      <c r="H195" s="8"/>
      <c r="I195" s="8"/>
      <c r="J195" s="8"/>
      <c r="K195" s="1"/>
      <c r="L195" s="1"/>
      <c r="M195" s="1"/>
      <c r="N195" s="1"/>
      <c r="O195" s="1"/>
      <c r="P195" s="1"/>
      <c r="Q195" s="1"/>
      <c r="R195" s="1"/>
      <c r="S195" s="1"/>
      <c r="T195" s="1"/>
      <c r="U195" s="1"/>
      <c r="V195" s="1"/>
      <c r="W195" s="1"/>
      <c r="X195" s="1"/>
      <c r="Y195" s="1"/>
      <c r="Z195" s="1"/>
      <c r="AA195" s="1"/>
      <c r="AB195" s="1"/>
      <c r="AC195" s="1"/>
      <c r="AD195" s="1"/>
      <c r="AE195" s="1"/>
      <c r="AF195" s="1"/>
    </row>
    <row r="196" ht="15.75" customHeight="1">
      <c r="A196" s="1"/>
      <c r="B196" s="1"/>
      <c r="C196" s="4"/>
      <c r="D196" s="4"/>
      <c r="E196" s="1"/>
      <c r="F196" s="1"/>
      <c r="G196" s="1"/>
      <c r="H196" s="8"/>
      <c r="I196" s="8"/>
      <c r="J196" s="8"/>
      <c r="K196" s="1"/>
      <c r="L196" s="1"/>
      <c r="M196" s="1"/>
      <c r="N196" s="1"/>
      <c r="O196" s="1"/>
      <c r="P196" s="1"/>
      <c r="Q196" s="1"/>
      <c r="R196" s="1"/>
      <c r="S196" s="1"/>
      <c r="T196" s="1"/>
      <c r="U196" s="1"/>
      <c r="V196" s="1"/>
      <c r="W196" s="1"/>
      <c r="X196" s="1"/>
      <c r="Y196" s="1"/>
      <c r="Z196" s="1"/>
      <c r="AA196" s="1"/>
      <c r="AB196" s="1"/>
      <c r="AC196" s="1"/>
      <c r="AD196" s="1"/>
      <c r="AE196" s="1"/>
      <c r="AF196" s="1"/>
    </row>
    <row r="197" ht="15.75" customHeight="1">
      <c r="A197" s="1"/>
      <c r="B197" s="1"/>
      <c r="C197" s="4"/>
      <c r="D197" s="4"/>
      <c r="E197" s="1"/>
      <c r="F197" s="1"/>
      <c r="G197" s="1"/>
      <c r="H197" s="8"/>
      <c r="I197" s="8"/>
      <c r="J197" s="8"/>
      <c r="K197" s="1"/>
      <c r="L197" s="1"/>
      <c r="M197" s="1"/>
      <c r="N197" s="1"/>
      <c r="O197" s="1"/>
      <c r="P197" s="1"/>
      <c r="Q197" s="1"/>
      <c r="R197" s="1"/>
      <c r="S197" s="1"/>
      <c r="T197" s="1"/>
      <c r="U197" s="1"/>
      <c r="V197" s="1"/>
      <c r="W197" s="1"/>
      <c r="X197" s="1"/>
      <c r="Y197" s="1"/>
      <c r="Z197" s="1"/>
      <c r="AA197" s="1"/>
      <c r="AB197" s="1"/>
      <c r="AC197" s="1"/>
      <c r="AD197" s="1"/>
      <c r="AE197" s="1"/>
      <c r="AF197" s="1"/>
    </row>
    <row r="198" ht="15.75" customHeight="1">
      <c r="A198" s="1"/>
      <c r="B198" s="1"/>
      <c r="C198" s="4"/>
      <c r="D198" s="4"/>
      <c r="E198" s="1"/>
      <c r="F198" s="1"/>
      <c r="G198" s="1"/>
      <c r="H198" s="8"/>
      <c r="I198" s="8"/>
      <c r="J198" s="8"/>
      <c r="K198" s="1"/>
      <c r="L198" s="1"/>
      <c r="M198" s="1"/>
      <c r="N198" s="1"/>
      <c r="O198" s="1"/>
      <c r="P198" s="1"/>
      <c r="Q198" s="1"/>
      <c r="R198" s="1"/>
      <c r="S198" s="1"/>
      <c r="T198" s="1"/>
      <c r="U198" s="1"/>
      <c r="V198" s="1"/>
      <c r="W198" s="1"/>
      <c r="X198" s="1"/>
      <c r="Y198" s="1"/>
      <c r="Z198" s="1"/>
      <c r="AA198" s="1"/>
      <c r="AB198" s="1"/>
      <c r="AC198" s="1"/>
      <c r="AD198" s="1"/>
      <c r="AE198" s="1"/>
      <c r="AF198" s="1"/>
    </row>
    <row r="199" ht="15.75" customHeight="1">
      <c r="A199" s="1"/>
      <c r="B199" s="1"/>
      <c r="C199" s="4"/>
      <c r="D199" s="4"/>
      <c r="E199" s="1"/>
      <c r="F199" s="1"/>
      <c r="G199" s="1"/>
      <c r="H199" s="8"/>
      <c r="I199" s="8"/>
      <c r="J199" s="8"/>
      <c r="K199" s="1"/>
      <c r="L199" s="1"/>
      <c r="M199" s="1"/>
      <c r="N199" s="1"/>
      <c r="O199" s="1"/>
      <c r="P199" s="1"/>
      <c r="Q199" s="1"/>
      <c r="R199" s="1"/>
      <c r="S199" s="1"/>
      <c r="T199" s="1"/>
      <c r="U199" s="1"/>
      <c r="V199" s="1"/>
      <c r="W199" s="1"/>
      <c r="X199" s="1"/>
      <c r="Y199" s="1"/>
      <c r="Z199" s="1"/>
      <c r="AA199" s="1"/>
      <c r="AB199" s="1"/>
      <c r="AC199" s="1"/>
      <c r="AD199" s="1"/>
      <c r="AE199" s="1"/>
      <c r="AF199" s="1"/>
    </row>
    <row r="200" ht="15.75" customHeight="1">
      <c r="A200" s="1"/>
      <c r="B200" s="1"/>
      <c r="C200" s="4"/>
      <c r="D200" s="4"/>
      <c r="E200" s="1"/>
      <c r="F200" s="1"/>
      <c r="G200" s="1"/>
      <c r="H200" s="8"/>
      <c r="I200" s="8"/>
      <c r="J200" s="8"/>
      <c r="K200" s="1"/>
      <c r="L200" s="1"/>
      <c r="M200" s="1"/>
      <c r="N200" s="1"/>
      <c r="O200" s="1"/>
      <c r="P200" s="1"/>
      <c r="Q200" s="1"/>
      <c r="R200" s="1"/>
      <c r="S200" s="1"/>
      <c r="T200" s="1"/>
      <c r="U200" s="1"/>
      <c r="V200" s="1"/>
      <c r="W200" s="1"/>
      <c r="X200" s="1"/>
      <c r="Y200" s="1"/>
      <c r="Z200" s="1"/>
      <c r="AA200" s="1"/>
      <c r="AB200" s="1"/>
      <c r="AC200" s="1"/>
      <c r="AD200" s="1"/>
      <c r="AE200" s="1"/>
      <c r="AF200" s="1"/>
    </row>
    <row r="201" ht="15.75" customHeight="1">
      <c r="A201" s="1"/>
      <c r="B201" s="1"/>
      <c r="C201" s="4"/>
      <c r="D201" s="4"/>
      <c r="E201" s="1"/>
      <c r="F201" s="1"/>
      <c r="G201" s="1"/>
      <c r="H201" s="8"/>
      <c r="I201" s="8"/>
      <c r="J201" s="8"/>
      <c r="K201" s="1"/>
      <c r="L201" s="1"/>
      <c r="M201" s="1"/>
      <c r="N201" s="1"/>
      <c r="O201" s="1"/>
      <c r="P201" s="1"/>
      <c r="Q201" s="1"/>
      <c r="R201" s="1"/>
      <c r="S201" s="1"/>
      <c r="T201" s="1"/>
      <c r="U201" s="1"/>
      <c r="V201" s="1"/>
      <c r="W201" s="1"/>
      <c r="X201" s="1"/>
      <c r="Y201" s="1"/>
      <c r="Z201" s="1"/>
      <c r="AA201" s="1"/>
      <c r="AB201" s="1"/>
      <c r="AC201" s="1"/>
      <c r="AD201" s="1"/>
      <c r="AE201" s="1"/>
      <c r="AF201" s="1"/>
    </row>
    <row r="202" ht="15.75" customHeight="1">
      <c r="A202" s="1"/>
      <c r="B202" s="1"/>
      <c r="C202" s="4"/>
      <c r="D202" s="4"/>
      <c r="E202" s="1"/>
      <c r="F202" s="1"/>
      <c r="G202" s="1"/>
      <c r="H202" s="8"/>
      <c r="I202" s="8"/>
      <c r="J202" s="8"/>
      <c r="K202" s="1"/>
      <c r="L202" s="1"/>
      <c r="M202" s="1"/>
      <c r="N202" s="1"/>
      <c r="O202" s="1"/>
      <c r="P202" s="1"/>
      <c r="Q202" s="1"/>
      <c r="R202" s="1"/>
      <c r="S202" s="1"/>
      <c r="T202" s="1"/>
      <c r="U202" s="1"/>
      <c r="V202" s="1"/>
      <c r="W202" s="1"/>
      <c r="X202" s="1"/>
      <c r="Y202" s="1"/>
      <c r="Z202" s="1"/>
      <c r="AA202" s="1"/>
      <c r="AB202" s="1"/>
      <c r="AC202" s="1"/>
      <c r="AD202" s="1"/>
      <c r="AE202" s="1"/>
      <c r="AF202" s="1"/>
    </row>
    <row r="203" ht="15.75" customHeight="1">
      <c r="A203" s="1"/>
      <c r="B203" s="1"/>
      <c r="C203" s="4"/>
      <c r="D203" s="4"/>
      <c r="E203" s="1"/>
      <c r="F203" s="1"/>
      <c r="G203" s="1"/>
      <c r="H203" s="8"/>
      <c r="I203" s="8"/>
      <c r="J203" s="8"/>
      <c r="K203" s="1"/>
      <c r="L203" s="1"/>
      <c r="M203" s="1"/>
      <c r="N203" s="1"/>
      <c r="O203" s="1"/>
      <c r="P203" s="1"/>
      <c r="Q203" s="1"/>
      <c r="R203" s="1"/>
      <c r="S203" s="1"/>
      <c r="T203" s="1"/>
      <c r="U203" s="1"/>
      <c r="V203" s="1"/>
      <c r="W203" s="1"/>
      <c r="X203" s="1"/>
      <c r="Y203" s="1"/>
      <c r="Z203" s="1"/>
      <c r="AA203" s="1"/>
      <c r="AB203" s="1"/>
      <c r="AC203" s="1"/>
      <c r="AD203" s="1"/>
      <c r="AE203" s="1"/>
      <c r="AF203" s="1"/>
    </row>
    <row r="204" ht="15.75" customHeight="1">
      <c r="A204" s="1"/>
      <c r="B204" s="1"/>
      <c r="C204" s="4"/>
      <c r="D204" s="4"/>
      <c r="E204" s="1"/>
      <c r="F204" s="1"/>
      <c r="G204" s="1"/>
      <c r="H204" s="8"/>
      <c r="I204" s="8"/>
      <c r="J204" s="8"/>
      <c r="K204" s="1"/>
      <c r="L204" s="1"/>
      <c r="M204" s="1"/>
      <c r="N204" s="1"/>
      <c r="O204" s="1"/>
      <c r="P204" s="1"/>
      <c r="Q204" s="1"/>
      <c r="R204" s="1"/>
      <c r="S204" s="1"/>
      <c r="T204" s="1"/>
      <c r="U204" s="1"/>
      <c r="V204" s="1"/>
      <c r="W204" s="1"/>
      <c r="X204" s="1"/>
      <c r="Y204" s="1"/>
      <c r="Z204" s="1"/>
      <c r="AA204" s="1"/>
      <c r="AB204" s="1"/>
      <c r="AC204" s="1"/>
      <c r="AD204" s="1"/>
      <c r="AE204" s="1"/>
      <c r="AF204" s="1"/>
    </row>
    <row r="205" ht="15.75" customHeight="1">
      <c r="A205" s="1"/>
      <c r="B205" s="1"/>
      <c r="C205" s="4"/>
      <c r="D205" s="4"/>
      <c r="E205" s="1"/>
      <c r="F205" s="1"/>
      <c r="G205" s="1"/>
      <c r="H205" s="8"/>
      <c r="I205" s="8"/>
      <c r="J205" s="8"/>
      <c r="K205" s="1"/>
      <c r="L205" s="1"/>
      <c r="M205" s="1"/>
      <c r="N205" s="1"/>
      <c r="O205" s="1"/>
      <c r="P205" s="1"/>
      <c r="Q205" s="1"/>
      <c r="R205" s="1"/>
      <c r="S205" s="1"/>
      <c r="T205" s="1"/>
      <c r="U205" s="1"/>
      <c r="V205" s="1"/>
      <c r="W205" s="1"/>
      <c r="X205" s="1"/>
      <c r="Y205" s="1"/>
      <c r="Z205" s="1"/>
      <c r="AA205" s="1"/>
      <c r="AB205" s="1"/>
      <c r="AC205" s="1"/>
      <c r="AD205" s="1"/>
      <c r="AE205" s="1"/>
      <c r="AF205" s="1"/>
    </row>
    <row r="206" ht="15.75" customHeight="1">
      <c r="A206" s="1"/>
      <c r="B206" s="1"/>
      <c r="C206" s="4"/>
      <c r="D206" s="4"/>
      <c r="E206" s="1"/>
      <c r="F206" s="1"/>
      <c r="G206" s="1"/>
      <c r="H206" s="8"/>
      <c r="I206" s="8"/>
      <c r="J206" s="8"/>
      <c r="K206" s="1"/>
      <c r="L206" s="1"/>
      <c r="M206" s="1"/>
      <c r="N206" s="1"/>
      <c r="O206" s="1"/>
      <c r="P206" s="1"/>
      <c r="Q206" s="1"/>
      <c r="R206" s="1"/>
      <c r="S206" s="1"/>
      <c r="T206" s="1"/>
      <c r="U206" s="1"/>
      <c r="V206" s="1"/>
      <c r="W206" s="1"/>
      <c r="X206" s="1"/>
      <c r="Y206" s="1"/>
      <c r="Z206" s="1"/>
      <c r="AA206" s="1"/>
      <c r="AB206" s="1"/>
      <c r="AC206" s="1"/>
      <c r="AD206" s="1"/>
      <c r="AE206" s="1"/>
      <c r="AF206" s="1"/>
    </row>
    <row r="207" ht="15.75" customHeight="1">
      <c r="A207" s="1"/>
      <c r="B207" s="1"/>
      <c r="C207" s="4"/>
      <c r="D207" s="4"/>
      <c r="E207" s="1"/>
      <c r="F207" s="1"/>
      <c r="G207" s="1"/>
      <c r="H207" s="8"/>
      <c r="I207" s="8"/>
      <c r="J207" s="8"/>
      <c r="K207" s="1"/>
      <c r="L207" s="1"/>
      <c r="M207" s="1"/>
      <c r="N207" s="1"/>
      <c r="O207" s="1"/>
      <c r="P207" s="1"/>
      <c r="Q207" s="1"/>
      <c r="R207" s="1"/>
      <c r="S207" s="1"/>
      <c r="T207" s="1"/>
      <c r="U207" s="1"/>
      <c r="V207" s="1"/>
      <c r="W207" s="1"/>
      <c r="X207" s="1"/>
      <c r="Y207" s="1"/>
      <c r="Z207" s="1"/>
      <c r="AA207" s="1"/>
      <c r="AB207" s="1"/>
      <c r="AC207" s="1"/>
      <c r="AD207" s="1"/>
      <c r="AE207" s="1"/>
      <c r="AF207" s="1"/>
    </row>
    <row r="208" ht="15.75" customHeight="1">
      <c r="A208" s="1"/>
      <c r="B208" s="1"/>
      <c r="C208" s="4"/>
      <c r="D208" s="4"/>
      <c r="E208" s="1"/>
      <c r="F208" s="1"/>
      <c r="G208" s="1"/>
      <c r="H208" s="8"/>
      <c r="I208" s="8"/>
      <c r="J208" s="8"/>
      <c r="K208" s="1"/>
      <c r="L208" s="1"/>
      <c r="M208" s="1"/>
      <c r="N208" s="1"/>
      <c r="O208" s="1"/>
      <c r="P208" s="1"/>
      <c r="Q208" s="1"/>
      <c r="R208" s="1"/>
      <c r="S208" s="1"/>
      <c r="T208" s="1"/>
      <c r="U208" s="1"/>
      <c r="V208" s="1"/>
      <c r="W208" s="1"/>
      <c r="X208" s="1"/>
      <c r="Y208" s="1"/>
      <c r="Z208" s="1"/>
      <c r="AA208" s="1"/>
      <c r="AB208" s="1"/>
      <c r="AC208" s="1"/>
      <c r="AD208" s="1"/>
      <c r="AE208" s="1"/>
      <c r="AF208" s="1"/>
    </row>
    <row r="209" ht="15.75" customHeight="1">
      <c r="A209" s="1"/>
      <c r="B209" s="1"/>
      <c r="C209" s="4"/>
      <c r="D209" s="4"/>
      <c r="E209" s="1"/>
      <c r="F209" s="1"/>
      <c r="G209" s="1"/>
      <c r="H209" s="8"/>
      <c r="I209" s="8"/>
      <c r="J209" s="8"/>
      <c r="K209" s="1"/>
      <c r="L209" s="1"/>
      <c r="M209" s="1"/>
      <c r="N209" s="1"/>
      <c r="O209" s="1"/>
      <c r="P209" s="1"/>
      <c r="Q209" s="1"/>
      <c r="R209" s="1"/>
      <c r="S209" s="1"/>
      <c r="T209" s="1"/>
      <c r="U209" s="1"/>
      <c r="V209" s="1"/>
      <c r="W209" s="1"/>
      <c r="X209" s="1"/>
      <c r="Y209" s="1"/>
      <c r="Z209" s="1"/>
      <c r="AA209" s="1"/>
      <c r="AB209" s="1"/>
      <c r="AC209" s="1"/>
      <c r="AD209" s="1"/>
      <c r="AE209" s="1"/>
      <c r="AF209" s="1"/>
    </row>
    <row r="210" ht="15.75" customHeight="1">
      <c r="A210" s="1"/>
      <c r="B210" s="1"/>
      <c r="C210" s="4"/>
      <c r="D210" s="4"/>
      <c r="E210" s="1"/>
      <c r="F210" s="1"/>
      <c r="G210" s="1"/>
      <c r="H210" s="8"/>
      <c r="I210" s="8"/>
      <c r="J210" s="8"/>
      <c r="K210" s="1"/>
      <c r="L210" s="1"/>
      <c r="M210" s="1"/>
      <c r="N210" s="1"/>
      <c r="O210" s="1"/>
      <c r="P210" s="1"/>
      <c r="Q210" s="1"/>
      <c r="R210" s="1"/>
      <c r="S210" s="1"/>
      <c r="T210" s="1"/>
      <c r="U210" s="1"/>
      <c r="V210" s="1"/>
      <c r="W210" s="1"/>
      <c r="X210" s="1"/>
      <c r="Y210" s="1"/>
      <c r="Z210" s="1"/>
      <c r="AA210" s="1"/>
      <c r="AB210" s="1"/>
      <c r="AC210" s="1"/>
      <c r="AD210" s="1"/>
      <c r="AE210" s="1"/>
      <c r="AF210" s="1"/>
    </row>
    <row r="211" ht="15.75" customHeight="1">
      <c r="A211" s="1"/>
      <c r="B211" s="1"/>
      <c r="C211" s="4"/>
      <c r="D211" s="4"/>
      <c r="E211" s="1"/>
      <c r="F211" s="1"/>
      <c r="G211" s="1"/>
      <c r="H211" s="8"/>
      <c r="I211" s="8"/>
      <c r="J211" s="8"/>
      <c r="K211" s="1"/>
      <c r="L211" s="1"/>
      <c r="M211" s="1"/>
      <c r="N211" s="1"/>
      <c r="O211" s="1"/>
      <c r="P211" s="1"/>
      <c r="Q211" s="1"/>
      <c r="R211" s="1"/>
      <c r="S211" s="1"/>
      <c r="T211" s="1"/>
      <c r="U211" s="1"/>
      <c r="V211" s="1"/>
      <c r="W211" s="1"/>
      <c r="X211" s="1"/>
      <c r="Y211" s="1"/>
      <c r="Z211" s="1"/>
      <c r="AA211" s="1"/>
      <c r="AB211" s="1"/>
      <c r="AC211" s="1"/>
      <c r="AD211" s="1"/>
      <c r="AE211" s="1"/>
      <c r="AF211" s="1"/>
    </row>
    <row r="212" ht="15.75" customHeight="1">
      <c r="A212" s="1"/>
      <c r="B212" s="1"/>
      <c r="C212" s="4"/>
      <c r="D212" s="4"/>
      <c r="E212" s="1"/>
      <c r="F212" s="1"/>
      <c r="G212" s="1"/>
      <c r="H212" s="8"/>
      <c r="I212" s="8"/>
      <c r="J212" s="8"/>
      <c r="K212" s="1"/>
      <c r="L212" s="1"/>
      <c r="M212" s="1"/>
      <c r="N212" s="1"/>
      <c r="O212" s="1"/>
      <c r="P212" s="1"/>
      <c r="Q212" s="1"/>
      <c r="R212" s="1"/>
      <c r="S212" s="1"/>
      <c r="T212" s="1"/>
      <c r="U212" s="1"/>
      <c r="V212" s="1"/>
      <c r="W212" s="1"/>
      <c r="X212" s="1"/>
      <c r="Y212" s="1"/>
      <c r="Z212" s="1"/>
      <c r="AA212" s="1"/>
      <c r="AB212" s="1"/>
      <c r="AC212" s="1"/>
      <c r="AD212" s="1"/>
      <c r="AE212" s="1"/>
      <c r="AF212" s="1"/>
    </row>
    <row r="213" ht="15.75" customHeight="1">
      <c r="A213" s="1"/>
      <c r="B213" s="1"/>
      <c r="C213" s="4"/>
      <c r="D213" s="4"/>
      <c r="E213" s="1"/>
      <c r="F213" s="1"/>
      <c r="G213" s="1"/>
      <c r="H213" s="8"/>
      <c r="I213" s="8"/>
      <c r="J213" s="8"/>
      <c r="K213" s="1"/>
      <c r="L213" s="1"/>
      <c r="M213" s="1"/>
      <c r="N213" s="1"/>
      <c r="O213" s="1"/>
      <c r="P213" s="1"/>
      <c r="Q213" s="1"/>
      <c r="R213" s="1"/>
      <c r="S213" s="1"/>
      <c r="T213" s="1"/>
      <c r="U213" s="1"/>
      <c r="V213" s="1"/>
      <c r="W213" s="1"/>
      <c r="X213" s="1"/>
      <c r="Y213" s="1"/>
      <c r="Z213" s="1"/>
      <c r="AA213" s="1"/>
      <c r="AB213" s="1"/>
      <c r="AC213" s="1"/>
      <c r="AD213" s="1"/>
      <c r="AE213" s="1"/>
      <c r="AF213" s="1"/>
    </row>
    <row r="214" ht="15.75" customHeight="1">
      <c r="A214" s="1"/>
      <c r="B214" s="1"/>
      <c r="C214" s="4"/>
      <c r="D214" s="4"/>
      <c r="E214" s="1"/>
      <c r="F214" s="1"/>
      <c r="G214" s="1"/>
      <c r="H214" s="8"/>
      <c r="I214" s="8"/>
      <c r="J214" s="8"/>
      <c r="K214" s="1"/>
      <c r="L214" s="1"/>
      <c r="M214" s="1"/>
      <c r="N214" s="1"/>
      <c r="O214" s="1"/>
      <c r="P214" s="1"/>
      <c r="Q214" s="1"/>
      <c r="R214" s="1"/>
      <c r="S214" s="1"/>
      <c r="T214" s="1"/>
      <c r="U214" s="1"/>
      <c r="V214" s="1"/>
      <c r="W214" s="1"/>
      <c r="X214" s="1"/>
      <c r="Y214" s="1"/>
      <c r="Z214" s="1"/>
      <c r="AA214" s="1"/>
      <c r="AB214" s="1"/>
      <c r="AC214" s="1"/>
      <c r="AD214" s="1"/>
      <c r="AE214" s="1"/>
      <c r="AF214" s="1"/>
    </row>
    <row r="215" ht="15.75" customHeight="1">
      <c r="A215" s="1"/>
      <c r="B215" s="1"/>
      <c r="C215" s="4"/>
      <c r="D215" s="4"/>
      <c r="E215" s="1"/>
      <c r="F215" s="1"/>
      <c r="G215" s="1"/>
      <c r="H215" s="8"/>
      <c r="I215" s="8"/>
      <c r="J215" s="8"/>
      <c r="K215" s="1"/>
      <c r="L215" s="1"/>
      <c r="M215" s="1"/>
      <c r="N215" s="1"/>
      <c r="O215" s="1"/>
      <c r="P215" s="1"/>
      <c r="Q215" s="1"/>
      <c r="R215" s="1"/>
      <c r="S215" s="1"/>
      <c r="T215" s="1"/>
      <c r="U215" s="1"/>
      <c r="V215" s="1"/>
      <c r="W215" s="1"/>
      <c r="X215" s="1"/>
      <c r="Y215" s="1"/>
      <c r="Z215" s="1"/>
      <c r="AA215" s="1"/>
      <c r="AB215" s="1"/>
      <c r="AC215" s="1"/>
      <c r="AD215" s="1"/>
      <c r="AE215" s="1"/>
      <c r="AF215" s="1"/>
    </row>
    <row r="216" ht="15.75" customHeight="1">
      <c r="A216" s="1"/>
      <c r="B216" s="1"/>
      <c r="C216" s="4"/>
      <c r="D216" s="4"/>
      <c r="E216" s="1"/>
      <c r="F216" s="1"/>
      <c r="G216" s="1"/>
      <c r="H216" s="8"/>
      <c r="I216" s="8"/>
      <c r="J216" s="8"/>
      <c r="K216" s="1"/>
      <c r="L216" s="1"/>
      <c r="M216" s="1"/>
      <c r="N216" s="1"/>
      <c r="O216" s="1"/>
      <c r="P216" s="1"/>
      <c r="Q216" s="1"/>
      <c r="R216" s="1"/>
      <c r="S216" s="1"/>
      <c r="T216" s="1"/>
      <c r="U216" s="1"/>
      <c r="V216" s="1"/>
      <c r="W216" s="1"/>
      <c r="X216" s="1"/>
      <c r="Y216" s="1"/>
      <c r="Z216" s="1"/>
      <c r="AA216" s="1"/>
      <c r="AB216" s="1"/>
      <c r="AC216" s="1"/>
      <c r="AD216" s="1"/>
      <c r="AE216" s="1"/>
      <c r="AF216" s="1"/>
    </row>
    <row r="217" ht="15.75" customHeight="1">
      <c r="A217" s="1"/>
      <c r="B217" s="1"/>
      <c r="C217" s="4"/>
      <c r="D217" s="4"/>
      <c r="E217" s="1"/>
      <c r="F217" s="1"/>
      <c r="G217" s="1"/>
      <c r="H217" s="8"/>
      <c r="I217" s="8"/>
      <c r="J217" s="8"/>
      <c r="K217" s="1"/>
      <c r="L217" s="1"/>
      <c r="M217" s="1"/>
      <c r="N217" s="1"/>
      <c r="O217" s="1"/>
      <c r="P217" s="1"/>
      <c r="Q217" s="1"/>
      <c r="R217" s="1"/>
      <c r="S217" s="1"/>
      <c r="T217" s="1"/>
      <c r="U217" s="1"/>
      <c r="V217" s="1"/>
      <c r="W217" s="1"/>
      <c r="X217" s="1"/>
      <c r="Y217" s="1"/>
      <c r="Z217" s="1"/>
      <c r="AA217" s="1"/>
      <c r="AB217" s="1"/>
      <c r="AC217" s="1"/>
      <c r="AD217" s="1"/>
      <c r="AE217" s="1"/>
      <c r="AF217" s="1"/>
    </row>
    <row r="218" ht="15.75" customHeight="1">
      <c r="A218" s="1"/>
      <c r="B218" s="1"/>
      <c r="C218" s="4"/>
      <c r="D218" s="4"/>
      <c r="E218" s="1"/>
      <c r="F218" s="1"/>
      <c r="G218" s="1"/>
      <c r="H218" s="8"/>
      <c r="I218" s="8"/>
      <c r="J218" s="8"/>
      <c r="K218" s="1"/>
      <c r="L218" s="1"/>
      <c r="M218" s="1"/>
      <c r="N218" s="1"/>
      <c r="O218" s="1"/>
      <c r="P218" s="1"/>
      <c r="Q218" s="1"/>
      <c r="R218" s="1"/>
      <c r="S218" s="1"/>
      <c r="T218" s="1"/>
      <c r="U218" s="1"/>
      <c r="V218" s="1"/>
      <c r="W218" s="1"/>
      <c r="X218" s="1"/>
      <c r="Y218" s="1"/>
      <c r="Z218" s="1"/>
      <c r="AA218" s="1"/>
      <c r="AB218" s="1"/>
      <c r="AC218" s="1"/>
      <c r="AD218" s="1"/>
      <c r="AE218" s="1"/>
      <c r="AF218" s="1"/>
    </row>
    <row r="219" ht="15.75" customHeight="1">
      <c r="A219" s="1"/>
      <c r="B219" s="1"/>
      <c r="C219" s="4"/>
      <c r="D219" s="4"/>
      <c r="E219" s="1"/>
      <c r="F219" s="1"/>
      <c r="G219" s="1"/>
      <c r="H219" s="8"/>
      <c r="I219" s="8"/>
      <c r="J219" s="8"/>
      <c r="K219" s="1"/>
      <c r="L219" s="1"/>
      <c r="M219" s="1"/>
      <c r="N219" s="1"/>
      <c r="O219" s="1"/>
      <c r="P219" s="1"/>
      <c r="Q219" s="1"/>
      <c r="R219" s="1"/>
      <c r="S219" s="1"/>
      <c r="T219" s="1"/>
      <c r="U219" s="1"/>
      <c r="V219" s="1"/>
      <c r="W219" s="1"/>
      <c r="X219" s="1"/>
      <c r="Y219" s="1"/>
      <c r="Z219" s="1"/>
      <c r="AA219" s="1"/>
      <c r="AB219" s="1"/>
      <c r="AC219" s="1"/>
      <c r="AD219" s="1"/>
      <c r="AE219" s="1"/>
      <c r="AF219" s="1"/>
    </row>
    <row r="220" ht="15.75" customHeight="1">
      <c r="A220" s="1"/>
      <c r="B220" s="1"/>
      <c r="C220" s="4"/>
      <c r="D220" s="4"/>
      <c r="E220" s="1"/>
      <c r="F220" s="1"/>
      <c r="G220" s="1"/>
      <c r="H220" s="8"/>
      <c r="I220" s="8"/>
      <c r="J220" s="8"/>
      <c r="K220" s="1"/>
      <c r="L220" s="1"/>
      <c r="M220" s="1"/>
      <c r="N220" s="1"/>
      <c r="O220" s="1"/>
      <c r="P220" s="1"/>
      <c r="Q220" s="1"/>
      <c r="R220" s="1"/>
      <c r="S220" s="1"/>
      <c r="T220" s="1"/>
      <c r="U220" s="1"/>
      <c r="V220" s="1"/>
      <c r="W220" s="1"/>
      <c r="X220" s="1"/>
      <c r="Y220" s="1"/>
      <c r="Z220" s="1"/>
      <c r="AA220" s="1"/>
      <c r="AB220" s="1"/>
      <c r="AC220" s="1"/>
      <c r="AD220" s="1"/>
      <c r="AE220" s="1"/>
      <c r="AF220" s="1"/>
    </row>
    <row r="221" ht="15.75" customHeight="1">
      <c r="A221" s="1"/>
      <c r="B221" s="1"/>
      <c r="C221" s="4"/>
      <c r="D221" s="4"/>
      <c r="E221" s="1"/>
      <c r="F221" s="1"/>
      <c r="G221" s="1"/>
      <c r="H221" s="8"/>
      <c r="I221" s="8"/>
      <c r="J221" s="8"/>
      <c r="K221" s="1"/>
      <c r="L221" s="1"/>
      <c r="M221" s="1"/>
      <c r="N221" s="1"/>
      <c r="O221" s="1"/>
      <c r="P221" s="1"/>
      <c r="Q221" s="1"/>
      <c r="R221" s="1"/>
      <c r="S221" s="1"/>
      <c r="T221" s="1"/>
      <c r="U221" s="1"/>
      <c r="V221" s="1"/>
      <c r="W221" s="1"/>
      <c r="X221" s="1"/>
      <c r="Y221" s="1"/>
      <c r="Z221" s="1"/>
      <c r="AA221" s="1"/>
      <c r="AB221" s="1"/>
      <c r="AC221" s="1"/>
      <c r="AD221" s="1"/>
      <c r="AE221" s="1"/>
      <c r="AF221" s="1"/>
    </row>
    <row r="222" ht="15.75" customHeight="1">
      <c r="A222" s="1"/>
      <c r="B222" s="1"/>
      <c r="C222" s="4"/>
      <c r="D222" s="4"/>
      <c r="E222" s="1"/>
      <c r="F222" s="1"/>
      <c r="G222" s="1"/>
      <c r="H222" s="8"/>
      <c r="I222" s="8"/>
      <c r="J222" s="8"/>
      <c r="K222" s="1"/>
      <c r="L222" s="1"/>
      <c r="M222" s="1"/>
      <c r="N222" s="1"/>
      <c r="O222" s="1"/>
      <c r="P222" s="1"/>
      <c r="Q222" s="1"/>
      <c r="R222" s="1"/>
      <c r="S222" s="1"/>
      <c r="T222" s="1"/>
      <c r="U222" s="1"/>
      <c r="V222" s="1"/>
      <c r="W222" s="1"/>
      <c r="X222" s="1"/>
      <c r="Y222" s="1"/>
      <c r="Z222" s="1"/>
      <c r="AA222" s="1"/>
      <c r="AB222" s="1"/>
      <c r="AC222" s="1"/>
      <c r="AD222" s="1"/>
      <c r="AE222" s="1"/>
      <c r="AF222" s="1"/>
    </row>
    <row r="223" ht="15.75" customHeight="1">
      <c r="A223" s="1"/>
      <c r="B223" s="1"/>
      <c r="C223" s="4"/>
      <c r="D223" s="4"/>
      <c r="E223" s="1"/>
      <c r="F223" s="1"/>
      <c r="G223" s="1"/>
      <c r="H223" s="8"/>
      <c r="I223" s="8"/>
      <c r="J223" s="8"/>
      <c r="K223" s="1"/>
      <c r="L223" s="1"/>
      <c r="M223" s="1"/>
      <c r="N223" s="1"/>
      <c r="O223" s="1"/>
      <c r="P223" s="1"/>
      <c r="Q223" s="1"/>
      <c r="R223" s="1"/>
      <c r="S223" s="1"/>
      <c r="T223" s="1"/>
      <c r="U223" s="1"/>
      <c r="V223" s="1"/>
      <c r="W223" s="1"/>
      <c r="X223" s="1"/>
      <c r="Y223" s="1"/>
      <c r="Z223" s="1"/>
      <c r="AA223" s="1"/>
      <c r="AB223" s="1"/>
      <c r="AC223" s="1"/>
      <c r="AD223" s="1"/>
      <c r="AE223" s="1"/>
      <c r="AF223" s="1"/>
    </row>
    <row r="224" ht="15.75" customHeight="1">
      <c r="A224" s="1"/>
      <c r="B224" s="1"/>
      <c r="C224" s="4"/>
      <c r="D224" s="4"/>
      <c r="E224" s="1"/>
      <c r="F224" s="1"/>
      <c r="G224" s="1"/>
      <c r="H224" s="8"/>
      <c r="I224" s="8"/>
      <c r="J224" s="8"/>
      <c r="K224" s="1"/>
      <c r="L224" s="1"/>
      <c r="M224" s="1"/>
      <c r="N224" s="1"/>
      <c r="O224" s="1"/>
      <c r="P224" s="1"/>
      <c r="Q224" s="1"/>
      <c r="R224" s="1"/>
      <c r="S224" s="1"/>
      <c r="T224" s="1"/>
      <c r="U224" s="1"/>
      <c r="V224" s="1"/>
      <c r="W224" s="1"/>
      <c r="X224" s="1"/>
      <c r="Y224" s="1"/>
      <c r="Z224" s="1"/>
      <c r="AA224" s="1"/>
      <c r="AB224" s="1"/>
      <c r="AC224" s="1"/>
      <c r="AD224" s="1"/>
      <c r="AE224" s="1"/>
      <c r="AF224" s="1"/>
    </row>
    <row r="225" ht="15.75" customHeight="1">
      <c r="A225" s="1"/>
      <c r="B225" s="1"/>
      <c r="C225" s="4"/>
      <c r="D225" s="4"/>
      <c r="E225" s="1"/>
      <c r="F225" s="1"/>
      <c r="G225" s="1"/>
      <c r="H225" s="8"/>
      <c r="I225" s="8"/>
      <c r="J225" s="8"/>
      <c r="K225" s="1"/>
      <c r="L225" s="1"/>
      <c r="M225" s="1"/>
      <c r="N225" s="1"/>
      <c r="O225" s="1"/>
      <c r="P225" s="1"/>
      <c r="Q225" s="1"/>
      <c r="R225" s="1"/>
      <c r="S225" s="1"/>
      <c r="T225" s="1"/>
      <c r="U225" s="1"/>
      <c r="V225" s="1"/>
      <c r="W225" s="1"/>
      <c r="X225" s="1"/>
      <c r="Y225" s="1"/>
      <c r="Z225" s="1"/>
      <c r="AA225" s="1"/>
      <c r="AB225" s="1"/>
      <c r="AC225" s="1"/>
      <c r="AD225" s="1"/>
      <c r="AE225" s="1"/>
      <c r="AF225" s="1"/>
    </row>
    <row r="226" ht="15.75" customHeight="1">
      <c r="A226" s="1"/>
      <c r="B226" s="1"/>
      <c r="C226" s="4"/>
      <c r="D226" s="4"/>
      <c r="E226" s="1"/>
      <c r="F226" s="1"/>
      <c r="G226" s="1"/>
      <c r="H226" s="8"/>
      <c r="I226" s="8"/>
      <c r="J226" s="8"/>
      <c r="K226" s="1"/>
      <c r="L226" s="1"/>
      <c r="M226" s="1"/>
      <c r="N226" s="1"/>
      <c r="O226" s="1"/>
      <c r="P226" s="1"/>
      <c r="Q226" s="1"/>
      <c r="R226" s="1"/>
      <c r="S226" s="1"/>
      <c r="T226" s="1"/>
      <c r="U226" s="1"/>
      <c r="V226" s="1"/>
      <c r="W226" s="1"/>
      <c r="X226" s="1"/>
      <c r="Y226" s="1"/>
      <c r="Z226" s="1"/>
      <c r="AA226" s="1"/>
      <c r="AB226" s="1"/>
      <c r="AC226" s="1"/>
      <c r="AD226" s="1"/>
      <c r="AE226" s="1"/>
      <c r="AF226" s="1"/>
    </row>
    <row r="227" ht="15.75" customHeight="1">
      <c r="A227" s="1"/>
      <c r="B227" s="1"/>
      <c r="C227" s="4"/>
      <c r="D227" s="4"/>
      <c r="E227" s="1"/>
      <c r="F227" s="1"/>
      <c r="G227" s="1"/>
      <c r="H227" s="8"/>
      <c r="I227" s="8"/>
      <c r="J227" s="8"/>
      <c r="K227" s="1"/>
      <c r="L227" s="1"/>
      <c r="M227" s="1"/>
      <c r="N227" s="1"/>
      <c r="O227" s="1"/>
      <c r="P227" s="1"/>
      <c r="Q227" s="1"/>
      <c r="R227" s="1"/>
      <c r="S227" s="1"/>
      <c r="T227" s="1"/>
      <c r="U227" s="1"/>
      <c r="V227" s="1"/>
      <c r="W227" s="1"/>
      <c r="X227" s="1"/>
      <c r="Y227" s="1"/>
      <c r="Z227" s="1"/>
      <c r="AA227" s="1"/>
      <c r="AB227" s="1"/>
      <c r="AC227" s="1"/>
      <c r="AD227" s="1"/>
      <c r="AE227" s="1"/>
      <c r="AF227" s="1"/>
    </row>
    <row r="228" ht="15.75" customHeight="1">
      <c r="A228" s="1"/>
      <c r="B228" s="1"/>
      <c r="C228" s="4"/>
      <c r="D228" s="4"/>
      <c r="E228" s="1"/>
      <c r="F228" s="1"/>
      <c r="G228" s="1"/>
      <c r="H228" s="8"/>
      <c r="I228" s="8"/>
      <c r="J228" s="8"/>
      <c r="K228" s="1"/>
      <c r="L228" s="1"/>
      <c r="M228" s="1"/>
      <c r="N228" s="1"/>
      <c r="O228" s="1"/>
      <c r="P228" s="1"/>
      <c r="Q228" s="1"/>
      <c r="R228" s="1"/>
      <c r="S228" s="1"/>
      <c r="T228" s="1"/>
      <c r="U228" s="1"/>
      <c r="V228" s="1"/>
      <c r="W228" s="1"/>
      <c r="X228" s="1"/>
      <c r="Y228" s="1"/>
      <c r="Z228" s="1"/>
      <c r="AA228" s="1"/>
      <c r="AB228" s="1"/>
      <c r="AC228" s="1"/>
      <c r="AD228" s="1"/>
      <c r="AE228" s="1"/>
      <c r="AF228" s="1"/>
    </row>
    <row r="229" ht="15.75" customHeight="1">
      <c r="A229" s="1"/>
      <c r="B229" s="1"/>
      <c r="C229" s="4"/>
      <c r="D229" s="4"/>
      <c r="E229" s="1"/>
      <c r="F229" s="1"/>
      <c r="G229" s="1"/>
      <c r="H229" s="8"/>
      <c r="I229" s="8"/>
      <c r="J229" s="8"/>
      <c r="K229" s="1"/>
      <c r="L229" s="1"/>
      <c r="M229" s="1"/>
      <c r="N229" s="1"/>
      <c r="O229" s="1"/>
      <c r="P229" s="1"/>
      <c r="Q229" s="1"/>
      <c r="R229" s="1"/>
      <c r="S229" s="1"/>
      <c r="T229" s="1"/>
      <c r="U229" s="1"/>
      <c r="V229" s="1"/>
      <c r="W229" s="1"/>
      <c r="X229" s="1"/>
      <c r="Y229" s="1"/>
      <c r="Z229" s="1"/>
      <c r="AA229" s="1"/>
      <c r="AB229" s="1"/>
      <c r="AC229" s="1"/>
      <c r="AD229" s="1"/>
      <c r="AE229" s="1"/>
      <c r="AF229" s="1"/>
    </row>
    <row r="230" ht="15.75" customHeight="1">
      <c r="A230" s="1"/>
      <c r="B230" s="1"/>
      <c r="C230" s="4"/>
      <c r="D230" s="4"/>
      <c r="E230" s="1"/>
      <c r="F230" s="1"/>
      <c r="G230" s="1"/>
      <c r="H230" s="8"/>
      <c r="I230" s="8"/>
      <c r="J230" s="8"/>
      <c r="K230" s="1"/>
      <c r="L230" s="1"/>
      <c r="M230" s="1"/>
      <c r="N230" s="1"/>
      <c r="O230" s="1"/>
      <c r="P230" s="1"/>
      <c r="Q230" s="1"/>
      <c r="R230" s="1"/>
      <c r="S230" s="1"/>
      <c r="T230" s="1"/>
      <c r="U230" s="1"/>
      <c r="V230" s="1"/>
      <c r="W230" s="1"/>
      <c r="X230" s="1"/>
      <c r="Y230" s="1"/>
      <c r="Z230" s="1"/>
      <c r="AA230" s="1"/>
      <c r="AB230" s="1"/>
      <c r="AC230" s="1"/>
      <c r="AD230" s="1"/>
      <c r="AE230" s="1"/>
      <c r="AF230" s="1"/>
    </row>
    <row r="231" ht="15.75" customHeight="1">
      <c r="A231" s="1"/>
      <c r="B231" s="1"/>
      <c r="C231" s="4"/>
      <c r="D231" s="4"/>
      <c r="E231" s="1"/>
      <c r="F231" s="1"/>
      <c r="G231" s="1"/>
      <c r="H231" s="8"/>
      <c r="I231" s="8"/>
      <c r="J231" s="8"/>
      <c r="K231" s="1"/>
      <c r="L231" s="1"/>
      <c r="M231" s="1"/>
      <c r="N231" s="1"/>
      <c r="O231" s="1"/>
      <c r="P231" s="1"/>
      <c r="Q231" s="1"/>
      <c r="R231" s="1"/>
      <c r="S231" s="1"/>
      <c r="T231" s="1"/>
      <c r="U231" s="1"/>
      <c r="V231" s="1"/>
      <c r="W231" s="1"/>
      <c r="X231" s="1"/>
      <c r="Y231" s="1"/>
      <c r="Z231" s="1"/>
      <c r="AA231" s="1"/>
      <c r="AB231" s="1"/>
      <c r="AC231" s="1"/>
      <c r="AD231" s="1"/>
      <c r="AE231" s="1"/>
      <c r="AF231" s="1"/>
    </row>
    <row r="232" ht="15.75" customHeight="1">
      <c r="A232" s="1"/>
      <c r="B232" s="1"/>
      <c r="C232" s="4"/>
      <c r="D232" s="4"/>
      <c r="E232" s="1"/>
      <c r="F232" s="1"/>
      <c r="G232" s="1"/>
      <c r="H232" s="8"/>
      <c r="I232" s="8"/>
      <c r="J232" s="8"/>
      <c r="K232" s="1"/>
      <c r="L232" s="1"/>
      <c r="M232" s="1"/>
      <c r="N232" s="1"/>
      <c r="O232" s="1"/>
      <c r="P232" s="1"/>
      <c r="Q232" s="1"/>
      <c r="R232" s="1"/>
      <c r="S232" s="1"/>
      <c r="T232" s="1"/>
      <c r="U232" s="1"/>
      <c r="V232" s="1"/>
      <c r="W232" s="1"/>
      <c r="X232" s="1"/>
      <c r="Y232" s="1"/>
      <c r="Z232" s="1"/>
      <c r="AA232" s="1"/>
      <c r="AB232" s="1"/>
      <c r="AC232" s="1"/>
      <c r="AD232" s="1"/>
      <c r="AE232" s="1"/>
      <c r="AF232" s="1"/>
    </row>
    <row r="233" ht="15.75" customHeight="1">
      <c r="A233" s="1"/>
      <c r="B233" s="1"/>
      <c r="C233" s="4"/>
      <c r="D233" s="4"/>
      <c r="E233" s="1"/>
      <c r="F233" s="1"/>
      <c r="G233" s="1"/>
      <c r="H233" s="8"/>
      <c r="I233" s="8"/>
      <c r="J233" s="8"/>
      <c r="K233" s="1"/>
      <c r="L233" s="1"/>
      <c r="M233" s="1"/>
      <c r="N233" s="1"/>
      <c r="O233" s="1"/>
      <c r="P233" s="1"/>
      <c r="Q233" s="1"/>
      <c r="R233" s="1"/>
      <c r="S233" s="1"/>
      <c r="T233" s="1"/>
      <c r="U233" s="1"/>
      <c r="V233" s="1"/>
      <c r="W233" s="1"/>
      <c r="X233" s="1"/>
      <c r="Y233" s="1"/>
      <c r="Z233" s="1"/>
      <c r="AA233" s="1"/>
      <c r="AB233" s="1"/>
      <c r="AC233" s="1"/>
      <c r="AD233" s="1"/>
      <c r="AE233" s="1"/>
      <c r="AF233" s="1"/>
    </row>
    <row r="234" ht="15.75" customHeight="1">
      <c r="A234" s="1"/>
      <c r="B234" s="1"/>
      <c r="C234" s="4"/>
      <c r="D234" s="4"/>
      <c r="E234" s="1"/>
      <c r="F234" s="1"/>
      <c r="G234" s="1"/>
      <c r="H234" s="8"/>
      <c r="I234" s="8"/>
      <c r="J234" s="8"/>
      <c r="K234" s="1"/>
      <c r="L234" s="1"/>
      <c r="M234" s="1"/>
      <c r="N234" s="1"/>
      <c r="O234" s="1"/>
      <c r="P234" s="1"/>
      <c r="Q234" s="1"/>
      <c r="R234" s="1"/>
      <c r="S234" s="1"/>
      <c r="T234" s="1"/>
      <c r="U234" s="1"/>
      <c r="V234" s="1"/>
      <c r="W234" s="1"/>
      <c r="X234" s="1"/>
      <c r="Y234" s="1"/>
      <c r="Z234" s="1"/>
      <c r="AA234" s="1"/>
      <c r="AB234" s="1"/>
      <c r="AC234" s="1"/>
      <c r="AD234" s="1"/>
      <c r="AE234" s="1"/>
      <c r="AF234" s="1"/>
    </row>
    <row r="235" ht="15.75" customHeight="1">
      <c r="A235" s="1"/>
      <c r="B235" s="1"/>
      <c r="C235" s="4"/>
      <c r="D235" s="4"/>
      <c r="E235" s="1"/>
      <c r="F235" s="1"/>
      <c r="G235" s="1"/>
      <c r="H235" s="8"/>
      <c r="I235" s="8"/>
      <c r="J235" s="8"/>
      <c r="K235" s="1"/>
      <c r="L235" s="1"/>
      <c r="M235" s="1"/>
      <c r="N235" s="1"/>
      <c r="O235" s="1"/>
      <c r="P235" s="1"/>
      <c r="Q235" s="1"/>
      <c r="R235" s="1"/>
      <c r="S235" s="1"/>
      <c r="T235" s="1"/>
      <c r="U235" s="1"/>
      <c r="V235" s="1"/>
      <c r="W235" s="1"/>
      <c r="X235" s="1"/>
      <c r="Y235" s="1"/>
      <c r="Z235" s="1"/>
      <c r="AA235" s="1"/>
      <c r="AB235" s="1"/>
      <c r="AC235" s="1"/>
      <c r="AD235" s="1"/>
      <c r="AE235" s="1"/>
      <c r="AF235" s="1"/>
    </row>
    <row r="236" ht="15.75" customHeight="1">
      <c r="A236" s="1"/>
      <c r="B236" s="1"/>
      <c r="C236" s="4"/>
      <c r="D236" s="4"/>
      <c r="E236" s="1"/>
      <c r="F236" s="1"/>
      <c r="G236" s="1"/>
      <c r="H236" s="8"/>
      <c r="I236" s="8"/>
      <c r="J236" s="8"/>
      <c r="K236" s="1"/>
      <c r="L236" s="1"/>
      <c r="M236" s="1"/>
      <c r="N236" s="1"/>
      <c r="O236" s="1"/>
      <c r="P236" s="1"/>
      <c r="Q236" s="1"/>
      <c r="R236" s="1"/>
      <c r="S236" s="1"/>
      <c r="T236" s="1"/>
      <c r="U236" s="1"/>
      <c r="V236" s="1"/>
      <c r="W236" s="1"/>
      <c r="X236" s="1"/>
      <c r="Y236" s="1"/>
      <c r="Z236" s="1"/>
      <c r="AA236" s="1"/>
      <c r="AB236" s="1"/>
      <c r="AC236" s="1"/>
      <c r="AD236" s="1"/>
      <c r="AE236" s="1"/>
      <c r="AF236" s="1"/>
    </row>
    <row r="237" ht="15.75" customHeight="1">
      <c r="A237" s="1"/>
      <c r="B237" s="1"/>
      <c r="C237" s="4"/>
      <c r="D237" s="4"/>
      <c r="E237" s="1"/>
      <c r="F237" s="1"/>
      <c r="G237" s="1"/>
      <c r="H237" s="8"/>
      <c r="I237" s="8"/>
      <c r="J237" s="8"/>
      <c r="K237" s="1"/>
      <c r="L237" s="1"/>
      <c r="M237" s="1"/>
      <c r="N237" s="1"/>
      <c r="O237" s="1"/>
      <c r="P237" s="1"/>
      <c r="Q237" s="1"/>
      <c r="R237" s="1"/>
      <c r="S237" s="1"/>
      <c r="T237" s="1"/>
      <c r="U237" s="1"/>
      <c r="V237" s="1"/>
      <c r="W237" s="1"/>
      <c r="X237" s="1"/>
      <c r="Y237" s="1"/>
      <c r="Z237" s="1"/>
      <c r="AA237" s="1"/>
      <c r="AB237" s="1"/>
      <c r="AC237" s="1"/>
      <c r="AD237" s="1"/>
      <c r="AE237" s="1"/>
      <c r="AF237" s="1"/>
    </row>
    <row r="238" ht="15.75" customHeight="1">
      <c r="A238" s="1"/>
      <c r="B238" s="1"/>
      <c r="C238" s="4"/>
      <c r="D238" s="4"/>
      <c r="E238" s="1"/>
      <c r="F238" s="1"/>
      <c r="G238" s="1"/>
      <c r="H238" s="8"/>
      <c r="I238" s="8"/>
      <c r="J238" s="8"/>
      <c r="K238" s="1"/>
      <c r="L238" s="1"/>
      <c r="M238" s="1"/>
      <c r="N238" s="1"/>
      <c r="O238" s="1"/>
      <c r="P238" s="1"/>
      <c r="Q238" s="1"/>
      <c r="R238" s="1"/>
      <c r="S238" s="1"/>
      <c r="T238" s="1"/>
      <c r="U238" s="1"/>
      <c r="V238" s="1"/>
      <c r="W238" s="1"/>
      <c r="X238" s="1"/>
      <c r="Y238" s="1"/>
      <c r="Z238" s="1"/>
      <c r="AA238" s="1"/>
      <c r="AB238" s="1"/>
      <c r="AC238" s="1"/>
      <c r="AD238" s="1"/>
      <c r="AE238" s="1"/>
      <c r="AF238" s="1"/>
    </row>
    <row r="239" ht="15.75" customHeight="1">
      <c r="A239" s="1"/>
      <c r="B239" s="1"/>
      <c r="C239" s="4"/>
      <c r="D239" s="4"/>
      <c r="E239" s="1"/>
      <c r="F239" s="1"/>
      <c r="G239" s="1"/>
      <c r="H239" s="8"/>
      <c r="I239" s="8"/>
      <c r="J239" s="8"/>
      <c r="K239" s="1"/>
      <c r="L239" s="1"/>
      <c r="M239" s="1"/>
      <c r="N239" s="1"/>
      <c r="O239" s="1"/>
      <c r="P239" s="1"/>
      <c r="Q239" s="1"/>
      <c r="R239" s="1"/>
      <c r="S239" s="1"/>
      <c r="T239" s="1"/>
      <c r="U239" s="1"/>
      <c r="V239" s="1"/>
      <c r="W239" s="1"/>
      <c r="X239" s="1"/>
      <c r="Y239" s="1"/>
      <c r="Z239" s="1"/>
      <c r="AA239" s="1"/>
      <c r="AB239" s="1"/>
      <c r="AC239" s="1"/>
      <c r="AD239" s="1"/>
      <c r="AE239" s="1"/>
      <c r="AF239" s="1"/>
    </row>
    <row r="240" ht="15.75" customHeight="1">
      <c r="A240" s="1"/>
      <c r="B240" s="1"/>
      <c r="C240" s="4"/>
      <c r="D240" s="4"/>
      <c r="E240" s="1"/>
      <c r="F240" s="1"/>
      <c r="G240" s="1"/>
      <c r="H240" s="8"/>
      <c r="I240" s="8"/>
      <c r="J240" s="8"/>
      <c r="K240" s="1"/>
      <c r="L240" s="1"/>
      <c r="M240" s="1"/>
      <c r="N240" s="1"/>
      <c r="O240" s="1"/>
      <c r="P240" s="1"/>
      <c r="Q240" s="1"/>
      <c r="R240" s="1"/>
      <c r="S240" s="1"/>
      <c r="T240" s="1"/>
      <c r="U240" s="1"/>
      <c r="V240" s="1"/>
      <c r="W240" s="1"/>
      <c r="X240" s="1"/>
      <c r="Y240" s="1"/>
      <c r="Z240" s="1"/>
      <c r="AA240" s="1"/>
      <c r="AB240" s="1"/>
      <c r="AC240" s="1"/>
      <c r="AD240" s="1"/>
      <c r="AE240" s="1"/>
      <c r="AF240" s="1"/>
    </row>
    <row r="241" ht="15.75" customHeight="1">
      <c r="A241" s="1"/>
      <c r="B241" s="1"/>
      <c r="C241" s="4"/>
      <c r="D241" s="4"/>
      <c r="E241" s="1"/>
      <c r="F241" s="1"/>
      <c r="G241" s="1"/>
      <c r="H241" s="8"/>
      <c r="I241" s="8"/>
      <c r="J241" s="8"/>
      <c r="K241" s="1"/>
      <c r="L241" s="1"/>
      <c r="M241" s="1"/>
      <c r="N241" s="1"/>
      <c r="O241" s="1"/>
      <c r="P241" s="1"/>
      <c r="Q241" s="1"/>
      <c r="R241" s="1"/>
      <c r="S241" s="1"/>
      <c r="T241" s="1"/>
      <c r="U241" s="1"/>
      <c r="V241" s="1"/>
      <c r="W241" s="1"/>
      <c r="X241" s="1"/>
      <c r="Y241" s="1"/>
      <c r="Z241" s="1"/>
      <c r="AA241" s="1"/>
      <c r="AB241" s="1"/>
      <c r="AC241" s="1"/>
      <c r="AD241" s="1"/>
      <c r="AE241" s="1"/>
      <c r="AF241" s="1"/>
    </row>
    <row r="242" ht="15.75" customHeight="1">
      <c r="A242" s="1"/>
      <c r="B242" s="1"/>
      <c r="C242" s="4"/>
      <c r="D242" s="4"/>
      <c r="E242" s="1"/>
      <c r="F242" s="1"/>
      <c r="G242" s="1"/>
      <c r="H242" s="8"/>
      <c r="I242" s="8"/>
      <c r="J242" s="8"/>
      <c r="K242" s="1"/>
      <c r="L242" s="1"/>
      <c r="M242" s="1"/>
      <c r="N242" s="1"/>
      <c r="O242" s="1"/>
      <c r="P242" s="1"/>
      <c r="Q242" s="1"/>
      <c r="R242" s="1"/>
      <c r="S242" s="1"/>
      <c r="T242" s="1"/>
      <c r="U242" s="1"/>
      <c r="V242" s="1"/>
      <c r="W242" s="1"/>
      <c r="X242" s="1"/>
      <c r="Y242" s="1"/>
      <c r="Z242" s="1"/>
      <c r="AA242" s="1"/>
      <c r="AB242" s="1"/>
      <c r="AC242" s="1"/>
      <c r="AD242" s="1"/>
      <c r="AE242" s="1"/>
      <c r="AF242" s="1"/>
    </row>
    <row r="243" ht="15.75" customHeight="1">
      <c r="A243" s="1"/>
      <c r="B243" s="1"/>
      <c r="C243" s="4"/>
      <c r="D243" s="4"/>
      <c r="E243" s="1"/>
      <c r="F243" s="1"/>
      <c r="G243" s="1"/>
      <c r="H243" s="8"/>
      <c r="I243" s="8"/>
      <c r="J243" s="8"/>
      <c r="K243" s="1"/>
      <c r="L243" s="1"/>
      <c r="M243" s="1"/>
      <c r="N243" s="1"/>
      <c r="O243" s="1"/>
      <c r="P243" s="1"/>
      <c r="Q243" s="1"/>
      <c r="R243" s="1"/>
      <c r="S243" s="1"/>
      <c r="T243" s="1"/>
      <c r="U243" s="1"/>
      <c r="V243" s="1"/>
      <c r="W243" s="1"/>
      <c r="X243" s="1"/>
      <c r="Y243" s="1"/>
      <c r="Z243" s="1"/>
      <c r="AA243" s="1"/>
      <c r="AB243" s="1"/>
      <c r="AC243" s="1"/>
      <c r="AD243" s="1"/>
      <c r="AE243" s="1"/>
      <c r="AF243" s="1"/>
    </row>
    <row r="244" ht="15.75" customHeight="1">
      <c r="A244" s="1"/>
      <c r="B244" s="1"/>
      <c r="C244" s="4"/>
      <c r="D244" s="4"/>
      <c r="E244" s="1"/>
      <c r="F244" s="1"/>
      <c r="G244" s="1"/>
      <c r="H244" s="8"/>
      <c r="I244" s="8"/>
      <c r="J244" s="8"/>
      <c r="K244" s="1"/>
      <c r="L244" s="1"/>
      <c r="M244" s="1"/>
      <c r="N244" s="1"/>
      <c r="O244" s="1"/>
      <c r="P244" s="1"/>
      <c r="Q244" s="1"/>
      <c r="R244" s="1"/>
      <c r="S244" s="1"/>
      <c r="T244" s="1"/>
      <c r="U244" s="1"/>
      <c r="V244" s="1"/>
      <c r="W244" s="1"/>
      <c r="X244" s="1"/>
      <c r="Y244" s="1"/>
      <c r="Z244" s="1"/>
      <c r="AA244" s="1"/>
      <c r="AB244" s="1"/>
      <c r="AC244" s="1"/>
      <c r="AD244" s="1"/>
      <c r="AE244" s="1"/>
      <c r="AF244" s="1"/>
    </row>
    <row r="245" ht="15.75" customHeight="1">
      <c r="A245" s="1"/>
      <c r="B245" s="1"/>
      <c r="C245" s="4"/>
      <c r="D245" s="4"/>
      <c r="E245" s="1"/>
      <c r="F245" s="1"/>
      <c r="G245" s="1"/>
      <c r="H245" s="8"/>
      <c r="I245" s="8"/>
      <c r="J245" s="8"/>
      <c r="K245" s="1"/>
      <c r="L245" s="1"/>
      <c r="M245" s="1"/>
      <c r="N245" s="1"/>
      <c r="O245" s="1"/>
      <c r="P245" s="1"/>
      <c r="Q245" s="1"/>
      <c r="R245" s="1"/>
      <c r="S245" s="1"/>
      <c r="T245" s="1"/>
      <c r="U245" s="1"/>
      <c r="V245" s="1"/>
      <c r="W245" s="1"/>
      <c r="X245" s="1"/>
      <c r="Y245" s="1"/>
      <c r="Z245" s="1"/>
      <c r="AA245" s="1"/>
      <c r="AB245" s="1"/>
      <c r="AC245" s="1"/>
      <c r="AD245" s="1"/>
      <c r="AE245" s="1"/>
      <c r="AF245" s="1"/>
    </row>
    <row r="246" ht="15.75" customHeight="1">
      <c r="A246" s="1"/>
      <c r="B246" s="1"/>
      <c r="C246" s="4"/>
      <c r="D246" s="4"/>
      <c r="E246" s="1"/>
      <c r="F246" s="1"/>
      <c r="G246" s="1"/>
      <c r="H246" s="8"/>
      <c r="I246" s="8"/>
      <c r="J246" s="8"/>
      <c r="K246" s="1"/>
      <c r="L246" s="1"/>
      <c r="M246" s="1"/>
      <c r="N246" s="1"/>
      <c r="O246" s="1"/>
      <c r="P246" s="1"/>
      <c r="Q246" s="1"/>
      <c r="R246" s="1"/>
      <c r="S246" s="1"/>
      <c r="T246" s="1"/>
      <c r="U246" s="1"/>
      <c r="V246" s="1"/>
      <c r="W246" s="1"/>
      <c r="X246" s="1"/>
      <c r="Y246" s="1"/>
      <c r="Z246" s="1"/>
      <c r="AA246" s="1"/>
      <c r="AB246" s="1"/>
      <c r="AC246" s="1"/>
      <c r="AD246" s="1"/>
      <c r="AE246" s="1"/>
      <c r="AF246" s="1"/>
    </row>
    <row r="247" ht="15.75" customHeight="1">
      <c r="A247" s="1"/>
      <c r="B247" s="1"/>
      <c r="C247" s="4"/>
      <c r="D247" s="4"/>
      <c r="E247" s="1"/>
      <c r="F247" s="1"/>
      <c r="G247" s="1"/>
      <c r="H247" s="8"/>
      <c r="I247" s="8"/>
      <c r="J247" s="8"/>
      <c r="K247" s="1"/>
      <c r="L247" s="1"/>
      <c r="M247" s="1"/>
      <c r="N247" s="1"/>
      <c r="O247" s="1"/>
      <c r="P247" s="1"/>
      <c r="Q247" s="1"/>
      <c r="R247" s="1"/>
      <c r="S247" s="1"/>
      <c r="T247" s="1"/>
      <c r="U247" s="1"/>
      <c r="V247" s="1"/>
      <c r="W247" s="1"/>
      <c r="X247" s="1"/>
      <c r="Y247" s="1"/>
      <c r="Z247" s="1"/>
      <c r="AA247" s="1"/>
      <c r="AB247" s="1"/>
      <c r="AC247" s="1"/>
      <c r="AD247" s="1"/>
      <c r="AE247" s="1"/>
      <c r="AF247" s="1"/>
    </row>
    <row r="248" ht="15.75" customHeight="1">
      <c r="A248" s="1"/>
      <c r="B248" s="1"/>
      <c r="C248" s="4"/>
      <c r="D248" s="4"/>
      <c r="E248" s="1"/>
      <c r="F248" s="1"/>
      <c r="G248" s="1"/>
      <c r="H248" s="8"/>
      <c r="I248" s="8"/>
      <c r="J248" s="8"/>
      <c r="K248" s="1"/>
      <c r="L248" s="1"/>
      <c r="M248" s="1"/>
      <c r="N248" s="1"/>
      <c r="O248" s="1"/>
      <c r="P248" s="1"/>
      <c r="Q248" s="1"/>
      <c r="R248" s="1"/>
      <c r="S248" s="1"/>
      <c r="T248" s="1"/>
      <c r="U248" s="1"/>
      <c r="V248" s="1"/>
      <c r="W248" s="1"/>
      <c r="X248" s="1"/>
      <c r="Y248" s="1"/>
      <c r="Z248" s="1"/>
      <c r="AA248" s="1"/>
      <c r="AB248" s="1"/>
      <c r="AC248" s="1"/>
      <c r="AD248" s="1"/>
      <c r="AE248" s="1"/>
      <c r="AF248" s="1"/>
    </row>
    <row r="249" ht="15.75" customHeight="1">
      <c r="A249" s="1"/>
      <c r="B249" s="1"/>
      <c r="C249" s="4"/>
      <c r="D249" s="4"/>
      <c r="E249" s="1"/>
      <c r="F249" s="1"/>
      <c r="G249" s="1"/>
      <c r="H249" s="8"/>
      <c r="I249" s="8"/>
      <c r="J249" s="8"/>
      <c r="K249" s="1"/>
      <c r="L249" s="1"/>
      <c r="M249" s="1"/>
      <c r="N249" s="1"/>
      <c r="O249" s="1"/>
      <c r="P249" s="1"/>
      <c r="Q249" s="1"/>
      <c r="R249" s="1"/>
      <c r="S249" s="1"/>
      <c r="T249" s="1"/>
      <c r="U249" s="1"/>
      <c r="V249" s="1"/>
      <c r="W249" s="1"/>
      <c r="X249" s="1"/>
      <c r="Y249" s="1"/>
      <c r="Z249" s="1"/>
      <c r="AA249" s="1"/>
      <c r="AB249" s="1"/>
      <c r="AC249" s="1"/>
      <c r="AD249" s="1"/>
      <c r="AE249" s="1"/>
      <c r="AF249" s="1"/>
    </row>
    <row r="250" ht="15.75" customHeight="1">
      <c r="A250" s="1"/>
      <c r="B250" s="1"/>
      <c r="C250" s="4"/>
      <c r="D250" s="4"/>
      <c r="E250" s="1"/>
      <c r="F250" s="1"/>
      <c r="G250" s="1"/>
      <c r="H250" s="8"/>
      <c r="I250" s="8"/>
      <c r="J250" s="8"/>
      <c r="K250" s="1"/>
      <c r="L250" s="1"/>
      <c r="M250" s="1"/>
      <c r="N250" s="1"/>
      <c r="O250" s="1"/>
      <c r="P250" s="1"/>
      <c r="Q250" s="1"/>
      <c r="R250" s="1"/>
      <c r="S250" s="1"/>
      <c r="T250" s="1"/>
      <c r="U250" s="1"/>
      <c r="V250" s="1"/>
      <c r="W250" s="1"/>
      <c r="X250" s="1"/>
      <c r="Y250" s="1"/>
      <c r="Z250" s="1"/>
      <c r="AA250" s="1"/>
      <c r="AB250" s="1"/>
      <c r="AC250" s="1"/>
      <c r="AD250" s="1"/>
      <c r="AE250" s="1"/>
      <c r="AF250" s="1"/>
    </row>
    <row r="251" ht="15.75" customHeight="1">
      <c r="A251" s="1"/>
      <c r="B251" s="1"/>
      <c r="C251" s="4"/>
      <c r="D251" s="4"/>
      <c r="E251" s="1"/>
      <c r="F251" s="1"/>
      <c r="G251" s="1"/>
      <c r="H251" s="8"/>
      <c r="I251" s="8"/>
      <c r="J251" s="8"/>
      <c r="K251" s="1"/>
      <c r="L251" s="1"/>
      <c r="M251" s="1"/>
      <c r="N251" s="1"/>
      <c r="O251" s="1"/>
      <c r="P251" s="1"/>
      <c r="Q251" s="1"/>
      <c r="R251" s="1"/>
      <c r="S251" s="1"/>
      <c r="T251" s="1"/>
      <c r="U251" s="1"/>
      <c r="V251" s="1"/>
      <c r="W251" s="1"/>
      <c r="X251" s="1"/>
      <c r="Y251" s="1"/>
      <c r="Z251" s="1"/>
      <c r="AA251" s="1"/>
      <c r="AB251" s="1"/>
      <c r="AC251" s="1"/>
      <c r="AD251" s="1"/>
      <c r="AE251" s="1"/>
      <c r="AF251" s="1"/>
    </row>
    <row r="252" ht="15.75" customHeight="1">
      <c r="A252" s="1"/>
      <c r="B252" s="1"/>
      <c r="C252" s="4"/>
      <c r="D252" s="4"/>
      <c r="E252" s="1"/>
      <c r="F252" s="1"/>
      <c r="G252" s="1"/>
      <c r="H252" s="8"/>
      <c r="I252" s="8"/>
      <c r="J252" s="8"/>
      <c r="K252" s="1"/>
      <c r="L252" s="1"/>
      <c r="M252" s="1"/>
      <c r="N252" s="1"/>
      <c r="O252" s="1"/>
      <c r="P252" s="1"/>
      <c r="Q252" s="1"/>
      <c r="R252" s="1"/>
      <c r="S252" s="1"/>
      <c r="T252" s="1"/>
      <c r="U252" s="1"/>
      <c r="V252" s="1"/>
      <c r="W252" s="1"/>
      <c r="X252" s="1"/>
      <c r="Y252" s="1"/>
      <c r="Z252" s="1"/>
      <c r="AA252" s="1"/>
      <c r="AB252" s="1"/>
      <c r="AC252" s="1"/>
      <c r="AD252" s="1"/>
      <c r="AE252" s="1"/>
      <c r="AF252" s="1"/>
    </row>
    <row r="253" ht="15.75" customHeight="1">
      <c r="A253" s="1"/>
      <c r="B253" s="1"/>
      <c r="C253" s="4"/>
      <c r="D253" s="4"/>
      <c r="E253" s="1"/>
      <c r="F253" s="1"/>
      <c r="G253" s="1"/>
      <c r="H253" s="8"/>
      <c r="I253" s="8"/>
      <c r="J253" s="8"/>
      <c r="K253" s="1"/>
      <c r="L253" s="1"/>
      <c r="M253" s="1"/>
      <c r="N253" s="1"/>
      <c r="O253" s="1"/>
      <c r="P253" s="1"/>
      <c r="Q253" s="1"/>
      <c r="R253" s="1"/>
      <c r="S253" s="1"/>
      <c r="T253" s="1"/>
      <c r="U253" s="1"/>
      <c r="V253" s="1"/>
      <c r="W253" s="1"/>
      <c r="X253" s="1"/>
      <c r="Y253" s="1"/>
      <c r="Z253" s="1"/>
      <c r="AA253" s="1"/>
      <c r="AB253" s="1"/>
      <c r="AC253" s="1"/>
      <c r="AD253" s="1"/>
      <c r="AE253" s="1"/>
      <c r="AF253" s="1"/>
    </row>
    <row r="254" ht="15.75" customHeight="1">
      <c r="A254" s="1"/>
      <c r="B254" s="1"/>
      <c r="C254" s="4"/>
      <c r="D254" s="4"/>
      <c r="E254" s="1"/>
      <c r="F254" s="1"/>
      <c r="G254" s="1"/>
      <c r="H254" s="8"/>
      <c r="I254" s="8"/>
      <c r="J254" s="8"/>
      <c r="K254" s="1"/>
      <c r="L254" s="1"/>
      <c r="M254" s="1"/>
      <c r="N254" s="1"/>
      <c r="O254" s="1"/>
      <c r="P254" s="1"/>
      <c r="Q254" s="1"/>
      <c r="R254" s="1"/>
      <c r="S254" s="1"/>
      <c r="T254" s="1"/>
      <c r="U254" s="1"/>
      <c r="V254" s="1"/>
      <c r="W254" s="1"/>
      <c r="X254" s="1"/>
      <c r="Y254" s="1"/>
      <c r="Z254" s="1"/>
      <c r="AA254" s="1"/>
      <c r="AB254" s="1"/>
      <c r="AC254" s="1"/>
      <c r="AD254" s="1"/>
      <c r="AE254" s="1"/>
      <c r="AF254" s="1"/>
    </row>
    <row r="255" ht="15.75" customHeight="1">
      <c r="A255" s="1"/>
      <c r="B255" s="1"/>
      <c r="C255" s="4"/>
      <c r="D255" s="4"/>
      <c r="E255" s="1"/>
      <c r="F255" s="1"/>
      <c r="G255" s="1"/>
      <c r="H255" s="8"/>
      <c r="I255" s="8"/>
      <c r="J255" s="8"/>
      <c r="K255" s="1"/>
      <c r="L255" s="1"/>
      <c r="M255" s="1"/>
      <c r="N255" s="1"/>
      <c r="O255" s="1"/>
      <c r="P255" s="1"/>
      <c r="Q255" s="1"/>
      <c r="R255" s="1"/>
      <c r="S255" s="1"/>
      <c r="T255" s="1"/>
      <c r="U255" s="1"/>
      <c r="V255" s="1"/>
      <c r="W255" s="1"/>
      <c r="X255" s="1"/>
      <c r="Y255" s="1"/>
      <c r="Z255" s="1"/>
      <c r="AA255" s="1"/>
      <c r="AB255" s="1"/>
      <c r="AC255" s="1"/>
      <c r="AD255" s="1"/>
      <c r="AE255" s="1"/>
      <c r="AF255" s="1"/>
    </row>
    <row r="256" ht="15.75" customHeight="1">
      <c r="A256" s="1"/>
      <c r="B256" s="1"/>
      <c r="C256" s="4"/>
      <c r="D256" s="4"/>
      <c r="E256" s="1"/>
      <c r="F256" s="1"/>
      <c r="G256" s="1"/>
      <c r="H256" s="8"/>
      <c r="I256" s="8"/>
      <c r="J256" s="8"/>
      <c r="K256" s="1"/>
      <c r="L256" s="1"/>
      <c r="M256" s="1"/>
      <c r="N256" s="1"/>
      <c r="O256" s="1"/>
      <c r="P256" s="1"/>
      <c r="Q256" s="1"/>
      <c r="R256" s="1"/>
      <c r="S256" s="1"/>
      <c r="T256" s="1"/>
      <c r="U256" s="1"/>
      <c r="V256" s="1"/>
      <c r="W256" s="1"/>
      <c r="X256" s="1"/>
      <c r="Y256" s="1"/>
      <c r="Z256" s="1"/>
      <c r="AA256" s="1"/>
      <c r="AB256" s="1"/>
      <c r="AC256" s="1"/>
      <c r="AD256" s="1"/>
      <c r="AE256" s="1"/>
      <c r="AF256" s="1"/>
    </row>
    <row r="257" ht="15.75" customHeight="1">
      <c r="A257" s="1"/>
      <c r="B257" s="1"/>
      <c r="C257" s="4"/>
      <c r="D257" s="4"/>
      <c r="E257" s="1"/>
      <c r="F257" s="1"/>
      <c r="G257" s="1"/>
      <c r="H257" s="8"/>
      <c r="I257" s="8"/>
      <c r="J257" s="8"/>
      <c r="K257" s="1"/>
      <c r="L257" s="1"/>
      <c r="M257" s="1"/>
      <c r="N257" s="1"/>
      <c r="O257" s="1"/>
      <c r="P257" s="1"/>
      <c r="Q257" s="1"/>
      <c r="R257" s="1"/>
      <c r="S257" s="1"/>
      <c r="T257" s="1"/>
      <c r="U257" s="1"/>
      <c r="V257" s="1"/>
      <c r="W257" s="1"/>
      <c r="X257" s="1"/>
      <c r="Y257" s="1"/>
      <c r="Z257" s="1"/>
      <c r="AA257" s="1"/>
      <c r="AB257" s="1"/>
      <c r="AC257" s="1"/>
      <c r="AD257" s="1"/>
      <c r="AE257" s="1"/>
      <c r="AF257" s="1"/>
    </row>
    <row r="258" ht="15.75" customHeight="1">
      <c r="A258" s="1"/>
      <c r="B258" s="1"/>
      <c r="C258" s="4"/>
      <c r="D258" s="4"/>
      <c r="E258" s="1"/>
      <c r="F258" s="1"/>
      <c r="G258" s="1"/>
      <c r="H258" s="8"/>
      <c r="I258" s="8"/>
      <c r="J258" s="8"/>
      <c r="K258" s="1"/>
      <c r="L258" s="1"/>
      <c r="M258" s="1"/>
      <c r="N258" s="1"/>
      <c r="O258" s="1"/>
      <c r="P258" s="1"/>
      <c r="Q258" s="1"/>
      <c r="R258" s="1"/>
      <c r="S258" s="1"/>
      <c r="T258" s="1"/>
      <c r="U258" s="1"/>
      <c r="V258" s="1"/>
      <c r="W258" s="1"/>
      <c r="X258" s="1"/>
      <c r="Y258" s="1"/>
      <c r="Z258" s="1"/>
      <c r="AA258" s="1"/>
      <c r="AB258" s="1"/>
      <c r="AC258" s="1"/>
      <c r="AD258" s="1"/>
      <c r="AE258" s="1"/>
      <c r="AF258" s="1"/>
    </row>
    <row r="259" ht="15.75" customHeight="1">
      <c r="A259" s="1"/>
      <c r="B259" s="1"/>
      <c r="C259" s="4"/>
      <c r="D259" s="4"/>
      <c r="E259" s="1"/>
      <c r="F259" s="1"/>
      <c r="G259" s="1"/>
      <c r="H259" s="8"/>
      <c r="I259" s="8"/>
      <c r="J259" s="8"/>
      <c r="K259" s="1"/>
      <c r="L259" s="1"/>
      <c r="M259" s="1"/>
      <c r="N259" s="1"/>
      <c r="O259" s="1"/>
      <c r="P259" s="1"/>
      <c r="Q259" s="1"/>
      <c r="R259" s="1"/>
      <c r="S259" s="1"/>
      <c r="T259" s="1"/>
      <c r="U259" s="1"/>
      <c r="V259" s="1"/>
      <c r="W259" s="1"/>
      <c r="X259" s="1"/>
      <c r="Y259" s="1"/>
      <c r="Z259" s="1"/>
      <c r="AA259" s="1"/>
      <c r="AB259" s="1"/>
      <c r="AC259" s="1"/>
      <c r="AD259" s="1"/>
      <c r="AE259" s="1"/>
      <c r="AF259" s="1"/>
    </row>
    <row r="260" ht="15.75" customHeight="1">
      <c r="A260" s="1"/>
      <c r="B260" s="1"/>
      <c r="C260" s="4"/>
      <c r="D260" s="4"/>
      <c r="E260" s="1"/>
      <c r="F260" s="1"/>
      <c r="G260" s="1"/>
      <c r="H260" s="8"/>
      <c r="I260" s="8"/>
      <c r="J260" s="8"/>
      <c r="K260" s="1"/>
      <c r="L260" s="1"/>
      <c r="M260" s="1"/>
      <c r="N260" s="1"/>
      <c r="O260" s="1"/>
      <c r="P260" s="1"/>
      <c r="Q260" s="1"/>
      <c r="R260" s="1"/>
      <c r="S260" s="1"/>
      <c r="T260" s="1"/>
      <c r="U260" s="1"/>
      <c r="V260" s="1"/>
      <c r="W260" s="1"/>
      <c r="X260" s="1"/>
      <c r="Y260" s="1"/>
      <c r="Z260" s="1"/>
      <c r="AA260" s="1"/>
      <c r="AB260" s="1"/>
      <c r="AC260" s="1"/>
      <c r="AD260" s="1"/>
      <c r="AE260" s="1"/>
      <c r="AF260" s="1"/>
    </row>
    <row r="261" ht="15.75" customHeight="1">
      <c r="A261" s="1"/>
      <c r="B261" s="1"/>
      <c r="C261" s="4"/>
      <c r="D261" s="4"/>
      <c r="E261" s="1"/>
      <c r="F261" s="1"/>
      <c r="G261" s="1"/>
      <c r="H261" s="8"/>
      <c r="I261" s="8"/>
      <c r="J261" s="8"/>
      <c r="K261" s="1"/>
      <c r="L261" s="1"/>
      <c r="M261" s="1"/>
      <c r="N261" s="1"/>
      <c r="O261" s="1"/>
      <c r="P261" s="1"/>
      <c r="Q261" s="1"/>
      <c r="R261" s="1"/>
      <c r="S261" s="1"/>
      <c r="T261" s="1"/>
      <c r="U261" s="1"/>
      <c r="V261" s="1"/>
      <c r="W261" s="1"/>
      <c r="X261" s="1"/>
      <c r="Y261" s="1"/>
      <c r="Z261" s="1"/>
      <c r="AA261" s="1"/>
      <c r="AB261" s="1"/>
      <c r="AC261" s="1"/>
      <c r="AD261" s="1"/>
      <c r="AE261" s="1"/>
      <c r="AF261" s="1"/>
    </row>
    <row r="262" ht="15.75" customHeight="1">
      <c r="A262" s="1"/>
      <c r="B262" s="1"/>
      <c r="C262" s="4"/>
      <c r="D262" s="4"/>
      <c r="E262" s="1"/>
      <c r="F262" s="1"/>
      <c r="G262" s="1"/>
      <c r="H262" s="8"/>
      <c r="I262" s="8"/>
      <c r="J262" s="8"/>
      <c r="K262" s="1"/>
      <c r="L262" s="1"/>
      <c r="M262" s="1"/>
      <c r="N262" s="1"/>
      <c r="O262" s="1"/>
      <c r="P262" s="1"/>
      <c r="Q262" s="1"/>
      <c r="R262" s="1"/>
      <c r="S262" s="1"/>
      <c r="T262" s="1"/>
      <c r="U262" s="1"/>
      <c r="V262" s="1"/>
      <c r="W262" s="1"/>
      <c r="X262" s="1"/>
      <c r="Y262" s="1"/>
      <c r="Z262" s="1"/>
      <c r="AA262" s="1"/>
      <c r="AB262" s="1"/>
      <c r="AC262" s="1"/>
      <c r="AD262" s="1"/>
      <c r="AE262" s="1"/>
      <c r="AF262" s="1"/>
    </row>
    <row r="263" ht="15.75" customHeight="1">
      <c r="A263" s="1"/>
      <c r="B263" s="1"/>
      <c r="C263" s="4"/>
      <c r="D263" s="4"/>
      <c r="E263" s="1"/>
      <c r="F263" s="1"/>
      <c r="G263" s="1"/>
      <c r="H263" s="8"/>
      <c r="I263" s="8"/>
      <c r="J263" s="8"/>
      <c r="K263" s="1"/>
      <c r="L263" s="1"/>
      <c r="M263" s="1"/>
      <c r="N263" s="1"/>
      <c r="O263" s="1"/>
      <c r="P263" s="1"/>
      <c r="Q263" s="1"/>
      <c r="R263" s="1"/>
      <c r="S263" s="1"/>
      <c r="T263" s="1"/>
      <c r="U263" s="1"/>
      <c r="V263" s="1"/>
      <c r="W263" s="1"/>
      <c r="X263" s="1"/>
      <c r="Y263" s="1"/>
      <c r="Z263" s="1"/>
      <c r="AA263" s="1"/>
      <c r="AB263" s="1"/>
      <c r="AC263" s="1"/>
      <c r="AD263" s="1"/>
      <c r="AE263" s="1"/>
      <c r="AF263" s="1"/>
    </row>
    <row r="264" ht="15.75" customHeight="1">
      <c r="A264" s="1"/>
      <c r="B264" s="1"/>
      <c r="C264" s="4"/>
      <c r="D264" s="4"/>
      <c r="E264" s="1"/>
      <c r="F264" s="1"/>
      <c r="G264" s="1"/>
      <c r="H264" s="8"/>
      <c r="I264" s="8"/>
      <c r="J264" s="8"/>
      <c r="K264" s="1"/>
      <c r="L264" s="1"/>
      <c r="M264" s="1"/>
      <c r="N264" s="1"/>
      <c r="O264" s="1"/>
      <c r="P264" s="1"/>
      <c r="Q264" s="1"/>
      <c r="R264" s="1"/>
      <c r="S264" s="1"/>
      <c r="T264" s="1"/>
      <c r="U264" s="1"/>
      <c r="V264" s="1"/>
      <c r="W264" s="1"/>
      <c r="X264" s="1"/>
      <c r="Y264" s="1"/>
      <c r="Z264" s="1"/>
      <c r="AA264" s="1"/>
      <c r="AB264" s="1"/>
      <c r="AC264" s="1"/>
      <c r="AD264" s="1"/>
      <c r="AE264" s="1"/>
      <c r="AF264" s="1"/>
    </row>
    <row r="265" ht="15.75" customHeight="1">
      <c r="A265" s="1"/>
      <c r="B265" s="1"/>
      <c r="C265" s="4"/>
      <c r="D265" s="4"/>
      <c r="E265" s="1"/>
      <c r="F265" s="1"/>
      <c r="G265" s="1"/>
      <c r="H265" s="8"/>
      <c r="I265" s="8"/>
      <c r="J265" s="8"/>
      <c r="K265" s="1"/>
      <c r="L265" s="1"/>
      <c r="M265" s="1"/>
      <c r="N265" s="1"/>
      <c r="O265" s="1"/>
      <c r="P265" s="1"/>
      <c r="Q265" s="1"/>
      <c r="R265" s="1"/>
      <c r="S265" s="1"/>
      <c r="T265" s="1"/>
      <c r="U265" s="1"/>
      <c r="V265" s="1"/>
      <c r="W265" s="1"/>
      <c r="X265" s="1"/>
      <c r="Y265" s="1"/>
      <c r="Z265" s="1"/>
      <c r="AA265" s="1"/>
      <c r="AB265" s="1"/>
      <c r="AC265" s="1"/>
      <c r="AD265" s="1"/>
      <c r="AE265" s="1"/>
      <c r="AF265" s="1"/>
    </row>
    <row r="266" ht="15.75" customHeight="1">
      <c r="A266" s="1"/>
      <c r="B266" s="1"/>
      <c r="C266" s="4"/>
      <c r="D266" s="4"/>
      <c r="E266" s="1"/>
      <c r="F266" s="1"/>
      <c r="G266" s="1"/>
      <c r="H266" s="8"/>
      <c r="I266" s="8"/>
      <c r="J266" s="8"/>
      <c r="K266" s="1"/>
      <c r="L266" s="1"/>
      <c r="M266" s="1"/>
      <c r="N266" s="1"/>
      <c r="O266" s="1"/>
      <c r="P266" s="1"/>
      <c r="Q266" s="1"/>
      <c r="R266" s="1"/>
      <c r="S266" s="1"/>
      <c r="T266" s="1"/>
      <c r="U266" s="1"/>
      <c r="V266" s="1"/>
      <c r="W266" s="1"/>
      <c r="X266" s="1"/>
      <c r="Y266" s="1"/>
      <c r="Z266" s="1"/>
      <c r="AA266" s="1"/>
      <c r="AB266" s="1"/>
      <c r="AC266" s="1"/>
      <c r="AD266" s="1"/>
      <c r="AE266" s="1"/>
      <c r="AF266" s="1"/>
    </row>
    <row r="267" ht="15.75" customHeight="1">
      <c r="A267" s="1"/>
      <c r="B267" s="1"/>
      <c r="C267" s="4"/>
      <c r="D267" s="4"/>
      <c r="E267" s="1"/>
      <c r="F267" s="1"/>
      <c r="G267" s="1"/>
      <c r="H267" s="8"/>
      <c r="I267" s="8"/>
      <c r="J267" s="8"/>
      <c r="K267" s="1"/>
      <c r="L267" s="1"/>
      <c r="M267" s="1"/>
      <c r="N267" s="1"/>
      <c r="O267" s="1"/>
      <c r="P267" s="1"/>
      <c r="Q267" s="1"/>
      <c r="R267" s="1"/>
      <c r="S267" s="1"/>
      <c r="T267" s="1"/>
      <c r="U267" s="1"/>
      <c r="V267" s="1"/>
      <c r="W267" s="1"/>
      <c r="X267" s="1"/>
      <c r="Y267" s="1"/>
      <c r="Z267" s="1"/>
      <c r="AA267" s="1"/>
      <c r="AB267" s="1"/>
      <c r="AC267" s="1"/>
      <c r="AD267" s="1"/>
      <c r="AE267" s="1"/>
      <c r="AF267" s="1"/>
    </row>
    <row r="268" ht="15.75" customHeight="1">
      <c r="A268" s="1"/>
      <c r="B268" s="1"/>
      <c r="C268" s="4"/>
      <c r="D268" s="4"/>
      <c r="E268" s="1"/>
      <c r="F268" s="1"/>
      <c r="G268" s="1"/>
      <c r="H268" s="8"/>
      <c r="I268" s="8"/>
      <c r="J268" s="8"/>
      <c r="K268" s="1"/>
      <c r="L268" s="1"/>
      <c r="M268" s="1"/>
      <c r="N268" s="1"/>
      <c r="O268" s="1"/>
      <c r="P268" s="1"/>
      <c r="Q268" s="1"/>
      <c r="R268" s="1"/>
      <c r="S268" s="1"/>
      <c r="T268" s="1"/>
      <c r="U268" s="1"/>
      <c r="V268" s="1"/>
      <c r="W268" s="1"/>
      <c r="X268" s="1"/>
      <c r="Y268" s="1"/>
      <c r="Z268" s="1"/>
      <c r="AA268" s="1"/>
      <c r="AB268" s="1"/>
      <c r="AC268" s="1"/>
      <c r="AD268" s="1"/>
      <c r="AE268" s="1"/>
      <c r="AF268" s="1"/>
    </row>
    <row r="269" ht="15.75" customHeight="1">
      <c r="A269" s="1"/>
      <c r="B269" s="1"/>
      <c r="C269" s="4"/>
      <c r="D269" s="4"/>
      <c r="E269" s="1"/>
      <c r="F269" s="1"/>
      <c r="G269" s="1"/>
      <c r="H269" s="8"/>
      <c r="I269" s="8"/>
      <c r="J269" s="8"/>
      <c r="K269" s="1"/>
      <c r="L269" s="1"/>
      <c r="M269" s="1"/>
      <c r="N269" s="1"/>
      <c r="O269" s="1"/>
      <c r="P269" s="1"/>
      <c r="Q269" s="1"/>
      <c r="R269" s="1"/>
      <c r="S269" s="1"/>
      <c r="T269" s="1"/>
      <c r="U269" s="1"/>
      <c r="V269" s="1"/>
      <c r="W269" s="1"/>
      <c r="X269" s="1"/>
      <c r="Y269" s="1"/>
      <c r="Z269" s="1"/>
      <c r="AA269" s="1"/>
      <c r="AB269" s="1"/>
      <c r="AC269" s="1"/>
      <c r="AD269" s="1"/>
      <c r="AE269" s="1"/>
      <c r="AF269" s="1"/>
    </row>
    <row r="270" ht="15.75" customHeight="1">
      <c r="A270" s="1"/>
      <c r="B270" s="1"/>
      <c r="C270" s="4"/>
      <c r="D270" s="4"/>
      <c r="E270" s="1"/>
      <c r="F270" s="1"/>
      <c r="G270" s="1"/>
      <c r="H270" s="8"/>
      <c r="I270" s="8"/>
      <c r="J270" s="8"/>
      <c r="K270" s="1"/>
      <c r="L270" s="1"/>
      <c r="M270" s="1"/>
      <c r="N270" s="1"/>
      <c r="O270" s="1"/>
      <c r="P270" s="1"/>
      <c r="Q270" s="1"/>
      <c r="R270" s="1"/>
      <c r="S270" s="1"/>
      <c r="T270" s="1"/>
      <c r="U270" s="1"/>
      <c r="V270" s="1"/>
      <c r="W270" s="1"/>
      <c r="X270" s="1"/>
      <c r="Y270" s="1"/>
      <c r="Z270" s="1"/>
      <c r="AA270" s="1"/>
      <c r="AB270" s="1"/>
      <c r="AC270" s="1"/>
      <c r="AD270" s="1"/>
      <c r="AE270" s="1"/>
      <c r="AF270" s="1"/>
    </row>
    <row r="271" ht="15.75" customHeight="1">
      <c r="A271" s="1"/>
      <c r="B271" s="1"/>
      <c r="C271" s="4"/>
      <c r="D271" s="4"/>
      <c r="E271" s="1"/>
      <c r="F271" s="1"/>
      <c r="G271" s="1"/>
      <c r="H271" s="8"/>
      <c r="I271" s="8"/>
      <c r="J271" s="8"/>
      <c r="K271" s="1"/>
      <c r="L271" s="1"/>
      <c r="M271" s="1"/>
      <c r="N271" s="1"/>
      <c r="O271" s="1"/>
      <c r="P271" s="1"/>
      <c r="Q271" s="1"/>
      <c r="R271" s="1"/>
      <c r="S271" s="1"/>
      <c r="T271" s="1"/>
      <c r="U271" s="1"/>
      <c r="V271" s="1"/>
      <c r="W271" s="1"/>
      <c r="X271" s="1"/>
      <c r="Y271" s="1"/>
      <c r="Z271" s="1"/>
      <c r="AA271" s="1"/>
      <c r="AB271" s="1"/>
      <c r="AC271" s="1"/>
      <c r="AD271" s="1"/>
      <c r="AE271" s="1"/>
      <c r="AF271" s="1"/>
    </row>
    <row r="272" ht="15.75" customHeight="1">
      <c r="A272" s="1"/>
      <c r="B272" s="1"/>
      <c r="C272" s="4"/>
      <c r="D272" s="4"/>
      <c r="E272" s="1"/>
      <c r="F272" s="1"/>
      <c r="G272" s="1"/>
      <c r="H272" s="8"/>
      <c r="I272" s="8"/>
      <c r="J272" s="8"/>
      <c r="K272" s="1"/>
      <c r="L272" s="1"/>
      <c r="M272" s="1"/>
      <c r="N272" s="1"/>
      <c r="O272" s="1"/>
      <c r="P272" s="1"/>
      <c r="Q272" s="1"/>
      <c r="R272" s="1"/>
      <c r="S272" s="1"/>
      <c r="T272" s="1"/>
      <c r="U272" s="1"/>
      <c r="V272" s="1"/>
      <c r="W272" s="1"/>
      <c r="X272" s="1"/>
      <c r="Y272" s="1"/>
      <c r="Z272" s="1"/>
      <c r="AA272" s="1"/>
      <c r="AB272" s="1"/>
      <c r="AC272" s="1"/>
      <c r="AD272" s="1"/>
      <c r="AE272" s="1"/>
      <c r="AF272" s="1"/>
    </row>
    <row r="273" ht="15.75" customHeight="1">
      <c r="A273" s="1"/>
      <c r="B273" s="1"/>
      <c r="C273" s="4"/>
      <c r="D273" s="4"/>
      <c r="E273" s="1"/>
      <c r="F273" s="1"/>
      <c r="G273" s="1"/>
      <c r="H273" s="8"/>
      <c r="I273" s="8"/>
      <c r="J273" s="8"/>
      <c r="K273" s="1"/>
      <c r="L273" s="1"/>
      <c r="M273" s="1"/>
      <c r="N273" s="1"/>
      <c r="O273" s="1"/>
      <c r="P273" s="1"/>
      <c r="Q273" s="1"/>
      <c r="R273" s="1"/>
      <c r="S273" s="1"/>
      <c r="T273" s="1"/>
      <c r="U273" s="1"/>
      <c r="V273" s="1"/>
      <c r="W273" s="1"/>
      <c r="X273" s="1"/>
      <c r="Y273" s="1"/>
      <c r="Z273" s="1"/>
      <c r="AA273" s="1"/>
      <c r="AB273" s="1"/>
      <c r="AC273" s="1"/>
      <c r="AD273" s="1"/>
      <c r="AE273" s="1"/>
      <c r="AF273" s="1"/>
    </row>
    <row r="274" ht="15.75" customHeight="1">
      <c r="A274" s="1"/>
      <c r="B274" s="1"/>
      <c r="C274" s="4"/>
      <c r="D274" s="4"/>
      <c r="E274" s="1"/>
      <c r="F274" s="1"/>
      <c r="G274" s="1"/>
      <c r="H274" s="8"/>
      <c r="I274" s="8"/>
      <c r="J274" s="8"/>
      <c r="K274" s="1"/>
      <c r="L274" s="1"/>
      <c r="M274" s="1"/>
      <c r="N274" s="1"/>
      <c r="O274" s="1"/>
      <c r="P274" s="1"/>
      <c r="Q274" s="1"/>
      <c r="R274" s="1"/>
      <c r="S274" s="1"/>
      <c r="T274" s="1"/>
      <c r="U274" s="1"/>
      <c r="V274" s="1"/>
      <c r="W274" s="1"/>
      <c r="X274" s="1"/>
      <c r="Y274" s="1"/>
      <c r="Z274" s="1"/>
      <c r="AA274" s="1"/>
      <c r="AB274" s="1"/>
      <c r="AC274" s="1"/>
      <c r="AD274" s="1"/>
      <c r="AE274" s="1"/>
      <c r="AF274" s="1"/>
    </row>
    <row r="275" ht="15.75" customHeight="1">
      <c r="A275" s="1"/>
      <c r="B275" s="1"/>
      <c r="C275" s="4"/>
      <c r="D275" s="4"/>
      <c r="E275" s="1"/>
      <c r="F275" s="1"/>
      <c r="G275" s="1"/>
      <c r="H275" s="8"/>
      <c r="I275" s="8"/>
      <c r="J275" s="8"/>
      <c r="K275" s="1"/>
      <c r="L275" s="1"/>
      <c r="M275" s="1"/>
      <c r="N275" s="1"/>
      <c r="O275" s="1"/>
      <c r="P275" s="1"/>
      <c r="Q275" s="1"/>
      <c r="R275" s="1"/>
      <c r="S275" s="1"/>
      <c r="T275" s="1"/>
      <c r="U275" s="1"/>
      <c r="V275" s="1"/>
      <c r="W275" s="1"/>
      <c r="X275" s="1"/>
      <c r="Y275" s="1"/>
      <c r="Z275" s="1"/>
      <c r="AA275" s="1"/>
      <c r="AB275" s="1"/>
      <c r="AC275" s="1"/>
      <c r="AD275" s="1"/>
      <c r="AE275" s="1"/>
      <c r="AF275" s="1"/>
    </row>
    <row r="276" ht="15.75" customHeight="1">
      <c r="A276" s="1"/>
      <c r="B276" s="1"/>
      <c r="C276" s="4"/>
      <c r="D276" s="4"/>
      <c r="E276" s="1"/>
      <c r="F276" s="1"/>
      <c r="G276" s="1"/>
      <c r="H276" s="8"/>
      <c r="I276" s="8"/>
      <c r="J276" s="8"/>
      <c r="K276" s="1"/>
      <c r="L276" s="1"/>
      <c r="M276" s="1"/>
      <c r="N276" s="1"/>
      <c r="O276" s="1"/>
      <c r="P276" s="1"/>
      <c r="Q276" s="1"/>
      <c r="R276" s="1"/>
      <c r="S276" s="1"/>
      <c r="T276" s="1"/>
      <c r="U276" s="1"/>
      <c r="V276" s="1"/>
      <c r="W276" s="1"/>
      <c r="X276" s="1"/>
      <c r="Y276" s="1"/>
      <c r="Z276" s="1"/>
      <c r="AA276" s="1"/>
      <c r="AB276" s="1"/>
      <c r="AC276" s="1"/>
      <c r="AD276" s="1"/>
      <c r="AE276" s="1"/>
      <c r="AF276" s="1"/>
    </row>
    <row r="277" ht="15.75" customHeight="1">
      <c r="A277" s="1"/>
      <c r="B277" s="1"/>
      <c r="C277" s="4"/>
      <c r="D277" s="4"/>
      <c r="E277" s="1"/>
      <c r="F277" s="1"/>
      <c r="G277" s="1"/>
      <c r="H277" s="8"/>
      <c r="I277" s="8"/>
      <c r="J277" s="8"/>
      <c r="K277" s="1"/>
      <c r="L277" s="1"/>
      <c r="M277" s="1"/>
      <c r="N277" s="1"/>
      <c r="O277" s="1"/>
      <c r="P277" s="1"/>
      <c r="Q277" s="1"/>
      <c r="R277" s="1"/>
      <c r="S277" s="1"/>
      <c r="T277" s="1"/>
      <c r="U277" s="1"/>
      <c r="V277" s="1"/>
      <c r="W277" s="1"/>
      <c r="X277" s="1"/>
      <c r="Y277" s="1"/>
      <c r="Z277" s="1"/>
      <c r="AA277" s="1"/>
      <c r="AB277" s="1"/>
      <c r="AC277" s="1"/>
      <c r="AD277" s="1"/>
      <c r="AE277" s="1"/>
      <c r="AF277" s="1"/>
    </row>
    <row r="278" ht="15.75" customHeight="1">
      <c r="A278" s="1"/>
      <c r="B278" s="1"/>
      <c r="C278" s="4"/>
      <c r="D278" s="4"/>
      <c r="E278" s="1"/>
      <c r="F278" s="1"/>
      <c r="G278" s="1"/>
      <c r="H278" s="8"/>
      <c r="I278" s="8"/>
      <c r="J278" s="8"/>
      <c r="K278" s="1"/>
      <c r="L278" s="1"/>
      <c r="M278" s="1"/>
      <c r="N278" s="1"/>
      <c r="O278" s="1"/>
      <c r="P278" s="1"/>
      <c r="Q278" s="1"/>
      <c r="R278" s="1"/>
      <c r="S278" s="1"/>
      <c r="T278" s="1"/>
      <c r="U278" s="1"/>
      <c r="V278" s="1"/>
      <c r="W278" s="1"/>
      <c r="X278" s="1"/>
      <c r="Y278" s="1"/>
      <c r="Z278" s="1"/>
      <c r="AA278" s="1"/>
      <c r="AB278" s="1"/>
      <c r="AC278" s="1"/>
      <c r="AD278" s="1"/>
      <c r="AE278" s="1"/>
      <c r="AF278" s="1"/>
    </row>
    <row r="279" ht="15.75" customHeight="1">
      <c r="A279" s="1"/>
      <c r="B279" s="1"/>
      <c r="C279" s="4"/>
      <c r="D279" s="4"/>
      <c r="E279" s="1"/>
      <c r="F279" s="1"/>
      <c r="G279" s="1"/>
      <c r="H279" s="8"/>
      <c r="I279" s="8"/>
      <c r="J279" s="8"/>
      <c r="K279" s="1"/>
      <c r="L279" s="1"/>
      <c r="M279" s="1"/>
      <c r="N279" s="1"/>
      <c r="O279" s="1"/>
      <c r="P279" s="1"/>
      <c r="Q279" s="1"/>
      <c r="R279" s="1"/>
      <c r="S279" s="1"/>
      <c r="T279" s="1"/>
      <c r="U279" s="1"/>
      <c r="V279" s="1"/>
      <c r="W279" s="1"/>
      <c r="X279" s="1"/>
      <c r="Y279" s="1"/>
      <c r="Z279" s="1"/>
      <c r="AA279" s="1"/>
      <c r="AB279" s="1"/>
      <c r="AC279" s="1"/>
      <c r="AD279" s="1"/>
      <c r="AE279" s="1"/>
      <c r="AF279" s="1"/>
    </row>
    <row r="280" ht="15.75" customHeight="1">
      <c r="A280" s="1"/>
      <c r="B280" s="1"/>
      <c r="C280" s="4"/>
      <c r="D280" s="4"/>
      <c r="E280" s="1"/>
      <c r="F280" s="1"/>
      <c r="G280" s="1"/>
      <c r="H280" s="8"/>
      <c r="I280" s="8"/>
      <c r="J280" s="8"/>
      <c r="K280" s="1"/>
      <c r="L280" s="1"/>
      <c r="M280" s="1"/>
      <c r="N280" s="1"/>
      <c r="O280" s="1"/>
      <c r="P280" s="1"/>
      <c r="Q280" s="1"/>
      <c r="R280" s="1"/>
      <c r="S280" s="1"/>
      <c r="T280" s="1"/>
      <c r="U280" s="1"/>
      <c r="V280" s="1"/>
      <c r="W280" s="1"/>
      <c r="X280" s="1"/>
      <c r="Y280" s="1"/>
      <c r="Z280" s="1"/>
      <c r="AA280" s="1"/>
      <c r="AB280" s="1"/>
      <c r="AC280" s="1"/>
      <c r="AD280" s="1"/>
      <c r="AE280" s="1"/>
      <c r="AF280" s="1"/>
    </row>
    <row r="281" ht="15.75" customHeight="1">
      <c r="A281" s="1"/>
      <c r="B281" s="1"/>
      <c r="C281" s="4"/>
      <c r="D281" s="4"/>
      <c r="E281" s="1"/>
      <c r="F281" s="1"/>
      <c r="G281" s="1"/>
      <c r="H281" s="8"/>
      <c r="I281" s="8"/>
      <c r="J281" s="8"/>
      <c r="K281" s="1"/>
      <c r="L281" s="1"/>
      <c r="M281" s="1"/>
      <c r="N281" s="1"/>
      <c r="O281" s="1"/>
      <c r="P281" s="1"/>
      <c r="Q281" s="1"/>
      <c r="R281" s="1"/>
      <c r="S281" s="1"/>
      <c r="T281" s="1"/>
      <c r="U281" s="1"/>
      <c r="V281" s="1"/>
      <c r="W281" s="1"/>
      <c r="X281" s="1"/>
      <c r="Y281" s="1"/>
      <c r="Z281" s="1"/>
      <c r="AA281" s="1"/>
      <c r="AB281" s="1"/>
      <c r="AC281" s="1"/>
      <c r="AD281" s="1"/>
      <c r="AE281" s="1"/>
      <c r="AF281" s="1"/>
    </row>
    <row r="282" ht="15.75" customHeight="1">
      <c r="A282" s="1"/>
      <c r="B282" s="1"/>
      <c r="C282" s="4"/>
      <c r="D282" s="4"/>
      <c r="E282" s="1"/>
      <c r="F282" s="1"/>
      <c r="G282" s="1"/>
      <c r="H282" s="8"/>
      <c r="I282" s="8"/>
      <c r="J282" s="8"/>
      <c r="K282" s="1"/>
      <c r="L282" s="1"/>
      <c r="M282" s="1"/>
      <c r="N282" s="1"/>
      <c r="O282" s="1"/>
      <c r="P282" s="1"/>
      <c r="Q282" s="1"/>
      <c r="R282" s="1"/>
      <c r="S282" s="1"/>
      <c r="T282" s="1"/>
      <c r="U282" s="1"/>
      <c r="V282" s="1"/>
      <c r="W282" s="1"/>
      <c r="X282" s="1"/>
      <c r="Y282" s="1"/>
      <c r="Z282" s="1"/>
      <c r="AA282" s="1"/>
      <c r="AB282" s="1"/>
      <c r="AC282" s="1"/>
      <c r="AD282" s="1"/>
      <c r="AE282" s="1"/>
      <c r="AF282" s="1"/>
    </row>
    <row r="283" ht="15.75" customHeight="1">
      <c r="A283" s="1"/>
      <c r="B283" s="1"/>
      <c r="C283" s="4"/>
      <c r="D283" s="4"/>
      <c r="E283" s="1"/>
      <c r="F283" s="1"/>
      <c r="G283" s="1"/>
      <c r="H283" s="8"/>
      <c r="I283" s="8"/>
      <c r="J283" s="8"/>
      <c r="K283" s="1"/>
      <c r="L283" s="1"/>
      <c r="M283" s="1"/>
      <c r="N283" s="1"/>
      <c r="O283" s="1"/>
      <c r="P283" s="1"/>
      <c r="Q283" s="1"/>
      <c r="R283" s="1"/>
      <c r="S283" s="1"/>
      <c r="T283" s="1"/>
      <c r="U283" s="1"/>
      <c r="V283" s="1"/>
      <c r="W283" s="1"/>
      <c r="X283" s="1"/>
      <c r="Y283" s="1"/>
      <c r="Z283" s="1"/>
      <c r="AA283" s="1"/>
      <c r="AB283" s="1"/>
      <c r="AC283" s="1"/>
      <c r="AD283" s="1"/>
      <c r="AE283" s="1"/>
      <c r="AF283" s="1"/>
    </row>
    <row r="284" ht="15.75" customHeight="1">
      <c r="A284" s="1"/>
      <c r="B284" s="1"/>
      <c r="C284" s="4"/>
      <c r="D284" s="4"/>
      <c r="E284" s="1"/>
      <c r="F284" s="1"/>
      <c r="G284" s="1"/>
      <c r="H284" s="8"/>
      <c r="I284" s="8"/>
      <c r="J284" s="8"/>
      <c r="K284" s="1"/>
      <c r="L284" s="1"/>
      <c r="M284" s="1"/>
      <c r="N284" s="1"/>
      <c r="O284" s="1"/>
      <c r="P284" s="1"/>
      <c r="Q284" s="1"/>
      <c r="R284" s="1"/>
      <c r="S284" s="1"/>
      <c r="T284" s="1"/>
      <c r="U284" s="1"/>
      <c r="V284" s="1"/>
      <c r="W284" s="1"/>
      <c r="X284" s="1"/>
      <c r="Y284" s="1"/>
      <c r="Z284" s="1"/>
      <c r="AA284" s="1"/>
      <c r="AB284" s="1"/>
      <c r="AC284" s="1"/>
      <c r="AD284" s="1"/>
      <c r="AE284" s="1"/>
      <c r="AF284" s="1"/>
    </row>
    <row r="285" ht="15.75" customHeight="1">
      <c r="A285" s="1"/>
      <c r="B285" s="1"/>
      <c r="C285" s="4"/>
      <c r="D285" s="4"/>
      <c r="E285" s="1"/>
      <c r="F285" s="1"/>
      <c r="G285" s="1"/>
      <c r="H285" s="8"/>
      <c r="I285" s="8"/>
      <c r="J285" s="8"/>
      <c r="K285" s="1"/>
      <c r="L285" s="1"/>
      <c r="M285" s="1"/>
      <c r="N285" s="1"/>
      <c r="O285" s="1"/>
      <c r="P285" s="1"/>
      <c r="Q285" s="1"/>
      <c r="R285" s="1"/>
      <c r="S285" s="1"/>
      <c r="T285" s="1"/>
      <c r="U285" s="1"/>
      <c r="V285" s="1"/>
      <c r="W285" s="1"/>
      <c r="X285" s="1"/>
      <c r="Y285" s="1"/>
      <c r="Z285" s="1"/>
      <c r="AA285" s="1"/>
      <c r="AB285" s="1"/>
      <c r="AC285" s="1"/>
      <c r="AD285" s="1"/>
      <c r="AE285" s="1"/>
      <c r="AF285" s="1"/>
    </row>
    <row r="286" ht="15.75" customHeight="1">
      <c r="A286" s="1"/>
      <c r="B286" s="1"/>
      <c r="C286" s="4"/>
      <c r="D286" s="4"/>
      <c r="E286" s="1"/>
      <c r="F286" s="1"/>
      <c r="G286" s="1"/>
      <c r="H286" s="8"/>
      <c r="I286" s="8"/>
      <c r="J286" s="8"/>
      <c r="K286" s="1"/>
      <c r="L286" s="1"/>
      <c r="M286" s="1"/>
      <c r="N286" s="1"/>
      <c r="O286" s="1"/>
      <c r="P286" s="1"/>
      <c r="Q286" s="1"/>
      <c r="R286" s="1"/>
      <c r="S286" s="1"/>
      <c r="T286" s="1"/>
      <c r="U286" s="1"/>
      <c r="V286" s="1"/>
      <c r="W286" s="1"/>
      <c r="X286" s="1"/>
      <c r="Y286" s="1"/>
      <c r="Z286" s="1"/>
      <c r="AA286" s="1"/>
      <c r="AB286" s="1"/>
      <c r="AC286" s="1"/>
      <c r="AD286" s="1"/>
      <c r="AE286" s="1"/>
      <c r="AF286" s="1"/>
    </row>
    <row r="287" ht="15.75" customHeight="1">
      <c r="A287" s="1"/>
      <c r="B287" s="1"/>
      <c r="C287" s="4"/>
      <c r="D287" s="4"/>
      <c r="E287" s="1"/>
      <c r="F287" s="1"/>
      <c r="G287" s="1"/>
      <c r="H287" s="8"/>
      <c r="I287" s="8"/>
      <c r="J287" s="8"/>
      <c r="K287" s="1"/>
      <c r="L287" s="1"/>
      <c r="M287" s="1"/>
      <c r="N287" s="1"/>
      <c r="O287" s="1"/>
      <c r="P287" s="1"/>
      <c r="Q287" s="1"/>
      <c r="R287" s="1"/>
      <c r="S287" s="1"/>
      <c r="T287" s="1"/>
      <c r="U287" s="1"/>
      <c r="V287" s="1"/>
      <c r="W287" s="1"/>
      <c r="X287" s="1"/>
      <c r="Y287" s="1"/>
      <c r="Z287" s="1"/>
      <c r="AA287" s="1"/>
      <c r="AB287" s="1"/>
      <c r="AC287" s="1"/>
      <c r="AD287" s="1"/>
      <c r="AE287" s="1"/>
      <c r="AF287" s="1"/>
    </row>
    <row r="288" ht="15.75" customHeight="1">
      <c r="A288" s="1"/>
      <c r="B288" s="1"/>
      <c r="C288" s="4"/>
      <c r="D288" s="4"/>
      <c r="E288" s="1"/>
      <c r="F288" s="1"/>
      <c r="G288" s="1"/>
      <c r="H288" s="8"/>
      <c r="I288" s="8"/>
      <c r="J288" s="8"/>
      <c r="K288" s="1"/>
      <c r="L288" s="1"/>
      <c r="M288" s="1"/>
      <c r="N288" s="1"/>
      <c r="O288" s="1"/>
      <c r="P288" s="1"/>
      <c r="Q288" s="1"/>
      <c r="R288" s="1"/>
      <c r="S288" s="1"/>
      <c r="T288" s="1"/>
      <c r="U288" s="1"/>
      <c r="V288" s="1"/>
      <c r="W288" s="1"/>
      <c r="X288" s="1"/>
      <c r="Y288" s="1"/>
      <c r="Z288" s="1"/>
      <c r="AA288" s="1"/>
      <c r="AB288" s="1"/>
      <c r="AC288" s="1"/>
      <c r="AD288" s="1"/>
      <c r="AE288" s="1"/>
      <c r="AF288" s="1"/>
    </row>
    <row r="289" ht="15.75" customHeight="1">
      <c r="A289" s="1"/>
      <c r="B289" s="1"/>
      <c r="C289" s="4"/>
      <c r="D289" s="4"/>
      <c r="E289" s="1"/>
      <c r="F289" s="1"/>
      <c r="G289" s="1"/>
      <c r="H289" s="8"/>
      <c r="I289" s="8"/>
      <c r="J289" s="8"/>
      <c r="K289" s="1"/>
      <c r="L289" s="1"/>
      <c r="M289" s="1"/>
      <c r="N289" s="1"/>
      <c r="O289" s="1"/>
      <c r="P289" s="1"/>
      <c r="Q289" s="1"/>
      <c r="R289" s="1"/>
      <c r="S289" s="1"/>
      <c r="T289" s="1"/>
      <c r="U289" s="1"/>
      <c r="V289" s="1"/>
      <c r="W289" s="1"/>
      <c r="X289" s="1"/>
      <c r="Y289" s="1"/>
      <c r="Z289" s="1"/>
      <c r="AA289" s="1"/>
      <c r="AB289" s="1"/>
      <c r="AC289" s="1"/>
      <c r="AD289" s="1"/>
      <c r="AE289" s="1"/>
      <c r="AF289" s="1"/>
    </row>
    <row r="290" ht="15.75" customHeight="1">
      <c r="A290" s="1"/>
      <c r="B290" s="1"/>
      <c r="C290" s="4"/>
      <c r="D290" s="4"/>
      <c r="E290" s="1"/>
      <c r="F290" s="1"/>
      <c r="G290" s="1"/>
      <c r="H290" s="8"/>
      <c r="I290" s="8"/>
      <c r="J290" s="8"/>
      <c r="K290" s="1"/>
      <c r="L290" s="1"/>
      <c r="M290" s="1"/>
      <c r="N290" s="1"/>
      <c r="O290" s="1"/>
      <c r="P290" s="1"/>
      <c r="Q290" s="1"/>
      <c r="R290" s="1"/>
      <c r="S290" s="1"/>
      <c r="T290" s="1"/>
      <c r="U290" s="1"/>
      <c r="V290" s="1"/>
      <c r="W290" s="1"/>
      <c r="X290" s="1"/>
      <c r="Y290" s="1"/>
      <c r="Z290" s="1"/>
      <c r="AA290" s="1"/>
      <c r="AB290" s="1"/>
      <c r="AC290" s="1"/>
      <c r="AD290" s="1"/>
      <c r="AE290" s="1"/>
      <c r="AF290" s="1"/>
    </row>
    <row r="291" ht="15.75" customHeight="1">
      <c r="A291" s="1"/>
      <c r="B291" s="1"/>
      <c r="C291" s="4"/>
      <c r="D291" s="4"/>
      <c r="E291" s="1"/>
      <c r="F291" s="1"/>
      <c r="G291" s="1"/>
      <c r="H291" s="8"/>
      <c r="I291" s="8"/>
      <c r="J291" s="8"/>
      <c r="K291" s="1"/>
      <c r="L291" s="1"/>
      <c r="M291" s="1"/>
      <c r="N291" s="1"/>
      <c r="O291" s="1"/>
      <c r="P291" s="1"/>
      <c r="Q291" s="1"/>
      <c r="R291" s="1"/>
      <c r="S291" s="1"/>
      <c r="T291" s="1"/>
      <c r="U291" s="1"/>
      <c r="V291" s="1"/>
      <c r="W291" s="1"/>
      <c r="X291" s="1"/>
      <c r="Y291" s="1"/>
      <c r="Z291" s="1"/>
      <c r="AA291" s="1"/>
      <c r="AB291" s="1"/>
      <c r="AC291" s="1"/>
      <c r="AD291" s="1"/>
      <c r="AE291" s="1"/>
      <c r="AF291" s="1"/>
    </row>
    <row r="292" ht="15.75" customHeight="1">
      <c r="A292" s="1"/>
      <c r="B292" s="1"/>
      <c r="C292" s="4"/>
      <c r="D292" s="4"/>
      <c r="E292" s="1"/>
      <c r="F292" s="1"/>
      <c r="G292" s="1"/>
      <c r="H292" s="8"/>
      <c r="I292" s="8"/>
      <c r="J292" s="8"/>
      <c r="K292" s="1"/>
      <c r="L292" s="1"/>
      <c r="M292" s="1"/>
      <c r="N292" s="1"/>
      <c r="O292" s="1"/>
      <c r="P292" s="1"/>
      <c r="Q292" s="1"/>
      <c r="R292" s="1"/>
      <c r="S292" s="1"/>
      <c r="T292" s="1"/>
      <c r="U292" s="1"/>
      <c r="V292" s="1"/>
      <c r="W292" s="1"/>
      <c r="X292" s="1"/>
      <c r="Y292" s="1"/>
      <c r="Z292" s="1"/>
      <c r="AA292" s="1"/>
      <c r="AB292" s="1"/>
      <c r="AC292" s="1"/>
      <c r="AD292" s="1"/>
      <c r="AE292" s="1"/>
      <c r="AF292" s="1"/>
    </row>
    <row r="293" ht="15.75" customHeight="1">
      <c r="A293" s="1"/>
      <c r="B293" s="1"/>
      <c r="C293" s="4"/>
      <c r="D293" s="4"/>
      <c r="E293" s="1"/>
      <c r="F293" s="1"/>
      <c r="G293" s="1"/>
      <c r="H293" s="8"/>
      <c r="I293" s="8"/>
      <c r="J293" s="8"/>
      <c r="K293" s="1"/>
      <c r="L293" s="1"/>
      <c r="M293" s="1"/>
      <c r="N293" s="1"/>
      <c r="O293" s="1"/>
      <c r="P293" s="1"/>
      <c r="Q293" s="1"/>
      <c r="R293" s="1"/>
      <c r="S293" s="1"/>
      <c r="T293" s="1"/>
      <c r="U293" s="1"/>
      <c r="V293" s="1"/>
      <c r="W293" s="1"/>
      <c r="X293" s="1"/>
      <c r="Y293" s="1"/>
      <c r="Z293" s="1"/>
      <c r="AA293" s="1"/>
      <c r="AB293" s="1"/>
      <c r="AC293" s="1"/>
      <c r="AD293" s="1"/>
      <c r="AE293" s="1"/>
      <c r="AF293" s="1"/>
    </row>
    <row r="294" ht="15.75" customHeight="1">
      <c r="A294" s="1"/>
      <c r="B294" s="1"/>
      <c r="C294" s="4"/>
      <c r="D294" s="4"/>
      <c r="E294" s="1"/>
      <c r="F294" s="1"/>
      <c r="G294" s="1"/>
      <c r="H294" s="8"/>
      <c r="I294" s="8"/>
      <c r="J294" s="8"/>
      <c r="K294" s="1"/>
      <c r="L294" s="1"/>
      <c r="M294" s="1"/>
      <c r="N294" s="1"/>
      <c r="O294" s="1"/>
      <c r="P294" s="1"/>
      <c r="Q294" s="1"/>
      <c r="R294" s="1"/>
      <c r="S294" s="1"/>
      <c r="T294" s="1"/>
      <c r="U294" s="1"/>
      <c r="V294" s="1"/>
      <c r="W294" s="1"/>
      <c r="X294" s="1"/>
      <c r="Y294" s="1"/>
      <c r="Z294" s="1"/>
      <c r="AA294" s="1"/>
      <c r="AB294" s="1"/>
      <c r="AC294" s="1"/>
      <c r="AD294" s="1"/>
      <c r="AE294" s="1"/>
      <c r="AF294" s="1"/>
    </row>
    <row r="295" ht="15.75" customHeight="1">
      <c r="A295" s="1"/>
      <c r="B295" s="1"/>
      <c r="C295" s="4"/>
      <c r="D295" s="4"/>
      <c r="E295" s="1"/>
      <c r="F295" s="1"/>
      <c r="G295" s="1"/>
      <c r="H295" s="8"/>
      <c r="I295" s="8"/>
      <c r="J295" s="8"/>
      <c r="K295" s="1"/>
      <c r="L295" s="1"/>
      <c r="M295" s="1"/>
      <c r="N295" s="1"/>
      <c r="O295" s="1"/>
      <c r="P295" s="1"/>
      <c r="Q295" s="1"/>
      <c r="R295" s="1"/>
      <c r="S295" s="1"/>
      <c r="T295" s="1"/>
      <c r="U295" s="1"/>
      <c r="V295" s="1"/>
      <c r="W295" s="1"/>
      <c r="X295" s="1"/>
      <c r="Y295" s="1"/>
      <c r="Z295" s="1"/>
      <c r="AA295" s="1"/>
      <c r="AB295" s="1"/>
      <c r="AC295" s="1"/>
      <c r="AD295" s="1"/>
      <c r="AE295" s="1"/>
      <c r="AF295" s="1"/>
    </row>
    <row r="296" ht="15.75" customHeight="1">
      <c r="A296" s="1"/>
      <c r="B296" s="1"/>
      <c r="C296" s="4"/>
      <c r="D296" s="4"/>
      <c r="E296" s="1"/>
      <c r="F296" s="1"/>
      <c r="G296" s="1"/>
      <c r="H296" s="8"/>
      <c r="I296" s="8"/>
      <c r="J296" s="8"/>
      <c r="K296" s="1"/>
      <c r="L296" s="1"/>
      <c r="M296" s="1"/>
      <c r="N296" s="1"/>
      <c r="O296" s="1"/>
      <c r="P296" s="1"/>
      <c r="Q296" s="1"/>
      <c r="R296" s="1"/>
      <c r="S296" s="1"/>
      <c r="T296" s="1"/>
      <c r="U296" s="1"/>
      <c r="V296" s="1"/>
      <c r="W296" s="1"/>
      <c r="X296" s="1"/>
      <c r="Y296" s="1"/>
      <c r="Z296" s="1"/>
      <c r="AA296" s="1"/>
      <c r="AB296" s="1"/>
      <c r="AC296" s="1"/>
      <c r="AD296" s="1"/>
      <c r="AE296" s="1"/>
      <c r="AF296" s="1"/>
    </row>
    <row r="297" ht="15.75" customHeight="1">
      <c r="A297" s="1"/>
      <c r="B297" s="1"/>
      <c r="C297" s="4"/>
      <c r="D297" s="4"/>
      <c r="E297" s="1"/>
      <c r="F297" s="1"/>
      <c r="G297" s="1"/>
      <c r="H297" s="8"/>
      <c r="I297" s="8"/>
      <c r="J297" s="8"/>
      <c r="K297" s="1"/>
      <c r="L297" s="1"/>
      <c r="M297" s="1"/>
      <c r="N297" s="1"/>
      <c r="O297" s="1"/>
      <c r="P297" s="1"/>
      <c r="Q297" s="1"/>
      <c r="R297" s="1"/>
      <c r="S297" s="1"/>
      <c r="T297" s="1"/>
      <c r="U297" s="1"/>
      <c r="V297" s="1"/>
      <c r="W297" s="1"/>
      <c r="X297" s="1"/>
      <c r="Y297" s="1"/>
      <c r="Z297" s="1"/>
      <c r="AA297" s="1"/>
      <c r="AB297" s="1"/>
      <c r="AC297" s="1"/>
      <c r="AD297" s="1"/>
      <c r="AE297" s="1"/>
      <c r="AF297" s="1"/>
    </row>
    <row r="298" ht="15.75" customHeight="1">
      <c r="A298" s="1"/>
      <c r="B298" s="1"/>
      <c r="C298" s="4"/>
      <c r="D298" s="4"/>
      <c r="E298" s="1"/>
      <c r="F298" s="1"/>
      <c r="G298" s="1"/>
      <c r="H298" s="8"/>
      <c r="I298" s="8"/>
      <c r="J298" s="8"/>
      <c r="K298" s="1"/>
      <c r="L298" s="1"/>
      <c r="M298" s="1"/>
      <c r="N298" s="1"/>
      <c r="O298" s="1"/>
      <c r="P298" s="1"/>
      <c r="Q298" s="1"/>
      <c r="R298" s="1"/>
      <c r="S298" s="1"/>
      <c r="T298" s="1"/>
      <c r="U298" s="1"/>
      <c r="V298" s="1"/>
      <c r="W298" s="1"/>
      <c r="X298" s="1"/>
      <c r="Y298" s="1"/>
      <c r="Z298" s="1"/>
      <c r="AA298" s="1"/>
      <c r="AB298" s="1"/>
      <c r="AC298" s="1"/>
      <c r="AD298" s="1"/>
      <c r="AE298" s="1"/>
      <c r="AF298" s="1"/>
    </row>
    <row r="299" ht="15.75" customHeight="1">
      <c r="A299" s="1"/>
      <c r="B299" s="1"/>
      <c r="C299" s="4"/>
      <c r="D299" s="4"/>
      <c r="E299" s="1"/>
      <c r="F299" s="1"/>
      <c r="G299" s="1"/>
      <c r="H299" s="8"/>
      <c r="I299" s="8"/>
      <c r="J299" s="8"/>
      <c r="K299" s="1"/>
      <c r="L299" s="1"/>
      <c r="M299" s="1"/>
      <c r="N299" s="1"/>
      <c r="O299" s="1"/>
      <c r="P299" s="1"/>
      <c r="Q299" s="1"/>
      <c r="R299" s="1"/>
      <c r="S299" s="1"/>
      <c r="T299" s="1"/>
      <c r="U299" s="1"/>
      <c r="V299" s="1"/>
      <c r="W299" s="1"/>
      <c r="X299" s="1"/>
      <c r="Y299" s="1"/>
      <c r="Z299" s="1"/>
      <c r="AA299" s="1"/>
      <c r="AB299" s="1"/>
      <c r="AC299" s="1"/>
      <c r="AD299" s="1"/>
      <c r="AE299" s="1"/>
      <c r="AF299" s="1"/>
    </row>
    <row r="300" ht="15.75" customHeight="1">
      <c r="A300" s="1"/>
      <c r="B300" s="1"/>
      <c r="C300" s="4"/>
      <c r="D300" s="4"/>
      <c r="E300" s="1"/>
      <c r="F300" s="1"/>
      <c r="G300" s="1"/>
      <c r="H300" s="8"/>
      <c r="I300" s="8"/>
      <c r="J300" s="8"/>
      <c r="K300" s="1"/>
      <c r="L300" s="1"/>
      <c r="M300" s="1"/>
      <c r="N300" s="1"/>
      <c r="O300" s="1"/>
      <c r="P300" s="1"/>
      <c r="Q300" s="1"/>
      <c r="R300" s="1"/>
      <c r="S300" s="1"/>
      <c r="T300" s="1"/>
      <c r="U300" s="1"/>
      <c r="V300" s="1"/>
      <c r="W300" s="1"/>
      <c r="X300" s="1"/>
      <c r="Y300" s="1"/>
      <c r="Z300" s="1"/>
      <c r="AA300" s="1"/>
      <c r="AB300" s="1"/>
      <c r="AC300" s="1"/>
      <c r="AD300" s="1"/>
      <c r="AE300" s="1"/>
      <c r="AF300" s="1"/>
    </row>
    <row r="301" ht="15.75" customHeight="1">
      <c r="A301" s="1"/>
      <c r="B301" s="1"/>
      <c r="C301" s="4"/>
      <c r="D301" s="4"/>
      <c r="E301" s="1"/>
      <c r="F301" s="1"/>
      <c r="G301" s="1"/>
      <c r="H301" s="8"/>
      <c r="I301" s="8"/>
      <c r="J301" s="8"/>
      <c r="K301" s="1"/>
      <c r="L301" s="1"/>
      <c r="M301" s="1"/>
      <c r="N301" s="1"/>
      <c r="O301" s="1"/>
      <c r="P301" s="1"/>
      <c r="Q301" s="1"/>
      <c r="R301" s="1"/>
      <c r="S301" s="1"/>
      <c r="T301" s="1"/>
      <c r="U301" s="1"/>
      <c r="V301" s="1"/>
      <c r="W301" s="1"/>
      <c r="X301" s="1"/>
      <c r="Y301" s="1"/>
      <c r="Z301" s="1"/>
      <c r="AA301" s="1"/>
      <c r="AB301" s="1"/>
      <c r="AC301" s="1"/>
      <c r="AD301" s="1"/>
      <c r="AE301" s="1"/>
      <c r="AF301" s="1"/>
    </row>
    <row r="302" ht="15.75" customHeight="1">
      <c r="A302" s="1"/>
      <c r="B302" s="1"/>
      <c r="C302" s="4"/>
      <c r="D302" s="4"/>
      <c r="E302" s="1"/>
      <c r="F302" s="1"/>
      <c r="G302" s="1"/>
      <c r="H302" s="8"/>
      <c r="I302" s="8"/>
      <c r="J302" s="8"/>
      <c r="K302" s="1"/>
      <c r="L302" s="1"/>
      <c r="M302" s="1"/>
      <c r="N302" s="1"/>
      <c r="O302" s="1"/>
      <c r="P302" s="1"/>
      <c r="Q302" s="1"/>
      <c r="R302" s="1"/>
      <c r="S302" s="1"/>
      <c r="T302" s="1"/>
      <c r="U302" s="1"/>
      <c r="V302" s="1"/>
      <c r="W302" s="1"/>
      <c r="X302" s="1"/>
      <c r="Y302" s="1"/>
      <c r="Z302" s="1"/>
      <c r="AA302" s="1"/>
      <c r="AB302" s="1"/>
      <c r="AC302" s="1"/>
      <c r="AD302" s="1"/>
      <c r="AE302" s="1"/>
      <c r="AF302" s="1"/>
    </row>
    <row r="303" ht="15.75" customHeight="1">
      <c r="A303" s="1"/>
      <c r="B303" s="1"/>
      <c r="C303" s="4"/>
      <c r="D303" s="4"/>
      <c r="E303" s="1"/>
      <c r="F303" s="1"/>
      <c r="G303" s="1"/>
      <c r="H303" s="8"/>
      <c r="I303" s="8"/>
      <c r="J303" s="8"/>
      <c r="K303" s="1"/>
      <c r="L303" s="1"/>
      <c r="M303" s="1"/>
      <c r="N303" s="1"/>
      <c r="O303" s="1"/>
      <c r="P303" s="1"/>
      <c r="Q303" s="1"/>
      <c r="R303" s="1"/>
      <c r="S303" s="1"/>
      <c r="T303" s="1"/>
      <c r="U303" s="1"/>
      <c r="V303" s="1"/>
      <c r="W303" s="1"/>
      <c r="X303" s="1"/>
      <c r="Y303" s="1"/>
      <c r="Z303" s="1"/>
      <c r="AA303" s="1"/>
      <c r="AB303" s="1"/>
      <c r="AC303" s="1"/>
      <c r="AD303" s="1"/>
      <c r="AE303" s="1"/>
      <c r="AF303" s="1"/>
    </row>
    <row r="304" ht="15.75" customHeight="1">
      <c r="A304" s="1"/>
      <c r="B304" s="1"/>
      <c r="C304" s="4"/>
      <c r="D304" s="4"/>
      <c r="E304" s="1"/>
      <c r="F304" s="1"/>
      <c r="G304" s="1"/>
      <c r="H304" s="8"/>
      <c r="I304" s="8"/>
      <c r="J304" s="8"/>
      <c r="K304" s="1"/>
      <c r="L304" s="1"/>
      <c r="M304" s="1"/>
      <c r="N304" s="1"/>
      <c r="O304" s="1"/>
      <c r="P304" s="1"/>
      <c r="Q304" s="1"/>
      <c r="R304" s="1"/>
      <c r="S304" s="1"/>
      <c r="T304" s="1"/>
      <c r="U304" s="1"/>
      <c r="V304" s="1"/>
      <c r="W304" s="1"/>
      <c r="X304" s="1"/>
      <c r="Y304" s="1"/>
      <c r="Z304" s="1"/>
      <c r="AA304" s="1"/>
      <c r="AB304" s="1"/>
      <c r="AC304" s="1"/>
      <c r="AD304" s="1"/>
      <c r="AE304" s="1"/>
      <c r="AF304" s="1"/>
    </row>
    <row r="305" ht="15.75" customHeight="1">
      <c r="A305" s="1"/>
      <c r="B305" s="1"/>
      <c r="C305" s="4"/>
      <c r="D305" s="4"/>
      <c r="E305" s="1"/>
      <c r="F305" s="1"/>
      <c r="G305" s="1"/>
      <c r="H305" s="8"/>
      <c r="I305" s="8"/>
      <c r="J305" s="8"/>
      <c r="K305" s="1"/>
      <c r="L305" s="1"/>
      <c r="M305" s="1"/>
      <c r="N305" s="1"/>
      <c r="O305" s="1"/>
      <c r="P305" s="1"/>
      <c r="Q305" s="1"/>
      <c r="R305" s="1"/>
      <c r="S305" s="1"/>
      <c r="T305" s="1"/>
      <c r="U305" s="1"/>
      <c r="V305" s="1"/>
      <c r="W305" s="1"/>
      <c r="X305" s="1"/>
      <c r="Y305" s="1"/>
      <c r="Z305" s="1"/>
      <c r="AA305" s="1"/>
      <c r="AB305" s="1"/>
      <c r="AC305" s="1"/>
      <c r="AD305" s="1"/>
      <c r="AE305" s="1"/>
      <c r="AF305" s="1"/>
    </row>
    <row r="306" ht="15.75" customHeight="1">
      <c r="A306" s="1"/>
      <c r="B306" s="1"/>
      <c r="C306" s="4"/>
      <c r="D306" s="4"/>
      <c r="E306" s="1"/>
      <c r="F306" s="1"/>
      <c r="G306" s="1"/>
      <c r="H306" s="8"/>
      <c r="I306" s="8"/>
      <c r="J306" s="8"/>
      <c r="K306" s="1"/>
      <c r="L306" s="1"/>
      <c r="M306" s="1"/>
      <c r="N306" s="1"/>
      <c r="O306" s="1"/>
      <c r="P306" s="1"/>
      <c r="Q306" s="1"/>
      <c r="R306" s="1"/>
      <c r="S306" s="1"/>
      <c r="T306" s="1"/>
      <c r="U306" s="1"/>
      <c r="V306" s="1"/>
      <c r="W306" s="1"/>
      <c r="X306" s="1"/>
      <c r="Y306" s="1"/>
      <c r="Z306" s="1"/>
      <c r="AA306" s="1"/>
      <c r="AB306" s="1"/>
      <c r="AC306" s="1"/>
      <c r="AD306" s="1"/>
      <c r="AE306" s="1"/>
      <c r="AF306" s="1"/>
    </row>
    <row r="307" ht="15.75" customHeight="1">
      <c r="A307" s="1"/>
      <c r="B307" s="1"/>
      <c r="C307" s="4"/>
      <c r="D307" s="4"/>
      <c r="E307" s="1"/>
      <c r="F307" s="1"/>
      <c r="G307" s="1"/>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row>
    <row r="308" ht="15.75" customHeight="1">
      <c r="A308" s="1"/>
      <c r="B308" s="1"/>
      <c r="C308" s="4"/>
      <c r="D308" s="4"/>
      <c r="E308" s="1"/>
      <c r="F308" s="1"/>
      <c r="G308" s="1"/>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row>
    <row r="309" ht="15.75" customHeight="1">
      <c r="A309" s="1"/>
      <c r="B309" s="1"/>
      <c r="C309" s="4"/>
      <c r="D309" s="4"/>
      <c r="E309" s="1"/>
      <c r="F309" s="1"/>
      <c r="G309" s="1"/>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row>
    <row r="310" ht="15.75" customHeight="1">
      <c r="A310" s="1"/>
      <c r="B310" s="1"/>
      <c r="C310" s="4"/>
      <c r="D310" s="4"/>
      <c r="E310" s="1"/>
      <c r="F310" s="1"/>
      <c r="G310" s="1"/>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row>
  </sheetData>
  <mergeCells count="46">
    <mergeCell ref="H77:H95"/>
    <mergeCell ref="H96:H100"/>
    <mergeCell ref="G105:G106"/>
    <mergeCell ref="H105:I106"/>
    <mergeCell ref="G107:G108"/>
    <mergeCell ref="H107:I108"/>
    <mergeCell ref="H110:J110"/>
    <mergeCell ref="E138:F141"/>
    <mergeCell ref="G68:G69"/>
    <mergeCell ref="H68:I69"/>
    <mergeCell ref="H70:I76"/>
    <mergeCell ref="I77:I81"/>
    <mergeCell ref="I82:I86"/>
    <mergeCell ref="I87:I95"/>
    <mergeCell ref="I96:I100"/>
    <mergeCell ref="H2:I2"/>
    <mergeCell ref="L2:AB2"/>
    <mergeCell ref="G3:G4"/>
    <mergeCell ref="H3:I5"/>
    <mergeCell ref="G6:G10"/>
    <mergeCell ref="H6:I10"/>
    <mergeCell ref="H11:I20"/>
    <mergeCell ref="H31:I37"/>
    <mergeCell ref="H38:I42"/>
    <mergeCell ref="J38:K38"/>
    <mergeCell ref="H43:H62"/>
    <mergeCell ref="I43:I47"/>
    <mergeCell ref="I48:I52"/>
    <mergeCell ref="I53:I62"/>
    <mergeCell ref="H63:H67"/>
    <mergeCell ref="I63:I67"/>
    <mergeCell ref="J70:K72"/>
    <mergeCell ref="G11:G20"/>
    <mergeCell ref="G21:G27"/>
    <mergeCell ref="H21:I27"/>
    <mergeCell ref="G28:G30"/>
    <mergeCell ref="H28:I30"/>
    <mergeCell ref="G31:G37"/>
    <mergeCell ref="G38:G67"/>
    <mergeCell ref="G70:G100"/>
    <mergeCell ref="G101:G102"/>
    <mergeCell ref="G103:G104"/>
    <mergeCell ref="H101:I102"/>
    <mergeCell ref="H103:I104"/>
    <mergeCell ref="J103:J104"/>
    <mergeCell ref="K103:K104"/>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sheetData>
    <row r="1">
      <c r="A1" s="9" t="s">
        <v>1</v>
      </c>
      <c r="B1" s="9" t="s">
        <v>2</v>
      </c>
      <c r="C1" s="9" t="s">
        <v>3</v>
      </c>
      <c r="D1" s="9" t="s">
        <v>4</v>
      </c>
      <c r="E1" s="9" t="s">
        <v>5</v>
      </c>
    </row>
    <row r="2">
      <c r="A2" s="12"/>
      <c r="B2" s="18"/>
      <c r="C2" s="18"/>
      <c r="D2" s="18"/>
      <c r="E2" s="22"/>
    </row>
    <row r="3">
      <c r="A3" s="24"/>
      <c r="B3" s="32"/>
      <c r="C3" s="32"/>
      <c r="D3" s="32"/>
      <c r="E3" s="39"/>
    </row>
    <row r="4">
      <c r="A4" s="12"/>
      <c r="B4" s="18"/>
      <c r="C4" s="18"/>
      <c r="D4" s="18"/>
      <c r="E4" s="22"/>
    </row>
    <row r="5">
      <c r="A5" s="24"/>
      <c r="B5" s="32"/>
      <c r="C5" s="32"/>
      <c r="D5" s="32"/>
      <c r="E5" s="39"/>
    </row>
    <row r="6">
      <c r="A6" s="12"/>
      <c r="B6" s="18"/>
      <c r="C6" s="18"/>
      <c r="D6" s="18"/>
      <c r="E6" s="22"/>
    </row>
    <row r="7">
      <c r="A7" s="73"/>
      <c r="B7" s="32"/>
      <c r="C7" s="32"/>
      <c r="D7" s="32"/>
      <c r="E7" s="39"/>
    </row>
    <row r="8">
      <c r="A8" s="82"/>
      <c r="B8" s="18"/>
      <c r="C8" s="18"/>
      <c r="D8" s="18"/>
      <c r="E8" s="22"/>
    </row>
    <row r="9">
      <c r="A9" s="92"/>
      <c r="B9" s="32"/>
      <c r="C9" s="32"/>
      <c r="D9" s="32"/>
      <c r="E9" s="39"/>
    </row>
    <row r="10">
      <c r="A10" s="98"/>
      <c r="B10" s="18"/>
      <c r="C10" s="18"/>
      <c r="D10" s="18"/>
      <c r="E10" s="22"/>
    </row>
    <row r="11">
      <c r="A11" s="73"/>
      <c r="B11" s="32"/>
      <c r="C11" s="108"/>
      <c r="D11" s="32"/>
      <c r="E11" s="39"/>
    </row>
    <row r="12">
      <c r="A12" s="98"/>
      <c r="B12" s="18"/>
      <c r="C12" s="18"/>
      <c r="D12" s="18"/>
      <c r="E12" s="22"/>
    </row>
    <row r="13">
      <c r="A13" s="73"/>
      <c r="B13" s="32"/>
      <c r="C13" s="32"/>
      <c r="D13" s="32"/>
      <c r="E13" s="39"/>
    </row>
    <row r="14">
      <c r="A14" s="98"/>
      <c r="B14" s="18"/>
      <c r="C14" s="18"/>
      <c r="D14" s="18"/>
      <c r="E14" s="22"/>
    </row>
    <row r="15">
      <c r="A15" s="73"/>
      <c r="B15" s="32"/>
      <c r="C15" s="32"/>
      <c r="D15" s="32"/>
      <c r="E15" s="39"/>
    </row>
    <row r="16">
      <c r="A16" s="98"/>
      <c r="B16" s="18"/>
      <c r="C16" s="18"/>
      <c r="D16" s="18"/>
      <c r="E16" s="22"/>
    </row>
    <row r="17">
      <c r="A17" s="73"/>
      <c r="B17" s="32"/>
      <c r="C17" s="32"/>
      <c r="D17" s="32"/>
      <c r="E17" s="39"/>
    </row>
    <row r="18">
      <c r="A18" s="141"/>
      <c r="B18" s="18"/>
      <c r="C18" s="18"/>
      <c r="D18" s="18"/>
      <c r="E18" s="22"/>
    </row>
    <row r="19">
      <c r="A19" s="73"/>
      <c r="B19" s="32"/>
      <c r="C19" s="108"/>
      <c r="D19" s="32"/>
      <c r="E19" s="39"/>
    </row>
    <row r="20">
      <c r="A20" s="146"/>
      <c r="B20" s="147"/>
      <c r="C20" s="147"/>
      <c r="D20" s="147"/>
      <c r="E20" s="149"/>
    </row>
    <row r="21">
      <c r="A21" s="73"/>
      <c r="B21" s="32"/>
      <c r="C21" s="32"/>
      <c r="D21" s="32"/>
      <c r="E21" s="39"/>
    </row>
    <row r="22">
      <c r="A22" s="98"/>
      <c r="B22" s="18"/>
      <c r="C22" s="18"/>
      <c r="D22" s="18"/>
      <c r="E22" s="22"/>
    </row>
    <row r="23">
      <c r="A23" s="73"/>
      <c r="B23" s="32"/>
      <c r="C23" s="32"/>
      <c r="D23" s="32"/>
      <c r="E23" s="39"/>
    </row>
    <row r="24">
      <c r="A24" s="98"/>
      <c r="B24" s="18"/>
      <c r="C24" s="18"/>
      <c r="D24" s="18"/>
      <c r="E24" s="22"/>
    </row>
    <row r="25">
      <c r="A25" s="73"/>
      <c r="B25" s="32"/>
      <c r="C25" s="32"/>
      <c r="D25" s="32"/>
      <c r="E25" s="39"/>
    </row>
    <row r="26">
      <c r="A26" s="98"/>
      <c r="B26" s="18"/>
      <c r="C26" s="18"/>
      <c r="D26" s="18"/>
      <c r="E26" s="22"/>
    </row>
    <row r="27">
      <c r="A27" s="141"/>
      <c r="B27" s="32"/>
      <c r="C27" s="32"/>
      <c r="D27" s="32"/>
      <c r="E27" s="39"/>
    </row>
    <row r="28">
      <c r="A28" s="98"/>
      <c r="B28" s="18"/>
      <c r="C28" s="18"/>
      <c r="D28" s="18"/>
      <c r="E28" s="22"/>
    </row>
    <row r="29">
      <c r="A29" s="73"/>
      <c r="B29" s="32"/>
      <c r="C29" s="108"/>
      <c r="D29" s="32"/>
      <c r="E29" s="39"/>
    </row>
    <row r="30">
      <c r="A30" s="98"/>
      <c r="B30" s="18"/>
      <c r="C30" s="18"/>
      <c r="D30" s="18"/>
      <c r="E30" s="22"/>
    </row>
    <row r="31">
      <c r="A31" s="141"/>
      <c r="B31" s="32"/>
      <c r="C31" s="32"/>
      <c r="D31" s="108"/>
      <c r="E31" s="39"/>
    </row>
    <row r="32">
      <c r="A32" s="98"/>
      <c r="B32" s="18"/>
      <c r="C32" s="18"/>
      <c r="D32" s="18"/>
      <c r="E32" s="22"/>
    </row>
    <row r="33">
      <c r="A33" s="73"/>
      <c r="B33" s="32"/>
      <c r="C33" s="32"/>
      <c r="D33" s="32"/>
      <c r="E33" s="39"/>
    </row>
    <row r="34">
      <c r="A34" s="189"/>
      <c r="B34" s="18"/>
      <c r="C34" s="18"/>
      <c r="D34" s="18"/>
      <c r="E34" s="22"/>
    </row>
    <row r="35">
      <c r="A35" s="189"/>
      <c r="B35" s="32"/>
      <c r="C35" s="32"/>
      <c r="D35" s="108"/>
      <c r="E35" s="39"/>
    </row>
    <row r="36">
      <c r="A36" s="98"/>
      <c r="B36" s="18"/>
      <c r="C36" s="18"/>
      <c r="D36" s="18"/>
      <c r="E36" s="22"/>
    </row>
    <row r="37">
      <c r="A37" s="73"/>
      <c r="B37" s="32"/>
      <c r="C37" s="108"/>
      <c r="D37" s="32"/>
      <c r="E37" s="39"/>
    </row>
    <row r="38">
      <c r="A38" s="201"/>
      <c r="B38" s="203"/>
      <c r="C38" s="205"/>
      <c r="D38" s="203"/>
      <c r="E38" s="208"/>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3"/>
    <col customWidth="1" min="2" max="2" width="13.0"/>
    <col customWidth="1" min="3" max="3" width="15.14"/>
    <col customWidth="1" min="4" max="12" width="13.0"/>
    <col customWidth="1" min="13" max="13" width="15.14"/>
    <col customWidth="1" min="14" max="14" width="13.0"/>
    <col customWidth="1" min="15" max="26" width="8.71"/>
  </cols>
  <sheetData>
    <row r="1" ht="16.5" customHeight="1">
      <c r="A1" s="233" t="s">
        <v>195</v>
      </c>
      <c r="B1" s="1"/>
      <c r="C1" s="1"/>
      <c r="D1" s="1"/>
      <c r="E1" s="1"/>
      <c r="F1" s="1"/>
      <c r="G1" s="1"/>
      <c r="H1" s="1"/>
      <c r="I1" s="1"/>
      <c r="J1" s="235"/>
      <c r="K1" s="235"/>
      <c r="L1" s="1"/>
      <c r="M1" s="1"/>
      <c r="N1" s="1"/>
      <c r="O1" s="1"/>
      <c r="P1" s="1"/>
      <c r="Q1" s="1"/>
      <c r="R1" s="1"/>
      <c r="S1" s="1"/>
      <c r="T1" s="1"/>
      <c r="U1" s="1"/>
      <c r="V1" s="1"/>
      <c r="W1" s="1"/>
      <c r="X1" s="1"/>
      <c r="Y1" s="1"/>
      <c r="Z1" s="1"/>
    </row>
    <row r="2" ht="16.5" customHeight="1">
      <c r="A2" s="1"/>
      <c r="B2" s="236"/>
      <c r="C2" s="237" t="s">
        <v>203</v>
      </c>
      <c r="D2" s="6"/>
      <c r="E2" s="238" t="s">
        <v>204</v>
      </c>
      <c r="F2" s="6"/>
      <c r="G2" s="239" t="s">
        <v>206</v>
      </c>
      <c r="H2" s="6"/>
      <c r="I2" s="242" t="s">
        <v>208</v>
      </c>
      <c r="J2" s="6"/>
      <c r="K2" s="244" t="s">
        <v>209</v>
      </c>
      <c r="L2" s="6"/>
      <c r="M2" s="245" t="s">
        <v>211</v>
      </c>
      <c r="N2" s="6"/>
      <c r="O2" s="1"/>
      <c r="P2" s="1"/>
      <c r="Q2" s="1"/>
      <c r="R2" s="1"/>
      <c r="S2" s="1"/>
      <c r="T2" s="1"/>
      <c r="U2" s="1"/>
      <c r="V2" s="1"/>
      <c r="W2" s="1"/>
      <c r="X2" s="1"/>
      <c r="Y2" s="1"/>
      <c r="Z2" s="1"/>
    </row>
    <row r="3" ht="16.5" customHeight="1">
      <c r="A3" s="55"/>
      <c r="B3" s="246" t="s">
        <v>213</v>
      </c>
      <c r="C3" s="247" t="s">
        <v>216</v>
      </c>
      <c r="D3" s="248" t="s">
        <v>218</v>
      </c>
      <c r="E3" s="247" t="s">
        <v>216</v>
      </c>
      <c r="F3" s="248" t="s">
        <v>218</v>
      </c>
      <c r="G3" s="249" t="s">
        <v>216</v>
      </c>
      <c r="H3" s="250" t="s">
        <v>218</v>
      </c>
      <c r="I3" s="249" t="s">
        <v>216</v>
      </c>
      <c r="J3" s="252" t="s">
        <v>218</v>
      </c>
      <c r="K3" s="254" t="s">
        <v>216</v>
      </c>
      <c r="L3" s="250" t="s">
        <v>218</v>
      </c>
      <c r="M3" s="249" t="s">
        <v>216</v>
      </c>
      <c r="N3" s="255" t="s">
        <v>218</v>
      </c>
      <c r="O3" s="55"/>
      <c r="P3" s="55"/>
      <c r="Q3" s="55"/>
      <c r="R3" s="55"/>
      <c r="S3" s="55"/>
      <c r="T3" s="55"/>
      <c r="U3" s="55"/>
      <c r="V3" s="55"/>
      <c r="W3" s="55"/>
      <c r="X3" s="55"/>
      <c r="Y3" s="55"/>
      <c r="Z3" s="55"/>
    </row>
    <row r="4" ht="16.5" customHeight="1">
      <c r="A4" s="1"/>
      <c r="B4" s="256" t="s">
        <v>222</v>
      </c>
      <c r="C4" s="258" t="s">
        <v>224</v>
      </c>
      <c r="D4" s="259" t="s">
        <v>225</v>
      </c>
      <c r="E4" s="263" t="s">
        <v>227</v>
      </c>
      <c r="F4" s="266" t="s">
        <v>229</v>
      </c>
      <c r="G4" s="263" t="s">
        <v>230</v>
      </c>
      <c r="H4" s="266" t="s">
        <v>231</v>
      </c>
      <c r="I4" s="263" t="s">
        <v>232</v>
      </c>
      <c r="J4" s="269" t="s">
        <v>233</v>
      </c>
      <c r="K4" s="270" t="s">
        <v>234</v>
      </c>
      <c r="L4" s="271" t="s">
        <v>235</v>
      </c>
      <c r="M4" s="258" t="s">
        <v>236</v>
      </c>
      <c r="N4" s="266" t="s">
        <v>237</v>
      </c>
      <c r="O4" s="1"/>
      <c r="P4" s="1"/>
      <c r="Q4" s="1"/>
      <c r="R4" s="1"/>
      <c r="S4" s="1"/>
      <c r="T4" s="1"/>
      <c r="U4" s="1"/>
      <c r="V4" s="1"/>
      <c r="W4" s="1"/>
      <c r="X4" s="1"/>
      <c r="Y4" s="1"/>
      <c r="Z4" s="1"/>
    </row>
    <row r="5" ht="16.5" customHeight="1">
      <c r="A5" s="1"/>
      <c r="B5" s="273"/>
      <c r="C5" s="258" t="s">
        <v>240</v>
      </c>
      <c r="D5" s="259" t="s">
        <v>241</v>
      </c>
      <c r="E5" s="263" t="s">
        <v>242</v>
      </c>
      <c r="F5" s="266" t="s">
        <v>243</v>
      </c>
      <c r="G5" s="263" t="s">
        <v>244</v>
      </c>
      <c r="H5" s="266" t="s">
        <v>245</v>
      </c>
      <c r="I5" s="263" t="s">
        <v>246</v>
      </c>
      <c r="J5" s="269" t="s">
        <v>247</v>
      </c>
      <c r="K5" s="270" t="s">
        <v>248</v>
      </c>
      <c r="L5" s="271" t="s">
        <v>249</v>
      </c>
      <c r="M5" s="258" t="s">
        <v>250</v>
      </c>
      <c r="N5" s="266" t="s">
        <v>251</v>
      </c>
      <c r="O5" s="1"/>
      <c r="P5" s="1"/>
      <c r="Q5" s="1"/>
      <c r="R5" s="1"/>
      <c r="S5" s="1"/>
      <c r="T5" s="1"/>
      <c r="U5" s="1"/>
      <c r="V5" s="1"/>
      <c r="W5" s="1"/>
      <c r="X5" s="1"/>
      <c r="Y5" s="1"/>
      <c r="Z5" s="1"/>
    </row>
    <row r="6" ht="16.5" customHeight="1">
      <c r="A6" s="1"/>
      <c r="B6" s="273"/>
      <c r="C6" s="258" t="s">
        <v>254</v>
      </c>
      <c r="D6" s="259" t="s">
        <v>255</v>
      </c>
      <c r="E6" s="263" t="s">
        <v>256</v>
      </c>
      <c r="F6" s="266" t="s">
        <v>257</v>
      </c>
      <c r="G6" s="263" t="s">
        <v>258</v>
      </c>
      <c r="H6" s="266" t="s">
        <v>259</v>
      </c>
      <c r="I6" s="274"/>
      <c r="J6" s="269" t="s">
        <v>261</v>
      </c>
      <c r="K6" s="276"/>
      <c r="L6" s="271" t="s">
        <v>262</v>
      </c>
      <c r="M6" s="258" t="s">
        <v>263</v>
      </c>
      <c r="N6" s="266" t="s">
        <v>264</v>
      </c>
      <c r="O6" s="1"/>
      <c r="P6" s="1"/>
      <c r="Q6" s="1"/>
      <c r="R6" s="1"/>
      <c r="S6" s="1"/>
      <c r="T6" s="1"/>
      <c r="U6" s="1"/>
      <c r="V6" s="1"/>
      <c r="W6" s="1"/>
      <c r="X6" s="1"/>
      <c r="Y6" s="1"/>
      <c r="Z6" s="1"/>
    </row>
    <row r="7" ht="16.5" customHeight="1">
      <c r="A7" s="1"/>
      <c r="B7" s="273"/>
      <c r="C7" s="280"/>
      <c r="D7" s="269" t="s">
        <v>265</v>
      </c>
      <c r="E7" s="263"/>
      <c r="F7" s="266" t="s">
        <v>267</v>
      </c>
      <c r="G7" s="274"/>
      <c r="H7" s="266" t="s">
        <v>268</v>
      </c>
      <c r="I7" s="274"/>
      <c r="J7" s="269" t="s">
        <v>270</v>
      </c>
      <c r="K7" s="276"/>
      <c r="L7" s="271" t="s">
        <v>271</v>
      </c>
      <c r="M7" s="281"/>
      <c r="N7" s="266" t="s">
        <v>272</v>
      </c>
      <c r="O7" s="1"/>
      <c r="P7" s="1"/>
      <c r="Q7" s="1"/>
      <c r="R7" s="1"/>
      <c r="S7" s="1"/>
      <c r="T7" s="1"/>
      <c r="U7" s="1"/>
      <c r="V7" s="1"/>
      <c r="W7" s="1"/>
      <c r="X7" s="1"/>
      <c r="Y7" s="1"/>
      <c r="Z7" s="1"/>
    </row>
    <row r="8" ht="16.5" customHeight="1">
      <c r="A8" s="1"/>
      <c r="B8" s="273"/>
      <c r="C8" s="280"/>
      <c r="D8" s="282"/>
      <c r="E8" s="274"/>
      <c r="F8" s="283"/>
      <c r="G8" s="274"/>
      <c r="H8" s="284" t="s">
        <v>275</v>
      </c>
      <c r="I8" s="274"/>
      <c r="J8" s="284" t="s">
        <v>277</v>
      </c>
      <c r="K8" s="276"/>
      <c r="L8" s="271" t="s">
        <v>278</v>
      </c>
      <c r="M8" s="281"/>
      <c r="N8" s="283"/>
      <c r="O8" s="1"/>
      <c r="P8" s="1"/>
      <c r="Q8" s="1"/>
      <c r="R8" s="1"/>
      <c r="S8" s="1"/>
      <c r="T8" s="1"/>
      <c r="U8" s="1"/>
      <c r="V8" s="1"/>
      <c r="W8" s="1"/>
      <c r="X8" s="1"/>
      <c r="Y8" s="1"/>
      <c r="Z8" s="1"/>
    </row>
    <row r="9" ht="16.5" customHeight="1">
      <c r="A9" s="1"/>
      <c r="B9" s="40"/>
      <c r="C9" s="280"/>
      <c r="D9" s="283"/>
      <c r="E9" s="274"/>
      <c r="F9" s="283"/>
      <c r="G9" s="287"/>
      <c r="H9" s="289"/>
      <c r="I9" s="274"/>
      <c r="J9" s="290"/>
      <c r="K9" s="276"/>
      <c r="L9" s="291"/>
      <c r="M9" s="292"/>
      <c r="N9" s="293"/>
      <c r="O9" s="1"/>
      <c r="P9" s="1"/>
      <c r="Q9" s="1"/>
      <c r="R9" s="1"/>
      <c r="S9" s="1"/>
      <c r="T9" s="1"/>
      <c r="U9" s="1"/>
      <c r="V9" s="1"/>
      <c r="W9" s="1"/>
      <c r="X9" s="1"/>
      <c r="Y9" s="1"/>
      <c r="Z9" s="1"/>
    </row>
    <row r="10" ht="16.5" customHeight="1">
      <c r="A10" s="1"/>
      <c r="B10" s="295" t="s">
        <v>283</v>
      </c>
      <c r="C10" s="297"/>
      <c r="D10" s="299"/>
      <c r="E10" s="297"/>
      <c r="F10" s="300"/>
      <c r="G10" s="301"/>
      <c r="H10" s="302"/>
      <c r="I10" s="303"/>
      <c r="J10" s="304"/>
      <c r="K10" s="305"/>
      <c r="L10" s="306"/>
      <c r="M10" s="281"/>
      <c r="N10" s="283"/>
      <c r="O10" s="1"/>
      <c r="P10" s="1"/>
      <c r="Q10" s="1"/>
      <c r="R10" s="1"/>
      <c r="S10" s="1"/>
      <c r="T10" s="1"/>
      <c r="U10" s="1"/>
      <c r="V10" s="1"/>
      <c r="W10" s="1"/>
      <c r="X10" s="1"/>
      <c r="Y10" s="1"/>
      <c r="Z10" s="1"/>
    </row>
    <row r="11" ht="16.5" customHeight="1">
      <c r="A11" s="1"/>
      <c r="B11" s="42"/>
      <c r="C11" s="281"/>
      <c r="D11" s="307"/>
      <c r="E11" s="274"/>
      <c r="F11" s="308"/>
      <c r="G11" s="309"/>
      <c r="H11" s="283"/>
      <c r="I11" s="310"/>
      <c r="J11" s="311"/>
      <c r="K11" s="276"/>
      <c r="L11" s="314"/>
      <c r="M11" s="281"/>
      <c r="N11" s="283"/>
      <c r="O11" s="1"/>
      <c r="P11" s="1"/>
      <c r="Q11" s="1"/>
      <c r="R11" s="1"/>
      <c r="S11" s="1"/>
      <c r="T11" s="1"/>
      <c r="U11" s="1"/>
      <c r="V11" s="1"/>
      <c r="W11" s="1"/>
      <c r="X11" s="1"/>
      <c r="Y11" s="1"/>
      <c r="Z11" s="1"/>
    </row>
    <row r="12" ht="16.5" customHeight="1">
      <c r="A12" s="1"/>
      <c r="B12" s="42"/>
      <c r="C12" s="8"/>
      <c r="D12" s="307"/>
      <c r="E12" s="309"/>
      <c r="F12" s="307"/>
      <c r="G12" s="320"/>
      <c r="H12" s="283"/>
      <c r="I12" s="322"/>
      <c r="J12" s="311"/>
      <c r="K12" s="323"/>
      <c r="L12" s="324"/>
      <c r="M12" s="281"/>
      <c r="N12" s="283"/>
      <c r="O12" s="1"/>
      <c r="P12" s="1"/>
      <c r="Q12" s="1"/>
      <c r="R12" s="1"/>
      <c r="S12" s="1"/>
      <c r="T12" s="1"/>
      <c r="U12" s="1"/>
      <c r="V12" s="1"/>
      <c r="W12" s="1"/>
      <c r="X12" s="1"/>
      <c r="Y12" s="1"/>
      <c r="Z12" s="1"/>
    </row>
    <row r="13" ht="16.5" customHeight="1">
      <c r="A13" s="1"/>
      <c r="B13" s="42"/>
      <c r="C13" s="8"/>
      <c r="D13" s="307"/>
      <c r="E13" s="326"/>
      <c r="F13" s="308"/>
      <c r="G13" s="327"/>
      <c r="H13" s="328"/>
      <c r="I13" s="329"/>
      <c r="J13" s="311"/>
      <c r="K13" s="330"/>
      <c r="L13" s="324"/>
      <c r="M13" s="281"/>
      <c r="N13" s="283"/>
      <c r="O13" s="1"/>
      <c r="P13" s="1"/>
      <c r="Q13" s="1"/>
      <c r="R13" s="1"/>
      <c r="S13" s="1"/>
      <c r="T13" s="1"/>
      <c r="U13" s="1"/>
      <c r="V13" s="1"/>
      <c r="W13" s="1"/>
      <c r="X13" s="1"/>
      <c r="Y13" s="1"/>
      <c r="Z13" s="1"/>
    </row>
    <row r="14" ht="16.5" customHeight="1">
      <c r="A14" s="1"/>
      <c r="B14" s="42"/>
      <c r="C14" s="331"/>
      <c r="D14" s="333"/>
      <c r="E14" s="326"/>
      <c r="F14" s="308"/>
      <c r="G14" s="287"/>
      <c r="H14" s="334"/>
      <c r="I14" s="280"/>
      <c r="J14" s="311"/>
      <c r="K14" s="335"/>
      <c r="L14" s="336"/>
      <c r="M14" s="281"/>
      <c r="N14" s="283"/>
      <c r="O14" s="1"/>
      <c r="P14" s="1"/>
      <c r="Q14" s="1"/>
      <c r="R14" s="1"/>
      <c r="S14" s="1"/>
      <c r="T14" s="1"/>
      <c r="U14" s="1"/>
      <c r="V14" s="1"/>
      <c r="W14" s="1"/>
      <c r="X14" s="1"/>
      <c r="Y14" s="1"/>
      <c r="Z14" s="1"/>
    </row>
    <row r="15" ht="16.5" customHeight="1">
      <c r="A15" s="1"/>
      <c r="B15" s="42"/>
      <c r="C15" s="324"/>
      <c r="D15" s="307"/>
      <c r="E15" s="326"/>
      <c r="F15" s="337"/>
      <c r="G15" s="287"/>
      <c r="H15" s="308"/>
      <c r="I15" s="280"/>
      <c r="J15" s="311"/>
      <c r="K15" s="276"/>
      <c r="L15" s="324"/>
      <c r="M15" s="281"/>
      <c r="N15" s="283"/>
      <c r="O15" s="1"/>
      <c r="P15" s="1"/>
      <c r="Q15" s="1"/>
      <c r="R15" s="1"/>
      <c r="S15" s="1"/>
      <c r="T15" s="1"/>
      <c r="U15" s="1"/>
      <c r="V15" s="1"/>
      <c r="W15" s="1"/>
      <c r="X15" s="1"/>
      <c r="Y15" s="1"/>
      <c r="Z15" s="1"/>
    </row>
    <row r="16" ht="16.5" customHeight="1">
      <c r="A16" s="1"/>
      <c r="B16" s="42"/>
      <c r="C16" s="324"/>
      <c r="D16" s="307"/>
      <c r="E16" s="326"/>
      <c r="F16" s="338"/>
      <c r="G16" s="274"/>
      <c r="H16" s="308"/>
      <c r="I16" s="280"/>
      <c r="J16" s="311"/>
      <c r="K16" s="276"/>
      <c r="L16" s="336"/>
      <c r="M16" s="281"/>
      <c r="N16" s="283"/>
      <c r="O16" s="1"/>
      <c r="P16" s="1"/>
      <c r="Q16" s="1"/>
      <c r="R16" s="1"/>
      <c r="S16" s="1"/>
      <c r="T16" s="1"/>
      <c r="U16" s="1"/>
      <c r="V16" s="1"/>
      <c r="W16" s="1"/>
      <c r="X16" s="1"/>
      <c r="Y16" s="1"/>
      <c r="Z16" s="1"/>
    </row>
    <row r="17" ht="16.5" customHeight="1">
      <c r="A17" s="1"/>
      <c r="B17" s="42"/>
      <c r="C17" s="324"/>
      <c r="D17" s="307"/>
      <c r="E17" s="326"/>
      <c r="F17" s="338"/>
      <c r="G17" s="274"/>
      <c r="H17" s="308"/>
      <c r="I17" s="280"/>
      <c r="J17" s="339"/>
      <c r="K17" s="276"/>
      <c r="L17" s="336"/>
      <c r="M17" s="281"/>
      <c r="N17" s="283"/>
      <c r="O17" s="1"/>
      <c r="P17" s="1"/>
      <c r="Q17" s="1"/>
      <c r="R17" s="1"/>
      <c r="S17" s="1"/>
      <c r="T17" s="1"/>
      <c r="U17" s="1"/>
      <c r="V17" s="1"/>
      <c r="W17" s="1"/>
      <c r="X17" s="1"/>
      <c r="Y17" s="1"/>
      <c r="Z17" s="1"/>
    </row>
    <row r="18" ht="16.5" customHeight="1">
      <c r="A18" s="1"/>
      <c r="B18" s="42"/>
      <c r="C18" s="340"/>
      <c r="D18" s="333"/>
      <c r="E18" s="326"/>
      <c r="F18" s="341"/>
      <c r="G18" s="274"/>
      <c r="H18" s="308"/>
      <c r="I18" s="280"/>
      <c r="J18" s="342"/>
      <c r="K18" s="276"/>
      <c r="L18" s="324"/>
      <c r="M18" s="281"/>
      <c r="N18" s="283"/>
      <c r="O18" s="1"/>
      <c r="P18" s="1"/>
      <c r="Q18" s="1"/>
      <c r="R18" s="1"/>
      <c r="S18" s="1"/>
      <c r="T18" s="1"/>
      <c r="U18" s="1"/>
      <c r="V18" s="1"/>
      <c r="W18" s="1"/>
      <c r="X18" s="1"/>
      <c r="Y18" s="1"/>
      <c r="Z18" s="1"/>
    </row>
    <row r="19" ht="16.5" customHeight="1">
      <c r="A19" s="1"/>
      <c r="B19" s="42"/>
      <c r="C19" s="8"/>
      <c r="D19" s="333"/>
      <c r="E19" s="343"/>
      <c r="F19" s="344"/>
      <c r="G19" s="274"/>
      <c r="H19" s="308"/>
      <c r="I19" s="280"/>
      <c r="J19" s="346"/>
      <c r="K19" s="276"/>
      <c r="L19" s="324"/>
      <c r="M19" s="281"/>
      <c r="N19" s="283"/>
      <c r="O19" s="1"/>
      <c r="P19" s="1"/>
      <c r="Q19" s="1"/>
      <c r="R19" s="1"/>
      <c r="S19" s="1"/>
      <c r="T19" s="1"/>
      <c r="U19" s="1"/>
      <c r="V19" s="1"/>
      <c r="W19" s="1"/>
      <c r="X19" s="1"/>
      <c r="Y19" s="1"/>
      <c r="Z19" s="1"/>
    </row>
    <row r="20" ht="16.5" customHeight="1">
      <c r="A20" s="1"/>
      <c r="B20" s="42"/>
      <c r="C20" s="8"/>
      <c r="D20" s="349"/>
      <c r="E20" s="350"/>
      <c r="F20" s="308"/>
      <c r="G20" s="274"/>
      <c r="H20" s="308"/>
      <c r="I20" s="280"/>
      <c r="J20" s="346"/>
      <c r="K20" s="276"/>
      <c r="L20" s="324"/>
      <c r="M20" s="281"/>
      <c r="N20" s="283"/>
      <c r="O20" s="1"/>
      <c r="P20" s="1"/>
      <c r="Q20" s="1"/>
      <c r="R20" s="1"/>
      <c r="S20" s="1"/>
      <c r="T20" s="1"/>
      <c r="U20" s="1"/>
      <c r="V20" s="1"/>
      <c r="W20" s="1"/>
      <c r="X20" s="1"/>
      <c r="Y20" s="1"/>
      <c r="Z20" s="1"/>
    </row>
    <row r="21" ht="16.5" customHeight="1">
      <c r="A21" s="1"/>
      <c r="B21" s="42"/>
      <c r="C21" s="8"/>
      <c r="D21" s="186"/>
      <c r="E21" s="352"/>
      <c r="F21" s="353"/>
      <c r="G21" s="274"/>
      <c r="H21" s="353"/>
      <c r="I21" s="280"/>
      <c r="J21" s="354"/>
      <c r="K21" s="276"/>
      <c r="L21" s="355"/>
      <c r="M21" s="281"/>
      <c r="N21" s="283"/>
      <c r="O21" s="1"/>
      <c r="P21" s="1"/>
      <c r="Q21" s="1"/>
      <c r="R21" s="1"/>
      <c r="S21" s="1"/>
      <c r="T21" s="1"/>
      <c r="U21" s="1"/>
      <c r="V21" s="1"/>
      <c r="W21" s="1"/>
      <c r="X21" s="1"/>
      <c r="Y21" s="1"/>
      <c r="Z21" s="1"/>
    </row>
    <row r="22" ht="16.5" customHeight="1">
      <c r="A22" s="1"/>
      <c r="B22" s="150"/>
      <c r="C22" s="291"/>
      <c r="D22" s="359"/>
      <c r="E22" s="360"/>
      <c r="F22" s="361"/>
      <c r="G22" s="362"/>
      <c r="H22" s="361"/>
      <c r="I22" s="363"/>
      <c r="J22" s="365"/>
      <c r="K22" s="366"/>
      <c r="L22" s="367"/>
      <c r="M22" s="292"/>
      <c r="N22" s="293"/>
      <c r="O22" s="1"/>
      <c r="P22" s="1"/>
      <c r="Q22" s="1"/>
      <c r="R22" s="1"/>
      <c r="S22" s="1"/>
      <c r="T22" s="1"/>
      <c r="U22" s="1"/>
      <c r="V22" s="1"/>
      <c r="W22" s="1"/>
      <c r="X22" s="1"/>
      <c r="Y22" s="1"/>
      <c r="Z22" s="1"/>
    </row>
    <row r="23" ht="16.5" customHeight="1">
      <c r="A23" s="1"/>
      <c r="B23" s="1"/>
      <c r="C23" s="1"/>
      <c r="D23" s="1"/>
      <c r="E23" s="1"/>
      <c r="F23" s="1"/>
      <c r="G23" s="1"/>
      <c r="H23" s="1"/>
      <c r="I23" s="1"/>
      <c r="J23" s="235"/>
      <c r="K23" s="235"/>
      <c r="L23" s="1"/>
      <c r="M23" s="1"/>
      <c r="N23" s="1"/>
      <c r="O23" s="1"/>
      <c r="P23" s="1"/>
      <c r="Q23" s="1"/>
      <c r="R23" s="1"/>
      <c r="S23" s="1"/>
      <c r="T23" s="1"/>
      <c r="U23" s="1"/>
      <c r="V23" s="1"/>
      <c r="W23" s="1"/>
      <c r="X23" s="1"/>
      <c r="Y23" s="1"/>
      <c r="Z23" s="1"/>
    </row>
    <row r="24" ht="16.5" customHeight="1">
      <c r="A24" s="1"/>
      <c r="B24" s="1"/>
      <c r="C24" s="1"/>
      <c r="D24" s="1"/>
      <c r="E24" s="1"/>
      <c r="F24" s="1"/>
      <c r="G24" s="1"/>
      <c r="H24" s="1"/>
      <c r="I24" s="1"/>
      <c r="J24" s="235"/>
      <c r="K24" s="235"/>
      <c r="L24" s="1"/>
      <c r="M24" s="1"/>
      <c r="N24" s="1"/>
      <c r="O24" s="1"/>
      <c r="P24" s="1"/>
      <c r="Q24" s="1"/>
      <c r="R24" s="1"/>
      <c r="S24" s="1"/>
      <c r="T24" s="1"/>
      <c r="U24" s="1"/>
      <c r="V24" s="1"/>
      <c r="W24" s="1"/>
      <c r="X24" s="1"/>
      <c r="Y24" s="1"/>
      <c r="Z24" s="1"/>
    </row>
    <row r="25" ht="16.5" customHeight="1">
      <c r="A25" s="1"/>
      <c r="B25" s="1"/>
      <c r="C25" s="1"/>
      <c r="D25" s="1"/>
      <c r="E25" s="1"/>
      <c r="F25" s="1"/>
      <c r="G25" s="1"/>
      <c r="H25" s="1"/>
      <c r="I25" s="1"/>
      <c r="J25" s="235"/>
      <c r="K25" s="235"/>
      <c r="L25" s="1"/>
      <c r="M25" s="1"/>
      <c r="N25" s="1"/>
      <c r="O25" s="1"/>
      <c r="P25" s="1"/>
      <c r="Q25" s="1"/>
      <c r="R25" s="1"/>
      <c r="S25" s="1"/>
      <c r="T25" s="1"/>
      <c r="U25" s="1"/>
      <c r="V25" s="1"/>
      <c r="W25" s="1"/>
      <c r="X25" s="1"/>
      <c r="Y25" s="1"/>
      <c r="Z25" s="1"/>
    </row>
    <row r="26" ht="16.5" customHeight="1">
      <c r="A26" s="1"/>
      <c r="B26" s="1"/>
      <c r="C26" s="1"/>
      <c r="D26" s="1"/>
      <c r="E26" s="1"/>
      <c r="F26" s="1"/>
      <c r="G26" s="1"/>
      <c r="H26" s="1"/>
      <c r="I26" s="1"/>
      <c r="J26" s="235"/>
      <c r="K26" s="235"/>
      <c r="L26" s="1"/>
      <c r="M26" s="1"/>
      <c r="N26" s="1"/>
      <c r="O26" s="1"/>
      <c r="P26" s="1"/>
      <c r="Q26" s="1"/>
      <c r="R26" s="1"/>
      <c r="S26" s="1"/>
      <c r="T26" s="1"/>
      <c r="U26" s="1"/>
      <c r="V26" s="1"/>
      <c r="W26" s="1"/>
      <c r="X26" s="1"/>
      <c r="Y26" s="1"/>
      <c r="Z26" s="1"/>
    </row>
    <row r="27" ht="15.75" customHeight="1">
      <c r="A27" s="1"/>
      <c r="B27" s="1"/>
      <c r="C27" s="8"/>
      <c r="D27" s="1"/>
      <c r="E27" s="1"/>
      <c r="F27" s="1"/>
      <c r="G27" s="1"/>
      <c r="H27" s="1"/>
      <c r="I27" s="1"/>
      <c r="J27" s="235"/>
      <c r="K27" s="235"/>
      <c r="L27" s="1"/>
      <c r="M27" s="1"/>
      <c r="N27" s="1"/>
      <c r="O27" s="1"/>
      <c r="P27" s="1"/>
      <c r="Q27" s="1"/>
      <c r="R27" s="1"/>
      <c r="S27" s="1"/>
      <c r="T27" s="1"/>
      <c r="U27" s="1"/>
      <c r="V27" s="1"/>
      <c r="W27" s="1"/>
      <c r="X27" s="1"/>
      <c r="Y27" s="1"/>
      <c r="Z27" s="1"/>
    </row>
    <row r="28" ht="15.75" customHeight="1">
      <c r="A28" s="1"/>
      <c r="B28" s="1"/>
      <c r="C28" s="8"/>
      <c r="D28" s="1"/>
      <c r="E28" s="1"/>
      <c r="F28" s="1"/>
      <c r="G28" s="1"/>
      <c r="H28" s="1"/>
      <c r="I28" s="1"/>
      <c r="J28" s="235"/>
      <c r="K28" s="235"/>
      <c r="L28" s="1"/>
      <c r="M28" s="1"/>
      <c r="N28" s="1"/>
      <c r="O28" s="1"/>
      <c r="P28" s="1"/>
      <c r="Q28" s="1"/>
      <c r="R28" s="1"/>
      <c r="S28" s="1"/>
      <c r="T28" s="1"/>
      <c r="U28" s="1"/>
      <c r="V28" s="1"/>
      <c r="W28" s="1"/>
      <c r="X28" s="1"/>
      <c r="Y28" s="1"/>
      <c r="Z28" s="1"/>
    </row>
    <row r="29" ht="15.75" customHeight="1">
      <c r="A29" s="1"/>
      <c r="B29" s="1"/>
      <c r="C29" s="8"/>
      <c r="D29" s="1"/>
      <c r="E29" s="1"/>
      <c r="F29" s="1"/>
      <c r="G29" s="1"/>
      <c r="H29" s="1"/>
      <c r="I29" s="1"/>
      <c r="J29" s="235"/>
      <c r="K29" s="235"/>
      <c r="L29" s="1"/>
      <c r="M29" s="1"/>
      <c r="N29" s="1"/>
      <c r="O29" s="1"/>
      <c r="P29" s="1"/>
      <c r="Q29" s="1"/>
      <c r="R29" s="1"/>
      <c r="S29" s="1"/>
      <c r="T29" s="1"/>
      <c r="U29" s="1"/>
      <c r="V29" s="1"/>
      <c r="W29" s="1"/>
      <c r="X29" s="1"/>
      <c r="Y29" s="1"/>
      <c r="Z29" s="1"/>
    </row>
    <row r="30" ht="15.75" customHeight="1">
      <c r="A30" s="1"/>
      <c r="B30" s="1"/>
      <c r="C30" s="8"/>
      <c r="D30" s="1"/>
      <c r="E30" s="1"/>
      <c r="F30" s="1"/>
      <c r="G30" s="1"/>
      <c r="H30" s="1"/>
      <c r="I30" s="1"/>
      <c r="J30" s="235"/>
      <c r="K30" s="235"/>
      <c r="L30" s="1"/>
      <c r="M30" s="1"/>
      <c r="N30" s="1"/>
      <c r="O30" s="1"/>
      <c r="P30" s="1"/>
      <c r="Q30" s="1"/>
      <c r="R30" s="1"/>
      <c r="S30" s="1"/>
      <c r="T30" s="1"/>
      <c r="U30" s="1"/>
      <c r="V30" s="1"/>
      <c r="W30" s="1"/>
      <c r="X30" s="1"/>
      <c r="Y30" s="1"/>
      <c r="Z30" s="1"/>
    </row>
    <row r="31" ht="15.75" customHeight="1">
      <c r="A31" s="1"/>
      <c r="B31" s="1"/>
      <c r="C31" s="306"/>
      <c r="D31" s="1"/>
      <c r="E31" s="1"/>
      <c r="F31" s="1"/>
      <c r="G31" s="1"/>
      <c r="H31" s="1"/>
      <c r="I31" s="1"/>
      <c r="J31" s="235"/>
      <c r="K31" s="235"/>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235"/>
      <c r="K32" s="235"/>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235"/>
      <c r="K33" s="235"/>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235"/>
      <c r="K34" s="235"/>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235"/>
      <c r="K35" s="235"/>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235"/>
      <c r="K36" s="235"/>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235"/>
      <c r="K37" s="235"/>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235"/>
      <c r="K38" s="235"/>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235"/>
      <c r="K39" s="235"/>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235"/>
      <c r="K40" s="235"/>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235"/>
      <c r="K41" s="235"/>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235"/>
      <c r="K42" s="235"/>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235"/>
      <c r="K43" s="235"/>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235"/>
      <c r="K44" s="235"/>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235"/>
      <c r="K45" s="235"/>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235"/>
      <c r="K46" s="235"/>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235"/>
      <c r="K47" s="235"/>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235"/>
      <c r="K48" s="235"/>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235"/>
      <c r="K49" s="235"/>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235"/>
      <c r="K50" s="235"/>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235"/>
      <c r="K51" s="235"/>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235"/>
      <c r="K52" s="235"/>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235"/>
      <c r="K53" s="235"/>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235"/>
      <c r="K54" s="235"/>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235"/>
      <c r="K55" s="235"/>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235"/>
      <c r="K56" s="235"/>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235"/>
      <c r="K57" s="235"/>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235"/>
      <c r="K58" s="235"/>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235"/>
      <c r="K59" s="235"/>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235"/>
      <c r="K60" s="235"/>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235"/>
      <c r="K61" s="235"/>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235"/>
      <c r="K62" s="235"/>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235"/>
      <c r="K63" s="235"/>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235"/>
      <c r="K64" s="235"/>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235"/>
      <c r="K65" s="235"/>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235"/>
      <c r="K66" s="235"/>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235"/>
      <c r="K67" s="235"/>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235"/>
      <c r="K68" s="235"/>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235"/>
      <c r="K69" s="235"/>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235"/>
      <c r="K70" s="235"/>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235"/>
      <c r="K71" s="235"/>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235"/>
      <c r="K72" s="235"/>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235"/>
      <c r="K73" s="235"/>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235"/>
      <c r="K74" s="235"/>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235"/>
      <c r="K75" s="235"/>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235"/>
      <c r="K76" s="235"/>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235"/>
      <c r="K77" s="235"/>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235"/>
      <c r="K78" s="235"/>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235"/>
      <c r="K79" s="235"/>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235"/>
      <c r="K80" s="235"/>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235"/>
      <c r="K81" s="235"/>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235"/>
      <c r="K82" s="235"/>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235"/>
      <c r="K83" s="235"/>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235"/>
      <c r="K84" s="235"/>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235"/>
      <c r="K85" s="235"/>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235"/>
      <c r="K86" s="235"/>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235"/>
      <c r="K87" s="235"/>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235"/>
      <c r="K88" s="235"/>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235"/>
      <c r="K89" s="235"/>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235"/>
      <c r="K90" s="235"/>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235"/>
      <c r="K91" s="235"/>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235"/>
      <c r="K92" s="235"/>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235"/>
      <c r="K93" s="235"/>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235"/>
      <c r="K94" s="235"/>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235"/>
      <c r="K95" s="235"/>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235"/>
      <c r="K96" s="235"/>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235"/>
      <c r="K97" s="235"/>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235"/>
      <c r="K98" s="235"/>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235"/>
      <c r="K99" s="235"/>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235"/>
      <c r="K100" s="235"/>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235"/>
      <c r="K101" s="235"/>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235"/>
      <c r="K102" s="235"/>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235"/>
      <c r="K103" s="235"/>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235"/>
      <c r="K104" s="235"/>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235"/>
      <c r="K105" s="235"/>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235"/>
      <c r="K106" s="235"/>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235"/>
      <c r="K107" s="235"/>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235"/>
      <c r="K108" s="235"/>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235"/>
      <c r="K109" s="235"/>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235"/>
      <c r="K110" s="235"/>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235"/>
      <c r="K111" s="235"/>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235"/>
      <c r="K112" s="235"/>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235"/>
      <c r="K113" s="235"/>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235"/>
      <c r="K114" s="235"/>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235"/>
      <c r="K115" s="235"/>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235"/>
      <c r="K116" s="235"/>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235"/>
      <c r="K117" s="235"/>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235"/>
      <c r="K118" s="235"/>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235"/>
      <c r="K119" s="235"/>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235"/>
      <c r="K120" s="235"/>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235"/>
      <c r="K121" s="235"/>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235"/>
      <c r="K122" s="235"/>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235"/>
      <c r="K123" s="235"/>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235"/>
      <c r="K124" s="235"/>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235"/>
      <c r="K125" s="235"/>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235"/>
      <c r="K126" s="235"/>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235"/>
      <c r="K127" s="235"/>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235"/>
      <c r="K128" s="235"/>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235"/>
      <c r="K129" s="235"/>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235"/>
      <c r="K130" s="235"/>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235"/>
      <c r="K131" s="235"/>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235"/>
      <c r="K132" s="235"/>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235"/>
      <c r="K133" s="235"/>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235"/>
      <c r="K134" s="235"/>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235"/>
      <c r="K135" s="235"/>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235"/>
      <c r="K136" s="235"/>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235"/>
      <c r="K137" s="235"/>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235"/>
      <c r="K138" s="235"/>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235"/>
      <c r="K139" s="235"/>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235"/>
      <c r="K140" s="235"/>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235"/>
      <c r="K141" s="235"/>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235"/>
      <c r="K142" s="235"/>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235"/>
      <c r="K143" s="235"/>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235"/>
      <c r="K144" s="235"/>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235"/>
      <c r="K145" s="235"/>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235"/>
      <c r="K146" s="235"/>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235"/>
      <c r="K147" s="235"/>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235"/>
      <c r="K148" s="235"/>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235"/>
      <c r="K149" s="235"/>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235"/>
      <c r="K150" s="235"/>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235"/>
      <c r="K151" s="235"/>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235"/>
      <c r="K152" s="235"/>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235"/>
      <c r="K153" s="235"/>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235"/>
      <c r="K154" s="235"/>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235"/>
      <c r="K155" s="235"/>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235"/>
      <c r="K156" s="235"/>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235"/>
      <c r="K157" s="235"/>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235"/>
      <c r="K158" s="235"/>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235"/>
      <c r="K159" s="235"/>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235"/>
      <c r="K160" s="235"/>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235"/>
      <c r="K161" s="235"/>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235"/>
      <c r="K162" s="235"/>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235"/>
      <c r="K163" s="235"/>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235"/>
      <c r="K164" s="235"/>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235"/>
      <c r="K165" s="235"/>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235"/>
      <c r="K166" s="235"/>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235"/>
      <c r="K167" s="235"/>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235"/>
      <c r="K168" s="235"/>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235"/>
      <c r="K169" s="235"/>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235"/>
      <c r="K170" s="235"/>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235"/>
      <c r="K171" s="235"/>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235"/>
      <c r="K172" s="235"/>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235"/>
      <c r="K173" s="235"/>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235"/>
      <c r="K174" s="235"/>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235"/>
      <c r="K175" s="235"/>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235"/>
      <c r="K176" s="235"/>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235"/>
      <c r="K177" s="235"/>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235"/>
      <c r="K178" s="235"/>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235"/>
      <c r="K179" s="235"/>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235"/>
      <c r="K180" s="235"/>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235"/>
      <c r="K181" s="235"/>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235"/>
      <c r="K182" s="235"/>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235"/>
      <c r="K183" s="235"/>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235"/>
      <c r="K184" s="235"/>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235"/>
      <c r="K185" s="235"/>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235"/>
      <c r="K186" s="235"/>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235"/>
      <c r="K187" s="235"/>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235"/>
      <c r="K188" s="235"/>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235"/>
      <c r="K189" s="235"/>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235"/>
      <c r="K190" s="235"/>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235"/>
      <c r="K191" s="235"/>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235"/>
      <c r="K192" s="235"/>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235"/>
      <c r="K193" s="235"/>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235"/>
      <c r="K194" s="235"/>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235"/>
      <c r="K195" s="235"/>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235"/>
      <c r="K196" s="235"/>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235"/>
      <c r="K197" s="235"/>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235"/>
      <c r="K198" s="235"/>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235"/>
      <c r="K199" s="235"/>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235"/>
      <c r="K200" s="235"/>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235"/>
      <c r="K201" s="235"/>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235"/>
      <c r="K202" s="235"/>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235"/>
      <c r="K203" s="235"/>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235"/>
      <c r="K204" s="235"/>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235"/>
      <c r="K205" s="235"/>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235"/>
      <c r="K206" s="235"/>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235"/>
      <c r="K207" s="235"/>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235"/>
      <c r="K208" s="235"/>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235"/>
      <c r="K209" s="235"/>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235"/>
      <c r="K210" s="235"/>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235"/>
      <c r="K211" s="235"/>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235"/>
      <c r="K212" s="235"/>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235"/>
      <c r="K213" s="235"/>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235"/>
      <c r="K214" s="235"/>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235"/>
      <c r="K215" s="235"/>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235"/>
      <c r="K216" s="235"/>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235"/>
      <c r="K217" s="235"/>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235"/>
      <c r="K218" s="235"/>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235"/>
      <c r="K219" s="235"/>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235"/>
      <c r="K220" s="235"/>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235"/>
      <c r="K221" s="235"/>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235"/>
      <c r="K222" s="235"/>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235"/>
      <c r="K223" s="235"/>
      <c r="L223" s="1"/>
      <c r="M223" s="1"/>
      <c r="N223" s="1"/>
      <c r="O223" s="1"/>
      <c r="P223" s="1"/>
      <c r="Q223" s="1"/>
      <c r="R223" s="1"/>
      <c r="S223" s="1"/>
      <c r="T223" s="1"/>
      <c r="U223" s="1"/>
      <c r="V223" s="1"/>
      <c r="W223" s="1"/>
      <c r="X223" s="1"/>
      <c r="Y223" s="1"/>
      <c r="Z223" s="1"/>
    </row>
    <row r="224" ht="16.5" customHeight="1">
      <c r="A224" s="1"/>
      <c r="B224" s="1"/>
      <c r="C224" s="1"/>
      <c r="D224" s="1"/>
      <c r="E224" s="1"/>
      <c r="F224" s="1"/>
      <c r="G224" s="1"/>
      <c r="H224" s="1"/>
      <c r="I224" s="1"/>
      <c r="J224" s="235"/>
      <c r="K224" s="235"/>
      <c r="L224" s="1"/>
      <c r="M224" s="1"/>
      <c r="N224" s="1"/>
      <c r="O224" s="1"/>
      <c r="P224" s="1"/>
      <c r="Q224" s="1"/>
      <c r="R224" s="1"/>
      <c r="S224" s="1"/>
      <c r="T224" s="1"/>
      <c r="U224" s="1"/>
      <c r="V224" s="1"/>
      <c r="W224" s="1"/>
      <c r="X224" s="1"/>
      <c r="Y224" s="1"/>
      <c r="Z224" s="1"/>
    </row>
    <row r="225" ht="16.5" customHeight="1">
      <c r="A225" s="1"/>
      <c r="B225" s="1"/>
      <c r="C225" s="1"/>
      <c r="D225" s="1"/>
      <c r="E225" s="1"/>
      <c r="F225" s="1"/>
      <c r="G225" s="1"/>
      <c r="H225" s="1"/>
      <c r="I225" s="1"/>
      <c r="J225" s="235"/>
      <c r="K225" s="235"/>
      <c r="L225" s="1"/>
      <c r="M225" s="1"/>
      <c r="N225" s="1"/>
      <c r="O225" s="1"/>
      <c r="P225" s="1"/>
      <c r="Q225" s="1"/>
      <c r="R225" s="1"/>
      <c r="S225" s="1"/>
      <c r="T225" s="1"/>
      <c r="U225" s="1"/>
      <c r="V225" s="1"/>
      <c r="W225" s="1"/>
      <c r="X225" s="1"/>
      <c r="Y225" s="1"/>
      <c r="Z225" s="1"/>
    </row>
    <row r="226" ht="16.5" customHeight="1">
      <c r="A226" s="1"/>
      <c r="B226" s="1"/>
      <c r="C226" s="1"/>
      <c r="D226" s="1"/>
      <c r="E226" s="1"/>
      <c r="F226" s="1"/>
      <c r="G226" s="1"/>
      <c r="H226" s="1"/>
      <c r="I226" s="1"/>
      <c r="J226" s="235"/>
      <c r="K226" s="235"/>
      <c r="L226" s="1"/>
      <c r="M226" s="1"/>
      <c r="N226" s="1"/>
      <c r="O226" s="1"/>
      <c r="P226" s="1"/>
      <c r="Q226" s="1"/>
      <c r="R226" s="1"/>
      <c r="S226" s="1"/>
      <c r="T226" s="1"/>
      <c r="U226" s="1"/>
      <c r="V226" s="1"/>
      <c r="W226" s="1"/>
      <c r="X226" s="1"/>
      <c r="Y226" s="1"/>
      <c r="Z226" s="1"/>
    </row>
    <row r="227" ht="16.5" customHeight="1">
      <c r="A227" s="1"/>
      <c r="B227" s="1"/>
      <c r="C227" s="1"/>
      <c r="D227" s="1"/>
      <c r="E227" s="1"/>
      <c r="F227" s="1"/>
      <c r="G227" s="1"/>
      <c r="H227" s="1"/>
      <c r="I227" s="1"/>
      <c r="J227" s="235"/>
      <c r="K227" s="235"/>
      <c r="L227" s="1"/>
      <c r="M227" s="1"/>
      <c r="N227" s="1"/>
      <c r="O227" s="1"/>
      <c r="P227" s="1"/>
      <c r="Q227" s="1"/>
      <c r="R227" s="1"/>
      <c r="S227" s="1"/>
      <c r="T227" s="1"/>
      <c r="U227" s="1"/>
      <c r="V227" s="1"/>
      <c r="W227" s="1"/>
      <c r="X227" s="1"/>
      <c r="Y227" s="1"/>
      <c r="Z227" s="1"/>
    </row>
    <row r="228" ht="16.5" customHeight="1">
      <c r="A228" s="1"/>
      <c r="B228" s="1"/>
      <c r="C228" s="1"/>
      <c r="D228" s="1"/>
      <c r="E228" s="1"/>
      <c r="F228" s="1"/>
      <c r="G228" s="1"/>
      <c r="H228" s="1"/>
      <c r="I228" s="1"/>
      <c r="J228" s="235"/>
      <c r="K228" s="235"/>
      <c r="L228" s="1"/>
      <c r="M228" s="1"/>
      <c r="N228" s="1"/>
      <c r="O228" s="1"/>
      <c r="P228" s="1"/>
      <c r="Q228" s="1"/>
      <c r="R228" s="1"/>
      <c r="S228" s="1"/>
      <c r="T228" s="1"/>
      <c r="U228" s="1"/>
      <c r="V228" s="1"/>
      <c r="W228" s="1"/>
      <c r="X228" s="1"/>
      <c r="Y228" s="1"/>
      <c r="Z228" s="1"/>
    </row>
    <row r="229" ht="16.5" customHeight="1">
      <c r="A229" s="1"/>
      <c r="B229" s="1"/>
      <c r="C229" s="1"/>
      <c r="D229" s="1"/>
      <c r="E229" s="1"/>
      <c r="F229" s="1"/>
      <c r="G229" s="1"/>
      <c r="H229" s="1"/>
      <c r="I229" s="1"/>
      <c r="J229" s="235"/>
      <c r="K229" s="235"/>
      <c r="L229" s="1"/>
      <c r="M229" s="1"/>
      <c r="N229" s="1"/>
      <c r="O229" s="1"/>
      <c r="P229" s="1"/>
      <c r="Q229" s="1"/>
      <c r="R229" s="1"/>
      <c r="S229" s="1"/>
      <c r="T229" s="1"/>
      <c r="U229" s="1"/>
      <c r="V229" s="1"/>
      <c r="W229" s="1"/>
      <c r="X229" s="1"/>
      <c r="Y229" s="1"/>
      <c r="Z229" s="1"/>
    </row>
    <row r="230" ht="16.5" customHeight="1">
      <c r="A230" s="1"/>
      <c r="B230" s="1"/>
      <c r="C230" s="1"/>
      <c r="D230" s="1"/>
      <c r="E230" s="1"/>
      <c r="F230" s="1"/>
      <c r="G230" s="1"/>
      <c r="H230" s="1"/>
      <c r="I230" s="1"/>
      <c r="J230" s="235"/>
      <c r="K230" s="235"/>
      <c r="L230" s="1"/>
      <c r="M230" s="1"/>
      <c r="N230" s="1"/>
      <c r="O230" s="1"/>
      <c r="P230" s="1"/>
      <c r="Q230" s="1"/>
      <c r="R230" s="1"/>
      <c r="S230" s="1"/>
      <c r="T230" s="1"/>
      <c r="U230" s="1"/>
      <c r="V230" s="1"/>
      <c r="W230" s="1"/>
      <c r="X230" s="1"/>
      <c r="Y230" s="1"/>
      <c r="Z230" s="1"/>
    </row>
    <row r="231" ht="16.5" customHeight="1">
      <c r="A231" s="1"/>
      <c r="B231" s="1"/>
      <c r="C231" s="1"/>
      <c r="D231" s="1"/>
      <c r="E231" s="1"/>
      <c r="F231" s="1"/>
      <c r="G231" s="1"/>
      <c r="H231" s="1"/>
      <c r="I231" s="1"/>
      <c r="J231" s="235"/>
      <c r="K231" s="235"/>
      <c r="L231" s="1"/>
      <c r="M231" s="1"/>
      <c r="N231" s="1"/>
      <c r="O231" s="1"/>
      <c r="P231" s="1"/>
      <c r="Q231" s="1"/>
      <c r="R231" s="1"/>
      <c r="S231" s="1"/>
      <c r="T231" s="1"/>
      <c r="U231" s="1"/>
      <c r="V231" s="1"/>
      <c r="W231" s="1"/>
      <c r="X231" s="1"/>
      <c r="Y231" s="1"/>
      <c r="Z231" s="1"/>
    </row>
    <row r="232" ht="16.5" customHeight="1">
      <c r="A232" s="1"/>
      <c r="B232" s="1"/>
      <c r="C232" s="1"/>
      <c r="D232" s="1"/>
      <c r="E232" s="1"/>
      <c r="F232" s="1"/>
      <c r="G232" s="1"/>
      <c r="H232" s="1"/>
      <c r="I232" s="1"/>
      <c r="J232" s="235"/>
      <c r="K232" s="235"/>
      <c r="L232" s="1"/>
      <c r="M232" s="1"/>
      <c r="N232" s="1"/>
      <c r="O232" s="1"/>
      <c r="P232" s="1"/>
      <c r="Q232" s="1"/>
      <c r="R232" s="1"/>
      <c r="S232" s="1"/>
      <c r="T232" s="1"/>
      <c r="U232" s="1"/>
      <c r="V232" s="1"/>
      <c r="W232" s="1"/>
      <c r="X232" s="1"/>
      <c r="Y232" s="1"/>
      <c r="Z232" s="1"/>
    </row>
    <row r="233" ht="16.5" customHeight="1">
      <c r="A233" s="1"/>
      <c r="B233" s="1"/>
      <c r="C233" s="1"/>
      <c r="D233" s="1"/>
      <c r="E233" s="1"/>
      <c r="F233" s="1"/>
      <c r="G233" s="1"/>
      <c r="H233" s="1"/>
      <c r="I233" s="1"/>
      <c r="J233" s="235"/>
      <c r="K233" s="235"/>
      <c r="L233" s="1"/>
      <c r="M233" s="1"/>
      <c r="N233" s="1"/>
      <c r="O233" s="1"/>
      <c r="P233" s="1"/>
      <c r="Q233" s="1"/>
      <c r="R233" s="1"/>
      <c r="S233" s="1"/>
      <c r="T233" s="1"/>
      <c r="U233" s="1"/>
      <c r="V233" s="1"/>
      <c r="W233" s="1"/>
      <c r="X233" s="1"/>
      <c r="Y233" s="1"/>
      <c r="Z233" s="1"/>
    </row>
    <row r="234" ht="16.5" customHeight="1">
      <c r="A234" s="1"/>
      <c r="B234" s="1"/>
      <c r="C234" s="1"/>
      <c r="D234" s="1"/>
      <c r="E234" s="1"/>
      <c r="F234" s="1"/>
      <c r="G234" s="1"/>
      <c r="H234" s="1"/>
      <c r="I234" s="1"/>
      <c r="J234" s="235"/>
      <c r="K234" s="235"/>
      <c r="L234" s="1"/>
      <c r="M234" s="1"/>
      <c r="N234" s="1"/>
      <c r="O234" s="1"/>
      <c r="P234" s="1"/>
      <c r="Q234" s="1"/>
      <c r="R234" s="1"/>
      <c r="S234" s="1"/>
      <c r="T234" s="1"/>
      <c r="U234" s="1"/>
      <c r="V234" s="1"/>
      <c r="W234" s="1"/>
      <c r="X234" s="1"/>
      <c r="Y234" s="1"/>
      <c r="Z234" s="1"/>
    </row>
    <row r="235" ht="16.5" customHeight="1">
      <c r="A235" s="1"/>
      <c r="B235" s="1"/>
      <c r="C235" s="1"/>
      <c r="D235" s="1"/>
      <c r="E235" s="1"/>
      <c r="F235" s="1"/>
      <c r="G235" s="1"/>
      <c r="H235" s="1"/>
      <c r="I235" s="1"/>
      <c r="J235" s="235"/>
      <c r="K235" s="235"/>
      <c r="L235" s="1"/>
      <c r="M235" s="1"/>
      <c r="N235" s="1"/>
      <c r="O235" s="1"/>
      <c r="P235" s="1"/>
      <c r="Q235" s="1"/>
      <c r="R235" s="1"/>
      <c r="S235" s="1"/>
      <c r="T235" s="1"/>
      <c r="U235" s="1"/>
      <c r="V235" s="1"/>
      <c r="W235" s="1"/>
      <c r="X235" s="1"/>
      <c r="Y235" s="1"/>
      <c r="Z235" s="1"/>
    </row>
    <row r="236" ht="16.5" customHeight="1">
      <c r="A236" s="1"/>
      <c r="B236" s="1"/>
      <c r="C236" s="1"/>
      <c r="D236" s="1"/>
      <c r="E236" s="1"/>
      <c r="F236" s="1"/>
      <c r="G236" s="1"/>
      <c r="H236" s="1"/>
      <c r="I236" s="1"/>
      <c r="J236" s="235"/>
      <c r="K236" s="235"/>
      <c r="L236" s="1"/>
      <c r="M236" s="1"/>
      <c r="N236" s="1"/>
      <c r="O236" s="1"/>
      <c r="P236" s="1"/>
      <c r="Q236" s="1"/>
      <c r="R236" s="1"/>
      <c r="S236" s="1"/>
      <c r="T236" s="1"/>
      <c r="U236" s="1"/>
      <c r="V236" s="1"/>
      <c r="W236" s="1"/>
      <c r="X236" s="1"/>
      <c r="Y236" s="1"/>
      <c r="Z236" s="1"/>
    </row>
    <row r="237" ht="16.5" customHeight="1">
      <c r="A237" s="1"/>
      <c r="B237" s="1"/>
      <c r="C237" s="1"/>
      <c r="D237" s="1"/>
      <c r="E237" s="1"/>
      <c r="F237" s="1"/>
      <c r="G237" s="1"/>
      <c r="H237" s="1"/>
      <c r="I237" s="1"/>
      <c r="J237" s="235"/>
      <c r="K237" s="235"/>
      <c r="L237" s="1"/>
      <c r="M237" s="1"/>
      <c r="N237" s="1"/>
      <c r="O237" s="1"/>
      <c r="P237" s="1"/>
      <c r="Q237" s="1"/>
      <c r="R237" s="1"/>
      <c r="S237" s="1"/>
      <c r="T237" s="1"/>
      <c r="U237" s="1"/>
      <c r="V237" s="1"/>
      <c r="W237" s="1"/>
      <c r="X237" s="1"/>
      <c r="Y237" s="1"/>
      <c r="Z237" s="1"/>
    </row>
    <row r="238" ht="16.5" customHeight="1">
      <c r="A238" s="1"/>
      <c r="B238" s="1"/>
      <c r="C238" s="1"/>
      <c r="D238" s="1"/>
      <c r="E238" s="1"/>
      <c r="F238" s="1"/>
      <c r="G238" s="1"/>
      <c r="H238" s="1"/>
      <c r="I238" s="1"/>
      <c r="J238" s="235"/>
      <c r="K238" s="235"/>
      <c r="L238" s="1"/>
      <c r="M238" s="1"/>
      <c r="N238" s="1"/>
      <c r="O238" s="1"/>
      <c r="P238" s="1"/>
      <c r="Q238" s="1"/>
      <c r="R238" s="1"/>
      <c r="S238" s="1"/>
      <c r="T238" s="1"/>
      <c r="U238" s="1"/>
      <c r="V238" s="1"/>
      <c r="W238" s="1"/>
      <c r="X238" s="1"/>
      <c r="Y238" s="1"/>
      <c r="Z238" s="1"/>
    </row>
    <row r="239" ht="16.5" customHeight="1">
      <c r="A239" s="1"/>
      <c r="B239" s="1"/>
      <c r="C239" s="1"/>
      <c r="D239" s="1"/>
      <c r="E239" s="1"/>
      <c r="F239" s="1"/>
      <c r="G239" s="1"/>
      <c r="H239" s="1"/>
      <c r="I239" s="1"/>
      <c r="J239" s="235"/>
      <c r="K239" s="235"/>
      <c r="L239" s="1"/>
      <c r="M239" s="1"/>
      <c r="N239" s="1"/>
      <c r="O239" s="1"/>
      <c r="P239" s="1"/>
      <c r="Q239" s="1"/>
      <c r="R239" s="1"/>
      <c r="S239" s="1"/>
      <c r="T239" s="1"/>
      <c r="U239" s="1"/>
      <c r="V239" s="1"/>
      <c r="W239" s="1"/>
      <c r="X239" s="1"/>
      <c r="Y239" s="1"/>
      <c r="Z239" s="1"/>
    </row>
    <row r="240" ht="16.5" customHeight="1">
      <c r="A240" s="1"/>
      <c r="B240" s="1"/>
      <c r="C240" s="1"/>
      <c r="D240" s="1"/>
      <c r="E240" s="1"/>
      <c r="F240" s="1"/>
      <c r="G240" s="1"/>
      <c r="H240" s="1"/>
      <c r="I240" s="1"/>
      <c r="J240" s="235"/>
      <c r="K240" s="235"/>
      <c r="L240" s="1"/>
      <c r="M240" s="1"/>
      <c r="N240" s="1"/>
      <c r="O240" s="1"/>
      <c r="P240" s="1"/>
      <c r="Q240" s="1"/>
      <c r="R240" s="1"/>
      <c r="S240" s="1"/>
      <c r="T240" s="1"/>
      <c r="U240" s="1"/>
      <c r="V240" s="1"/>
      <c r="W240" s="1"/>
      <c r="X240" s="1"/>
      <c r="Y240" s="1"/>
      <c r="Z240" s="1"/>
    </row>
    <row r="241" ht="16.5" customHeight="1">
      <c r="A241" s="1"/>
      <c r="B241" s="1"/>
      <c r="C241" s="1"/>
      <c r="D241" s="1"/>
      <c r="E241" s="1"/>
      <c r="F241" s="1"/>
      <c r="G241" s="1"/>
      <c r="H241" s="1"/>
      <c r="I241" s="1"/>
      <c r="J241" s="235"/>
      <c r="K241" s="235"/>
      <c r="L241" s="1"/>
      <c r="M241" s="1"/>
      <c r="N241" s="1"/>
      <c r="O241" s="1"/>
      <c r="P241" s="1"/>
      <c r="Q241" s="1"/>
      <c r="R241" s="1"/>
      <c r="S241" s="1"/>
      <c r="T241" s="1"/>
      <c r="U241" s="1"/>
      <c r="V241" s="1"/>
      <c r="W241" s="1"/>
      <c r="X241" s="1"/>
      <c r="Y241" s="1"/>
      <c r="Z241" s="1"/>
    </row>
    <row r="242" ht="16.5" customHeight="1">
      <c r="A242" s="1"/>
      <c r="B242" s="1"/>
      <c r="C242" s="1"/>
      <c r="D242" s="1"/>
      <c r="E242" s="1"/>
      <c r="F242" s="1"/>
      <c r="G242" s="1"/>
      <c r="H242" s="1"/>
      <c r="I242" s="1"/>
      <c r="J242" s="235"/>
      <c r="K242" s="235"/>
      <c r="L242" s="1"/>
      <c r="M242" s="1"/>
      <c r="N242" s="1"/>
      <c r="O242" s="1"/>
      <c r="P242" s="1"/>
      <c r="Q242" s="1"/>
      <c r="R242" s="1"/>
      <c r="S242" s="1"/>
      <c r="T242" s="1"/>
      <c r="U242" s="1"/>
      <c r="V242" s="1"/>
      <c r="W242" s="1"/>
      <c r="X242" s="1"/>
      <c r="Y242" s="1"/>
      <c r="Z242" s="1"/>
    </row>
    <row r="243" ht="16.5" customHeight="1">
      <c r="A243" s="1"/>
      <c r="B243" s="1"/>
      <c r="C243" s="1"/>
      <c r="D243" s="1"/>
      <c r="E243" s="1"/>
      <c r="F243" s="1"/>
      <c r="G243" s="1"/>
      <c r="H243" s="1"/>
      <c r="I243" s="1"/>
      <c r="J243" s="235"/>
      <c r="K243" s="235"/>
      <c r="L243" s="1"/>
      <c r="M243" s="1"/>
      <c r="N243" s="1"/>
      <c r="O243" s="1"/>
      <c r="P243" s="1"/>
      <c r="Q243" s="1"/>
      <c r="R243" s="1"/>
      <c r="S243" s="1"/>
      <c r="T243" s="1"/>
      <c r="U243" s="1"/>
      <c r="V243" s="1"/>
      <c r="W243" s="1"/>
      <c r="X243" s="1"/>
      <c r="Y243" s="1"/>
      <c r="Z243" s="1"/>
    </row>
    <row r="244" ht="16.5" customHeight="1">
      <c r="A244" s="1"/>
      <c r="B244" s="1"/>
      <c r="C244" s="1"/>
      <c r="D244" s="1"/>
      <c r="E244" s="1"/>
      <c r="F244" s="1"/>
      <c r="G244" s="1"/>
      <c r="H244" s="1"/>
      <c r="I244" s="1"/>
      <c r="J244" s="235"/>
      <c r="K244" s="235"/>
      <c r="L244" s="1"/>
      <c r="M244" s="1"/>
      <c r="N244" s="1"/>
      <c r="O244" s="1"/>
      <c r="P244" s="1"/>
      <c r="Q244" s="1"/>
      <c r="R244" s="1"/>
      <c r="S244" s="1"/>
      <c r="T244" s="1"/>
      <c r="U244" s="1"/>
      <c r="V244" s="1"/>
      <c r="W244" s="1"/>
      <c r="X244" s="1"/>
      <c r="Y244" s="1"/>
      <c r="Z244" s="1"/>
    </row>
    <row r="245" ht="16.5" customHeight="1">
      <c r="A245" s="1"/>
      <c r="B245" s="1"/>
      <c r="C245" s="1"/>
      <c r="D245" s="1"/>
      <c r="E245" s="1"/>
      <c r="F245" s="1"/>
      <c r="G245" s="1"/>
      <c r="H245" s="1"/>
      <c r="I245" s="1"/>
      <c r="J245" s="235"/>
      <c r="K245" s="235"/>
      <c r="L245" s="1"/>
      <c r="M245" s="1"/>
      <c r="N245" s="1"/>
      <c r="O245" s="1"/>
      <c r="P245" s="1"/>
      <c r="Q245" s="1"/>
      <c r="R245" s="1"/>
      <c r="S245" s="1"/>
      <c r="T245" s="1"/>
      <c r="U245" s="1"/>
      <c r="V245" s="1"/>
      <c r="W245" s="1"/>
      <c r="X245" s="1"/>
      <c r="Y245" s="1"/>
      <c r="Z245" s="1"/>
    </row>
    <row r="246" ht="16.5" customHeight="1">
      <c r="A246" s="1"/>
      <c r="B246" s="1"/>
      <c r="C246" s="1"/>
      <c r="D246" s="1"/>
      <c r="E246" s="1"/>
      <c r="F246" s="1"/>
      <c r="G246" s="1"/>
      <c r="H246" s="1"/>
      <c r="I246" s="1"/>
      <c r="J246" s="235"/>
      <c r="K246" s="235"/>
      <c r="L246" s="1"/>
      <c r="M246" s="1"/>
      <c r="N246" s="1"/>
      <c r="O246" s="1"/>
      <c r="P246" s="1"/>
      <c r="Q246" s="1"/>
      <c r="R246" s="1"/>
      <c r="S246" s="1"/>
      <c r="T246" s="1"/>
      <c r="U246" s="1"/>
      <c r="V246" s="1"/>
      <c r="W246" s="1"/>
      <c r="X246" s="1"/>
      <c r="Y246" s="1"/>
      <c r="Z246" s="1"/>
    </row>
    <row r="247" ht="16.5" customHeight="1">
      <c r="A247" s="1"/>
      <c r="B247" s="1"/>
      <c r="C247" s="1"/>
      <c r="D247" s="1"/>
      <c r="E247" s="1"/>
      <c r="F247" s="1"/>
      <c r="G247" s="1"/>
      <c r="H247" s="1"/>
      <c r="I247" s="1"/>
      <c r="J247" s="235"/>
      <c r="K247" s="235"/>
      <c r="L247" s="1"/>
      <c r="M247" s="1"/>
      <c r="N247" s="1"/>
      <c r="O247" s="1"/>
      <c r="P247" s="1"/>
      <c r="Q247" s="1"/>
      <c r="R247" s="1"/>
      <c r="S247" s="1"/>
      <c r="T247" s="1"/>
      <c r="U247" s="1"/>
      <c r="V247" s="1"/>
      <c r="W247" s="1"/>
      <c r="X247" s="1"/>
      <c r="Y247" s="1"/>
      <c r="Z247" s="1"/>
    </row>
    <row r="248" ht="16.5" customHeight="1">
      <c r="A248" s="1"/>
      <c r="B248" s="1"/>
      <c r="C248" s="1"/>
      <c r="D248" s="1"/>
      <c r="E248" s="1"/>
      <c r="F248" s="1"/>
      <c r="G248" s="1"/>
      <c r="H248" s="1"/>
      <c r="I248" s="1"/>
      <c r="J248" s="235"/>
      <c r="K248" s="235"/>
      <c r="L248" s="1"/>
      <c r="M248" s="1"/>
      <c r="N248" s="1"/>
      <c r="O248" s="1"/>
      <c r="P248" s="1"/>
      <c r="Q248" s="1"/>
      <c r="R248" s="1"/>
      <c r="S248" s="1"/>
      <c r="T248" s="1"/>
      <c r="U248" s="1"/>
      <c r="V248" s="1"/>
      <c r="W248" s="1"/>
      <c r="X248" s="1"/>
      <c r="Y248" s="1"/>
      <c r="Z248" s="1"/>
    </row>
    <row r="249" ht="16.5" customHeight="1">
      <c r="A249" s="1"/>
      <c r="B249" s="1"/>
      <c r="C249" s="1"/>
      <c r="D249" s="1"/>
      <c r="E249" s="1"/>
      <c r="F249" s="1"/>
      <c r="G249" s="1"/>
      <c r="H249" s="1"/>
      <c r="I249" s="1"/>
      <c r="J249" s="235"/>
      <c r="K249" s="235"/>
      <c r="L249" s="1"/>
      <c r="M249" s="1"/>
      <c r="N249" s="1"/>
      <c r="O249" s="1"/>
      <c r="P249" s="1"/>
      <c r="Q249" s="1"/>
      <c r="R249" s="1"/>
      <c r="S249" s="1"/>
      <c r="T249" s="1"/>
      <c r="U249" s="1"/>
      <c r="V249" s="1"/>
      <c r="W249" s="1"/>
      <c r="X249" s="1"/>
      <c r="Y249" s="1"/>
      <c r="Z249" s="1"/>
    </row>
    <row r="250" ht="16.5" customHeight="1">
      <c r="A250" s="1"/>
      <c r="B250" s="1"/>
      <c r="C250" s="1"/>
      <c r="D250" s="1"/>
      <c r="E250" s="1"/>
      <c r="F250" s="1"/>
      <c r="G250" s="1"/>
      <c r="H250" s="1"/>
      <c r="I250" s="1"/>
      <c r="J250" s="235"/>
      <c r="K250" s="235"/>
      <c r="L250" s="1"/>
      <c r="M250" s="1"/>
      <c r="N250" s="1"/>
      <c r="O250" s="1"/>
      <c r="P250" s="1"/>
      <c r="Q250" s="1"/>
      <c r="R250" s="1"/>
      <c r="S250" s="1"/>
      <c r="T250" s="1"/>
      <c r="U250" s="1"/>
      <c r="V250" s="1"/>
      <c r="W250" s="1"/>
      <c r="X250" s="1"/>
      <c r="Y250" s="1"/>
      <c r="Z250" s="1"/>
    </row>
    <row r="251" ht="16.5" customHeight="1">
      <c r="A251" s="1"/>
      <c r="B251" s="1"/>
      <c r="C251" s="1"/>
      <c r="D251" s="1"/>
      <c r="E251" s="1"/>
      <c r="F251" s="1"/>
      <c r="G251" s="1"/>
      <c r="H251" s="1"/>
      <c r="I251" s="1"/>
      <c r="J251" s="235"/>
      <c r="K251" s="235"/>
      <c r="L251" s="1"/>
      <c r="M251" s="1"/>
      <c r="N251" s="1"/>
      <c r="O251" s="1"/>
      <c r="P251" s="1"/>
      <c r="Q251" s="1"/>
      <c r="R251" s="1"/>
      <c r="S251" s="1"/>
      <c r="T251" s="1"/>
      <c r="U251" s="1"/>
      <c r="V251" s="1"/>
      <c r="W251" s="1"/>
      <c r="X251" s="1"/>
      <c r="Y251" s="1"/>
      <c r="Z251" s="1"/>
    </row>
    <row r="252" ht="16.5" customHeight="1">
      <c r="A252" s="1"/>
      <c r="B252" s="1"/>
      <c r="C252" s="1"/>
      <c r="D252" s="1"/>
      <c r="E252" s="1"/>
      <c r="F252" s="1"/>
      <c r="G252" s="1"/>
      <c r="H252" s="1"/>
      <c r="I252" s="1"/>
      <c r="J252" s="235"/>
      <c r="K252" s="235"/>
      <c r="L252" s="1"/>
      <c r="M252" s="1"/>
      <c r="N252" s="1"/>
      <c r="O252" s="1"/>
      <c r="P252" s="1"/>
      <c r="Q252" s="1"/>
      <c r="R252" s="1"/>
      <c r="S252" s="1"/>
      <c r="T252" s="1"/>
      <c r="U252" s="1"/>
      <c r="V252" s="1"/>
      <c r="W252" s="1"/>
      <c r="X252" s="1"/>
      <c r="Y252" s="1"/>
      <c r="Z252" s="1"/>
    </row>
    <row r="253" ht="16.5" customHeight="1">
      <c r="A253" s="1"/>
      <c r="B253" s="1"/>
      <c r="C253" s="1"/>
      <c r="D253" s="1"/>
      <c r="E253" s="1"/>
      <c r="F253" s="1"/>
      <c r="G253" s="1"/>
      <c r="H253" s="1"/>
      <c r="I253" s="1"/>
      <c r="J253" s="235"/>
      <c r="K253" s="235"/>
      <c r="L253" s="1"/>
      <c r="M253" s="1"/>
      <c r="N253" s="1"/>
      <c r="O253" s="1"/>
      <c r="P253" s="1"/>
      <c r="Q253" s="1"/>
      <c r="R253" s="1"/>
      <c r="S253" s="1"/>
      <c r="T253" s="1"/>
      <c r="U253" s="1"/>
      <c r="V253" s="1"/>
      <c r="W253" s="1"/>
      <c r="X253" s="1"/>
      <c r="Y253" s="1"/>
      <c r="Z253" s="1"/>
    </row>
    <row r="254" ht="16.5" customHeight="1">
      <c r="A254" s="1"/>
      <c r="B254" s="1"/>
      <c r="C254" s="1"/>
      <c r="D254" s="1"/>
      <c r="E254" s="1"/>
      <c r="F254" s="1"/>
      <c r="G254" s="1"/>
      <c r="H254" s="1"/>
      <c r="I254" s="1"/>
      <c r="J254" s="235"/>
      <c r="K254" s="235"/>
      <c r="L254" s="1"/>
      <c r="M254" s="1"/>
      <c r="N254" s="1"/>
      <c r="O254" s="1"/>
      <c r="P254" s="1"/>
      <c r="Q254" s="1"/>
      <c r="R254" s="1"/>
      <c r="S254" s="1"/>
      <c r="T254" s="1"/>
      <c r="U254" s="1"/>
      <c r="V254" s="1"/>
      <c r="W254" s="1"/>
      <c r="X254" s="1"/>
      <c r="Y254" s="1"/>
      <c r="Z254" s="1"/>
    </row>
    <row r="255" ht="16.5" customHeight="1">
      <c r="A255" s="1"/>
      <c r="B255" s="1"/>
      <c r="C255" s="1"/>
      <c r="D255" s="1"/>
      <c r="E255" s="1"/>
      <c r="F255" s="1"/>
      <c r="G255" s="1"/>
      <c r="H255" s="1"/>
      <c r="I255" s="1"/>
      <c r="J255" s="235"/>
      <c r="K255" s="235"/>
      <c r="L255" s="1"/>
      <c r="M255" s="1"/>
      <c r="N255" s="1"/>
      <c r="O255" s="1"/>
      <c r="P255" s="1"/>
      <c r="Q255" s="1"/>
      <c r="R255" s="1"/>
      <c r="S255" s="1"/>
      <c r="T255" s="1"/>
      <c r="U255" s="1"/>
      <c r="V255" s="1"/>
      <c r="W255" s="1"/>
      <c r="X255" s="1"/>
      <c r="Y255" s="1"/>
      <c r="Z255" s="1"/>
    </row>
    <row r="256" ht="16.5" customHeight="1">
      <c r="A256" s="1"/>
      <c r="B256" s="1"/>
      <c r="C256" s="1"/>
      <c r="D256" s="1"/>
      <c r="E256" s="1"/>
      <c r="F256" s="1"/>
      <c r="G256" s="1"/>
      <c r="H256" s="1"/>
      <c r="I256" s="1"/>
      <c r="J256" s="235"/>
      <c r="K256" s="235"/>
      <c r="L256" s="1"/>
      <c r="M256" s="1"/>
      <c r="N256" s="1"/>
      <c r="O256" s="1"/>
      <c r="P256" s="1"/>
      <c r="Q256" s="1"/>
      <c r="R256" s="1"/>
      <c r="S256" s="1"/>
      <c r="T256" s="1"/>
      <c r="U256" s="1"/>
      <c r="V256" s="1"/>
      <c r="W256" s="1"/>
      <c r="X256" s="1"/>
      <c r="Y256" s="1"/>
      <c r="Z256" s="1"/>
    </row>
    <row r="257" ht="16.5" customHeight="1">
      <c r="A257" s="1"/>
      <c r="B257" s="1"/>
      <c r="C257" s="1"/>
      <c r="D257" s="1"/>
      <c r="E257" s="1"/>
      <c r="F257" s="1"/>
      <c r="G257" s="1"/>
      <c r="H257" s="1"/>
      <c r="I257" s="1"/>
      <c r="J257" s="235"/>
      <c r="K257" s="235"/>
      <c r="L257" s="1"/>
      <c r="M257" s="1"/>
      <c r="N257" s="1"/>
      <c r="O257" s="1"/>
      <c r="P257" s="1"/>
      <c r="Q257" s="1"/>
      <c r="R257" s="1"/>
      <c r="S257" s="1"/>
      <c r="T257" s="1"/>
      <c r="U257" s="1"/>
      <c r="V257" s="1"/>
      <c r="W257" s="1"/>
      <c r="X257" s="1"/>
      <c r="Y257" s="1"/>
      <c r="Z257" s="1"/>
    </row>
    <row r="258" ht="16.5" customHeight="1">
      <c r="A258" s="1"/>
      <c r="B258" s="1"/>
      <c r="C258" s="1"/>
      <c r="D258" s="1"/>
      <c r="E258" s="1"/>
      <c r="F258" s="1"/>
      <c r="G258" s="1"/>
      <c r="H258" s="1"/>
      <c r="I258" s="1"/>
      <c r="J258" s="235"/>
      <c r="K258" s="235"/>
      <c r="L258" s="1"/>
      <c r="M258" s="1"/>
      <c r="N258" s="1"/>
      <c r="O258" s="1"/>
      <c r="P258" s="1"/>
      <c r="Q258" s="1"/>
      <c r="R258" s="1"/>
      <c r="S258" s="1"/>
      <c r="T258" s="1"/>
      <c r="U258" s="1"/>
      <c r="V258" s="1"/>
      <c r="W258" s="1"/>
      <c r="X258" s="1"/>
      <c r="Y258" s="1"/>
      <c r="Z258" s="1"/>
    </row>
    <row r="259" ht="16.5" customHeight="1">
      <c r="A259" s="1"/>
      <c r="B259" s="1"/>
      <c r="C259" s="1"/>
      <c r="D259" s="1"/>
      <c r="E259" s="1"/>
      <c r="F259" s="1"/>
      <c r="G259" s="1"/>
      <c r="H259" s="1"/>
      <c r="I259" s="1"/>
      <c r="J259" s="235"/>
      <c r="K259" s="235"/>
      <c r="L259" s="1"/>
      <c r="M259" s="1"/>
      <c r="N259" s="1"/>
      <c r="O259" s="1"/>
      <c r="P259" s="1"/>
      <c r="Q259" s="1"/>
      <c r="R259" s="1"/>
      <c r="S259" s="1"/>
      <c r="T259" s="1"/>
      <c r="U259" s="1"/>
      <c r="V259" s="1"/>
      <c r="W259" s="1"/>
      <c r="X259" s="1"/>
      <c r="Y259" s="1"/>
      <c r="Z259" s="1"/>
    </row>
    <row r="260" ht="16.5" customHeight="1">
      <c r="A260" s="1"/>
      <c r="B260" s="1"/>
      <c r="C260" s="1"/>
      <c r="D260" s="1"/>
      <c r="E260" s="1"/>
      <c r="F260" s="1"/>
      <c r="G260" s="1"/>
      <c r="H260" s="1"/>
      <c r="I260" s="1"/>
      <c r="J260" s="235"/>
      <c r="K260" s="235"/>
      <c r="L260" s="1"/>
      <c r="M260" s="1"/>
      <c r="N260" s="1"/>
      <c r="O260" s="1"/>
      <c r="P260" s="1"/>
      <c r="Q260" s="1"/>
      <c r="R260" s="1"/>
      <c r="S260" s="1"/>
      <c r="T260" s="1"/>
      <c r="U260" s="1"/>
      <c r="V260" s="1"/>
      <c r="W260" s="1"/>
      <c r="X260" s="1"/>
      <c r="Y260" s="1"/>
      <c r="Z260" s="1"/>
    </row>
    <row r="261" ht="16.5" customHeight="1">
      <c r="A261" s="1"/>
      <c r="B261" s="1"/>
      <c r="C261" s="1"/>
      <c r="D261" s="1"/>
      <c r="E261" s="1"/>
      <c r="F261" s="1"/>
      <c r="G261" s="1"/>
      <c r="H261" s="1"/>
      <c r="I261" s="1"/>
      <c r="J261" s="235"/>
      <c r="K261" s="235"/>
      <c r="L261" s="1"/>
      <c r="M261" s="1"/>
      <c r="N261" s="1"/>
      <c r="O261" s="1"/>
      <c r="P261" s="1"/>
      <c r="Q261" s="1"/>
      <c r="R261" s="1"/>
      <c r="S261" s="1"/>
      <c r="T261" s="1"/>
      <c r="U261" s="1"/>
      <c r="V261" s="1"/>
      <c r="W261" s="1"/>
      <c r="X261" s="1"/>
      <c r="Y261" s="1"/>
      <c r="Z261" s="1"/>
    </row>
    <row r="262" ht="16.5" customHeight="1">
      <c r="A262" s="1"/>
      <c r="B262" s="1"/>
      <c r="C262" s="1"/>
      <c r="D262" s="1"/>
      <c r="E262" s="1"/>
      <c r="F262" s="1"/>
      <c r="G262" s="1"/>
      <c r="H262" s="1"/>
      <c r="I262" s="1"/>
      <c r="J262" s="235"/>
      <c r="K262" s="235"/>
      <c r="L262" s="1"/>
      <c r="M262" s="1"/>
      <c r="N262" s="1"/>
      <c r="O262" s="1"/>
      <c r="P262" s="1"/>
      <c r="Q262" s="1"/>
      <c r="R262" s="1"/>
      <c r="S262" s="1"/>
      <c r="T262" s="1"/>
      <c r="U262" s="1"/>
      <c r="V262" s="1"/>
      <c r="W262" s="1"/>
      <c r="X262" s="1"/>
      <c r="Y262" s="1"/>
      <c r="Z262" s="1"/>
    </row>
    <row r="263" ht="16.5" customHeight="1">
      <c r="A263" s="1"/>
      <c r="B263" s="1"/>
      <c r="C263" s="1"/>
      <c r="D263" s="1"/>
      <c r="E263" s="1"/>
      <c r="F263" s="1"/>
      <c r="G263" s="1"/>
      <c r="H263" s="1"/>
      <c r="I263" s="1"/>
      <c r="J263" s="235"/>
      <c r="K263" s="235"/>
      <c r="L263" s="1"/>
      <c r="M263" s="1"/>
      <c r="N263" s="1"/>
      <c r="O263" s="1"/>
      <c r="P263" s="1"/>
      <c r="Q263" s="1"/>
      <c r="R263" s="1"/>
      <c r="S263" s="1"/>
      <c r="T263" s="1"/>
      <c r="U263" s="1"/>
      <c r="V263" s="1"/>
      <c r="W263" s="1"/>
      <c r="X263" s="1"/>
      <c r="Y263" s="1"/>
      <c r="Z263" s="1"/>
    </row>
    <row r="264" ht="16.5" customHeight="1">
      <c r="A264" s="1"/>
      <c r="B264" s="1"/>
      <c r="C264" s="1"/>
      <c r="D264" s="1"/>
      <c r="E264" s="1"/>
      <c r="F264" s="1"/>
      <c r="G264" s="1"/>
      <c r="H264" s="1"/>
      <c r="I264" s="1"/>
      <c r="J264" s="235"/>
      <c r="K264" s="235"/>
      <c r="L264" s="1"/>
      <c r="M264" s="1"/>
      <c r="N264" s="1"/>
      <c r="O264" s="1"/>
      <c r="P264" s="1"/>
      <c r="Q264" s="1"/>
      <c r="R264" s="1"/>
      <c r="S264" s="1"/>
      <c r="T264" s="1"/>
      <c r="U264" s="1"/>
      <c r="V264" s="1"/>
      <c r="W264" s="1"/>
      <c r="X264" s="1"/>
      <c r="Y264" s="1"/>
      <c r="Z264" s="1"/>
    </row>
    <row r="265" ht="16.5" customHeight="1">
      <c r="A265" s="1"/>
      <c r="B265" s="1"/>
      <c r="C265" s="1"/>
      <c r="D265" s="1"/>
      <c r="E265" s="1"/>
      <c r="F265" s="1"/>
      <c r="G265" s="1"/>
      <c r="H265" s="1"/>
      <c r="I265" s="1"/>
      <c r="J265" s="235"/>
      <c r="K265" s="235"/>
      <c r="L265" s="1"/>
      <c r="M265" s="1"/>
      <c r="N265" s="1"/>
      <c r="O265" s="1"/>
      <c r="P265" s="1"/>
      <c r="Q265" s="1"/>
      <c r="R265" s="1"/>
      <c r="S265" s="1"/>
      <c r="T265" s="1"/>
      <c r="U265" s="1"/>
      <c r="V265" s="1"/>
      <c r="W265" s="1"/>
      <c r="X265" s="1"/>
      <c r="Y265" s="1"/>
      <c r="Z265" s="1"/>
    </row>
    <row r="266" ht="16.5" customHeight="1">
      <c r="A266" s="1"/>
      <c r="B266" s="1"/>
      <c r="C266" s="1"/>
      <c r="D266" s="1"/>
      <c r="E266" s="1"/>
      <c r="F266" s="1"/>
      <c r="G266" s="1"/>
      <c r="H266" s="1"/>
      <c r="I266" s="1"/>
      <c r="J266" s="235"/>
      <c r="K266" s="235"/>
      <c r="L266" s="1"/>
      <c r="M266" s="1"/>
      <c r="N266" s="1"/>
      <c r="O266" s="1"/>
      <c r="P266" s="1"/>
      <c r="Q266" s="1"/>
      <c r="R266" s="1"/>
      <c r="S266" s="1"/>
      <c r="T266" s="1"/>
      <c r="U266" s="1"/>
      <c r="V266" s="1"/>
      <c r="W266" s="1"/>
      <c r="X266" s="1"/>
      <c r="Y266" s="1"/>
      <c r="Z266" s="1"/>
    </row>
    <row r="267" ht="16.5" customHeight="1">
      <c r="A267" s="1"/>
      <c r="B267" s="1"/>
      <c r="C267" s="1"/>
      <c r="D267" s="1"/>
      <c r="E267" s="1"/>
      <c r="F267" s="1"/>
      <c r="G267" s="1"/>
      <c r="H267" s="1"/>
      <c r="I267" s="1"/>
      <c r="J267" s="235"/>
      <c r="K267" s="235"/>
      <c r="L267" s="1"/>
      <c r="M267" s="1"/>
      <c r="N267" s="1"/>
      <c r="O267" s="1"/>
      <c r="P267" s="1"/>
      <c r="Q267" s="1"/>
      <c r="R267" s="1"/>
      <c r="S267" s="1"/>
      <c r="T267" s="1"/>
      <c r="U267" s="1"/>
      <c r="V267" s="1"/>
      <c r="W267" s="1"/>
      <c r="X267" s="1"/>
      <c r="Y267" s="1"/>
      <c r="Z267" s="1"/>
    </row>
    <row r="268" ht="16.5" customHeight="1">
      <c r="A268" s="1"/>
      <c r="B268" s="1"/>
      <c r="C268" s="1"/>
      <c r="D268" s="1"/>
      <c r="E268" s="1"/>
      <c r="F268" s="1"/>
      <c r="G268" s="1"/>
      <c r="H268" s="1"/>
      <c r="I268" s="1"/>
      <c r="J268" s="235"/>
      <c r="K268" s="235"/>
      <c r="L268" s="1"/>
      <c r="M268" s="1"/>
      <c r="N268" s="1"/>
      <c r="O268" s="1"/>
      <c r="P268" s="1"/>
      <c r="Q268" s="1"/>
      <c r="R268" s="1"/>
      <c r="S268" s="1"/>
      <c r="T268" s="1"/>
      <c r="U268" s="1"/>
      <c r="V268" s="1"/>
      <c r="W268" s="1"/>
      <c r="X268" s="1"/>
      <c r="Y268" s="1"/>
      <c r="Z268" s="1"/>
    </row>
    <row r="269" ht="16.5" customHeight="1">
      <c r="A269" s="1"/>
      <c r="B269" s="1"/>
      <c r="C269" s="1"/>
      <c r="D269" s="1"/>
      <c r="E269" s="1"/>
      <c r="F269" s="1"/>
      <c r="G269" s="1"/>
      <c r="H269" s="1"/>
      <c r="I269" s="1"/>
      <c r="J269" s="235"/>
      <c r="K269" s="235"/>
      <c r="L269" s="1"/>
      <c r="M269" s="1"/>
      <c r="N269" s="1"/>
      <c r="O269" s="1"/>
      <c r="P269" s="1"/>
      <c r="Q269" s="1"/>
      <c r="R269" s="1"/>
      <c r="S269" s="1"/>
      <c r="T269" s="1"/>
      <c r="U269" s="1"/>
      <c r="V269" s="1"/>
      <c r="W269" s="1"/>
      <c r="X269" s="1"/>
      <c r="Y269" s="1"/>
      <c r="Z269" s="1"/>
    </row>
    <row r="270" ht="16.5" customHeight="1">
      <c r="A270" s="1"/>
      <c r="B270" s="1"/>
      <c r="C270" s="1"/>
      <c r="D270" s="1"/>
      <c r="E270" s="1"/>
      <c r="F270" s="1"/>
      <c r="G270" s="1"/>
      <c r="H270" s="1"/>
      <c r="I270" s="1"/>
      <c r="J270" s="235"/>
      <c r="K270" s="235"/>
      <c r="L270" s="1"/>
      <c r="M270" s="1"/>
      <c r="N270" s="1"/>
      <c r="O270" s="1"/>
      <c r="P270" s="1"/>
      <c r="Q270" s="1"/>
      <c r="R270" s="1"/>
      <c r="S270" s="1"/>
      <c r="T270" s="1"/>
      <c r="U270" s="1"/>
      <c r="V270" s="1"/>
      <c r="W270" s="1"/>
      <c r="X270" s="1"/>
      <c r="Y270" s="1"/>
      <c r="Z270" s="1"/>
    </row>
    <row r="271" ht="16.5" customHeight="1">
      <c r="A271" s="1"/>
      <c r="B271" s="1"/>
      <c r="C271" s="1"/>
      <c r="D271" s="1"/>
      <c r="E271" s="1"/>
      <c r="F271" s="1"/>
      <c r="G271" s="1"/>
      <c r="H271" s="1"/>
      <c r="I271" s="1"/>
      <c r="J271" s="235"/>
      <c r="K271" s="235"/>
      <c r="L271" s="1"/>
      <c r="M271" s="1"/>
      <c r="N271" s="1"/>
      <c r="O271" s="1"/>
      <c r="P271" s="1"/>
      <c r="Q271" s="1"/>
      <c r="R271" s="1"/>
      <c r="S271" s="1"/>
      <c r="T271" s="1"/>
      <c r="U271" s="1"/>
      <c r="V271" s="1"/>
      <c r="W271" s="1"/>
      <c r="X271" s="1"/>
      <c r="Y271" s="1"/>
      <c r="Z271" s="1"/>
    </row>
    <row r="272" ht="16.5" customHeight="1">
      <c r="A272" s="1"/>
      <c r="B272" s="1"/>
      <c r="C272" s="1"/>
      <c r="D272" s="1"/>
      <c r="E272" s="1"/>
      <c r="F272" s="1"/>
      <c r="G272" s="1"/>
      <c r="H272" s="1"/>
      <c r="I272" s="1"/>
      <c r="J272" s="235"/>
      <c r="K272" s="235"/>
      <c r="L272" s="1"/>
      <c r="M272" s="1"/>
      <c r="N272" s="1"/>
      <c r="O272" s="1"/>
      <c r="P272" s="1"/>
      <c r="Q272" s="1"/>
      <c r="R272" s="1"/>
      <c r="S272" s="1"/>
      <c r="T272" s="1"/>
      <c r="U272" s="1"/>
      <c r="V272" s="1"/>
      <c r="W272" s="1"/>
      <c r="X272" s="1"/>
      <c r="Y272" s="1"/>
      <c r="Z272" s="1"/>
    </row>
    <row r="273" ht="16.5" customHeight="1">
      <c r="A273" s="1"/>
      <c r="B273" s="1"/>
      <c r="C273" s="1"/>
      <c r="D273" s="1"/>
      <c r="E273" s="1"/>
      <c r="F273" s="1"/>
      <c r="G273" s="1"/>
      <c r="H273" s="1"/>
      <c r="I273" s="1"/>
      <c r="J273" s="235"/>
      <c r="K273" s="235"/>
      <c r="L273" s="1"/>
      <c r="M273" s="1"/>
      <c r="N273" s="1"/>
      <c r="O273" s="1"/>
      <c r="P273" s="1"/>
      <c r="Q273" s="1"/>
      <c r="R273" s="1"/>
      <c r="S273" s="1"/>
      <c r="T273" s="1"/>
      <c r="U273" s="1"/>
      <c r="V273" s="1"/>
      <c r="W273" s="1"/>
      <c r="X273" s="1"/>
      <c r="Y273" s="1"/>
      <c r="Z273" s="1"/>
    </row>
    <row r="274" ht="16.5" customHeight="1">
      <c r="A274" s="1"/>
      <c r="B274" s="1"/>
      <c r="C274" s="1"/>
      <c r="D274" s="1"/>
      <c r="E274" s="1"/>
      <c r="F274" s="1"/>
      <c r="G274" s="1"/>
      <c r="H274" s="1"/>
      <c r="I274" s="1"/>
      <c r="J274" s="235"/>
      <c r="K274" s="235"/>
      <c r="L274" s="1"/>
      <c r="M274" s="1"/>
      <c r="N274" s="1"/>
      <c r="O274" s="1"/>
      <c r="P274" s="1"/>
      <c r="Q274" s="1"/>
      <c r="R274" s="1"/>
      <c r="S274" s="1"/>
      <c r="T274" s="1"/>
      <c r="U274" s="1"/>
      <c r="V274" s="1"/>
      <c r="W274" s="1"/>
      <c r="X274" s="1"/>
      <c r="Y274" s="1"/>
      <c r="Z274" s="1"/>
    </row>
    <row r="275" ht="16.5" customHeight="1">
      <c r="A275" s="1"/>
      <c r="B275" s="1"/>
      <c r="C275" s="1"/>
      <c r="D275" s="1"/>
      <c r="E275" s="1"/>
      <c r="F275" s="1"/>
      <c r="G275" s="1"/>
      <c r="H275" s="1"/>
      <c r="I275" s="1"/>
      <c r="J275" s="235"/>
      <c r="K275" s="235"/>
      <c r="L275" s="1"/>
      <c r="M275" s="1"/>
      <c r="N275" s="1"/>
      <c r="O275" s="1"/>
      <c r="P275" s="1"/>
      <c r="Q275" s="1"/>
      <c r="R275" s="1"/>
      <c r="S275" s="1"/>
      <c r="T275" s="1"/>
      <c r="U275" s="1"/>
      <c r="V275" s="1"/>
      <c r="W275" s="1"/>
      <c r="X275" s="1"/>
      <c r="Y275" s="1"/>
      <c r="Z275" s="1"/>
    </row>
    <row r="276" ht="16.5" customHeight="1">
      <c r="A276" s="1"/>
      <c r="B276" s="1"/>
      <c r="C276" s="1"/>
      <c r="D276" s="1"/>
      <c r="E276" s="1"/>
      <c r="F276" s="1"/>
      <c r="G276" s="1"/>
      <c r="H276" s="1"/>
      <c r="I276" s="1"/>
      <c r="J276" s="235"/>
      <c r="K276" s="235"/>
      <c r="L276" s="1"/>
      <c r="M276" s="1"/>
      <c r="N276" s="1"/>
      <c r="O276" s="1"/>
      <c r="P276" s="1"/>
      <c r="Q276" s="1"/>
      <c r="R276" s="1"/>
      <c r="S276" s="1"/>
      <c r="T276" s="1"/>
      <c r="U276" s="1"/>
      <c r="V276" s="1"/>
      <c r="W276" s="1"/>
      <c r="X276" s="1"/>
      <c r="Y276" s="1"/>
      <c r="Z276" s="1"/>
    </row>
    <row r="277" ht="16.5" customHeight="1">
      <c r="A277" s="1"/>
      <c r="B277" s="1"/>
      <c r="C277" s="1"/>
      <c r="D277" s="1"/>
      <c r="E277" s="1"/>
      <c r="F277" s="1"/>
      <c r="G277" s="1"/>
      <c r="H277" s="1"/>
      <c r="I277" s="1"/>
      <c r="J277" s="235"/>
      <c r="K277" s="235"/>
      <c r="L277" s="1"/>
      <c r="M277" s="1"/>
      <c r="N277" s="1"/>
      <c r="O277" s="1"/>
      <c r="P277" s="1"/>
      <c r="Q277" s="1"/>
      <c r="R277" s="1"/>
      <c r="S277" s="1"/>
      <c r="T277" s="1"/>
      <c r="U277" s="1"/>
      <c r="V277" s="1"/>
      <c r="W277" s="1"/>
      <c r="X277" s="1"/>
      <c r="Y277" s="1"/>
      <c r="Z277" s="1"/>
    </row>
    <row r="278" ht="16.5" customHeight="1">
      <c r="A278" s="1"/>
      <c r="B278" s="1"/>
      <c r="C278" s="1"/>
      <c r="D278" s="1"/>
      <c r="E278" s="1"/>
      <c r="F278" s="1"/>
      <c r="G278" s="1"/>
      <c r="H278" s="1"/>
      <c r="I278" s="1"/>
      <c r="J278" s="235"/>
      <c r="K278" s="235"/>
      <c r="L278" s="1"/>
      <c r="M278" s="1"/>
      <c r="N278" s="1"/>
      <c r="O278" s="1"/>
      <c r="P278" s="1"/>
      <c r="Q278" s="1"/>
      <c r="R278" s="1"/>
      <c r="S278" s="1"/>
      <c r="T278" s="1"/>
      <c r="U278" s="1"/>
      <c r="V278" s="1"/>
      <c r="W278" s="1"/>
      <c r="X278" s="1"/>
      <c r="Y278" s="1"/>
      <c r="Z278" s="1"/>
    </row>
    <row r="279" ht="16.5" customHeight="1">
      <c r="A279" s="1"/>
      <c r="B279" s="1"/>
      <c r="C279" s="1"/>
      <c r="D279" s="1"/>
      <c r="E279" s="1"/>
      <c r="F279" s="1"/>
      <c r="G279" s="1"/>
      <c r="H279" s="1"/>
      <c r="I279" s="1"/>
      <c r="J279" s="235"/>
      <c r="K279" s="235"/>
      <c r="L279" s="1"/>
      <c r="M279" s="1"/>
      <c r="N279" s="1"/>
      <c r="O279" s="1"/>
      <c r="P279" s="1"/>
      <c r="Q279" s="1"/>
      <c r="R279" s="1"/>
      <c r="S279" s="1"/>
      <c r="T279" s="1"/>
      <c r="U279" s="1"/>
      <c r="V279" s="1"/>
      <c r="W279" s="1"/>
      <c r="X279" s="1"/>
      <c r="Y279" s="1"/>
      <c r="Z279" s="1"/>
    </row>
    <row r="280" ht="16.5" customHeight="1">
      <c r="A280" s="1"/>
      <c r="B280" s="1"/>
      <c r="C280" s="1"/>
      <c r="D280" s="1"/>
      <c r="E280" s="1"/>
      <c r="F280" s="1"/>
      <c r="G280" s="1"/>
      <c r="H280" s="1"/>
      <c r="I280" s="1"/>
      <c r="J280" s="235"/>
      <c r="K280" s="235"/>
      <c r="L280" s="1"/>
      <c r="M280" s="1"/>
      <c r="N280" s="1"/>
      <c r="O280" s="1"/>
      <c r="P280" s="1"/>
      <c r="Q280" s="1"/>
      <c r="R280" s="1"/>
      <c r="S280" s="1"/>
      <c r="T280" s="1"/>
      <c r="U280" s="1"/>
      <c r="V280" s="1"/>
      <c r="W280" s="1"/>
      <c r="X280" s="1"/>
      <c r="Y280" s="1"/>
      <c r="Z280" s="1"/>
    </row>
    <row r="281" ht="16.5" customHeight="1">
      <c r="A281" s="1"/>
      <c r="B281" s="1"/>
      <c r="C281" s="1"/>
      <c r="D281" s="1"/>
      <c r="E281" s="1"/>
      <c r="F281" s="1"/>
      <c r="G281" s="1"/>
      <c r="H281" s="1"/>
      <c r="I281" s="1"/>
      <c r="J281" s="235"/>
      <c r="K281" s="235"/>
      <c r="L281" s="1"/>
      <c r="M281" s="1"/>
      <c r="N281" s="1"/>
      <c r="O281" s="1"/>
      <c r="P281" s="1"/>
      <c r="Q281" s="1"/>
      <c r="R281" s="1"/>
      <c r="S281" s="1"/>
      <c r="T281" s="1"/>
      <c r="U281" s="1"/>
      <c r="V281" s="1"/>
      <c r="W281" s="1"/>
      <c r="X281" s="1"/>
      <c r="Y281" s="1"/>
      <c r="Z281" s="1"/>
    </row>
    <row r="282" ht="16.5" customHeight="1">
      <c r="A282" s="1"/>
      <c r="B282" s="1"/>
      <c r="C282" s="1"/>
      <c r="D282" s="1"/>
      <c r="E282" s="1"/>
      <c r="F282" s="1"/>
      <c r="G282" s="1"/>
      <c r="H282" s="1"/>
      <c r="I282" s="1"/>
      <c r="J282" s="235"/>
      <c r="K282" s="235"/>
      <c r="L282" s="1"/>
      <c r="M282" s="1"/>
      <c r="N282" s="1"/>
      <c r="O282" s="1"/>
      <c r="P282" s="1"/>
      <c r="Q282" s="1"/>
      <c r="R282" s="1"/>
      <c r="S282" s="1"/>
      <c r="T282" s="1"/>
      <c r="U282" s="1"/>
      <c r="V282" s="1"/>
      <c r="W282" s="1"/>
      <c r="X282" s="1"/>
      <c r="Y282" s="1"/>
      <c r="Z282" s="1"/>
    </row>
    <row r="283" ht="16.5" customHeight="1">
      <c r="A283" s="1"/>
      <c r="B283" s="1"/>
      <c r="C283" s="1"/>
      <c r="D283" s="1"/>
      <c r="E283" s="1"/>
      <c r="F283" s="1"/>
      <c r="G283" s="1"/>
      <c r="H283" s="1"/>
      <c r="I283" s="1"/>
      <c r="J283" s="235"/>
      <c r="K283" s="235"/>
      <c r="L283" s="1"/>
      <c r="M283" s="1"/>
      <c r="N283" s="1"/>
      <c r="O283" s="1"/>
      <c r="P283" s="1"/>
      <c r="Q283" s="1"/>
      <c r="R283" s="1"/>
      <c r="S283" s="1"/>
      <c r="T283" s="1"/>
      <c r="U283" s="1"/>
      <c r="V283" s="1"/>
      <c r="W283" s="1"/>
      <c r="X283" s="1"/>
      <c r="Y283" s="1"/>
      <c r="Z283" s="1"/>
    </row>
    <row r="284" ht="16.5" customHeight="1">
      <c r="A284" s="1"/>
      <c r="B284" s="1"/>
      <c r="C284" s="1"/>
      <c r="D284" s="1"/>
      <c r="E284" s="1"/>
      <c r="F284" s="1"/>
      <c r="G284" s="1"/>
      <c r="H284" s="1"/>
      <c r="I284" s="1"/>
      <c r="J284" s="235"/>
      <c r="K284" s="235"/>
      <c r="L284" s="1"/>
      <c r="M284" s="1"/>
      <c r="N284" s="1"/>
      <c r="O284" s="1"/>
      <c r="P284" s="1"/>
      <c r="Q284" s="1"/>
      <c r="R284" s="1"/>
      <c r="S284" s="1"/>
      <c r="T284" s="1"/>
      <c r="U284" s="1"/>
      <c r="V284" s="1"/>
      <c r="W284" s="1"/>
      <c r="X284" s="1"/>
      <c r="Y284" s="1"/>
      <c r="Z284" s="1"/>
    </row>
    <row r="285" ht="16.5" customHeight="1">
      <c r="A285" s="1"/>
      <c r="B285" s="1"/>
      <c r="C285" s="1"/>
      <c r="D285" s="1"/>
      <c r="E285" s="1"/>
      <c r="F285" s="1"/>
      <c r="G285" s="1"/>
      <c r="H285" s="1"/>
      <c r="I285" s="1"/>
      <c r="J285" s="235"/>
      <c r="K285" s="235"/>
      <c r="L285" s="1"/>
      <c r="M285" s="1"/>
      <c r="N285" s="1"/>
      <c r="O285" s="1"/>
      <c r="P285" s="1"/>
      <c r="Q285" s="1"/>
      <c r="R285" s="1"/>
      <c r="S285" s="1"/>
      <c r="T285" s="1"/>
      <c r="U285" s="1"/>
      <c r="V285" s="1"/>
      <c r="W285" s="1"/>
      <c r="X285" s="1"/>
      <c r="Y285" s="1"/>
      <c r="Z285" s="1"/>
    </row>
    <row r="286" ht="16.5" customHeight="1">
      <c r="A286" s="1"/>
      <c r="B286" s="1"/>
      <c r="C286" s="1"/>
      <c r="D286" s="1"/>
      <c r="E286" s="1"/>
      <c r="F286" s="1"/>
      <c r="G286" s="1"/>
      <c r="H286" s="1"/>
      <c r="I286" s="1"/>
      <c r="J286" s="235"/>
      <c r="K286" s="235"/>
      <c r="L286" s="1"/>
      <c r="M286" s="1"/>
      <c r="N286" s="1"/>
      <c r="O286" s="1"/>
      <c r="P286" s="1"/>
      <c r="Q286" s="1"/>
      <c r="R286" s="1"/>
      <c r="S286" s="1"/>
      <c r="T286" s="1"/>
      <c r="U286" s="1"/>
      <c r="V286" s="1"/>
      <c r="W286" s="1"/>
      <c r="X286" s="1"/>
      <c r="Y286" s="1"/>
      <c r="Z286" s="1"/>
    </row>
    <row r="287" ht="16.5" customHeight="1">
      <c r="A287" s="1"/>
      <c r="B287" s="1"/>
      <c r="C287" s="1"/>
      <c r="D287" s="1"/>
      <c r="E287" s="1"/>
      <c r="F287" s="1"/>
      <c r="G287" s="1"/>
      <c r="H287" s="1"/>
      <c r="I287" s="1"/>
      <c r="J287" s="235"/>
      <c r="K287" s="235"/>
      <c r="L287" s="1"/>
      <c r="M287" s="1"/>
      <c r="N287" s="1"/>
      <c r="O287" s="1"/>
      <c r="P287" s="1"/>
      <c r="Q287" s="1"/>
      <c r="R287" s="1"/>
      <c r="S287" s="1"/>
      <c r="T287" s="1"/>
      <c r="U287" s="1"/>
      <c r="V287" s="1"/>
      <c r="W287" s="1"/>
      <c r="X287" s="1"/>
      <c r="Y287" s="1"/>
      <c r="Z287" s="1"/>
    </row>
    <row r="288" ht="16.5" customHeight="1">
      <c r="A288" s="1"/>
      <c r="B288" s="1"/>
      <c r="C288" s="1"/>
      <c r="D288" s="1"/>
      <c r="E288" s="1"/>
      <c r="F288" s="1"/>
      <c r="G288" s="1"/>
      <c r="H288" s="1"/>
      <c r="I288" s="1"/>
      <c r="J288" s="235"/>
      <c r="K288" s="235"/>
      <c r="L288" s="1"/>
      <c r="M288" s="1"/>
      <c r="N288" s="1"/>
      <c r="O288" s="1"/>
      <c r="P288" s="1"/>
      <c r="Q288" s="1"/>
      <c r="R288" s="1"/>
      <c r="S288" s="1"/>
      <c r="T288" s="1"/>
      <c r="U288" s="1"/>
      <c r="V288" s="1"/>
      <c r="W288" s="1"/>
      <c r="X288" s="1"/>
      <c r="Y288" s="1"/>
      <c r="Z288" s="1"/>
    </row>
    <row r="289" ht="16.5" customHeight="1">
      <c r="A289" s="1"/>
      <c r="B289" s="1"/>
      <c r="C289" s="1"/>
      <c r="D289" s="1"/>
      <c r="E289" s="1"/>
      <c r="F289" s="1"/>
      <c r="G289" s="1"/>
      <c r="H289" s="1"/>
      <c r="I289" s="1"/>
      <c r="J289" s="235"/>
      <c r="K289" s="235"/>
      <c r="L289" s="1"/>
      <c r="M289" s="1"/>
      <c r="N289" s="1"/>
      <c r="O289" s="1"/>
      <c r="P289" s="1"/>
      <c r="Q289" s="1"/>
      <c r="R289" s="1"/>
      <c r="S289" s="1"/>
      <c r="T289" s="1"/>
      <c r="U289" s="1"/>
      <c r="V289" s="1"/>
      <c r="W289" s="1"/>
      <c r="X289" s="1"/>
      <c r="Y289" s="1"/>
      <c r="Z289" s="1"/>
    </row>
    <row r="290" ht="16.5" customHeight="1">
      <c r="A290" s="1"/>
      <c r="B290" s="1"/>
      <c r="C290" s="1"/>
      <c r="D290" s="1"/>
      <c r="E290" s="1"/>
      <c r="F290" s="1"/>
      <c r="G290" s="1"/>
      <c r="H290" s="1"/>
      <c r="I290" s="1"/>
      <c r="J290" s="235"/>
      <c r="K290" s="235"/>
      <c r="L290" s="1"/>
      <c r="M290" s="1"/>
      <c r="N290" s="1"/>
      <c r="O290" s="1"/>
      <c r="P290" s="1"/>
      <c r="Q290" s="1"/>
      <c r="R290" s="1"/>
      <c r="S290" s="1"/>
      <c r="T290" s="1"/>
      <c r="U290" s="1"/>
      <c r="V290" s="1"/>
      <c r="W290" s="1"/>
      <c r="X290" s="1"/>
      <c r="Y290" s="1"/>
      <c r="Z290" s="1"/>
    </row>
    <row r="291" ht="16.5" customHeight="1">
      <c r="A291" s="1"/>
      <c r="B291" s="1"/>
      <c r="C291" s="1"/>
      <c r="D291" s="1"/>
      <c r="E291" s="1"/>
      <c r="F291" s="1"/>
      <c r="G291" s="1"/>
      <c r="H291" s="1"/>
      <c r="I291" s="1"/>
      <c r="J291" s="235"/>
      <c r="K291" s="235"/>
      <c r="L291" s="1"/>
      <c r="M291" s="1"/>
      <c r="N291" s="1"/>
      <c r="O291" s="1"/>
      <c r="P291" s="1"/>
      <c r="Q291" s="1"/>
      <c r="R291" s="1"/>
      <c r="S291" s="1"/>
      <c r="T291" s="1"/>
      <c r="U291" s="1"/>
      <c r="V291" s="1"/>
      <c r="W291" s="1"/>
      <c r="X291" s="1"/>
      <c r="Y291" s="1"/>
      <c r="Z291" s="1"/>
    </row>
    <row r="292" ht="16.5" customHeight="1">
      <c r="A292" s="1"/>
      <c r="B292" s="1"/>
      <c r="C292" s="1"/>
      <c r="D292" s="1"/>
      <c r="E292" s="1"/>
      <c r="F292" s="1"/>
      <c r="G292" s="1"/>
      <c r="H292" s="1"/>
      <c r="I292" s="1"/>
      <c r="J292" s="235"/>
      <c r="K292" s="235"/>
      <c r="L292" s="1"/>
      <c r="M292" s="1"/>
      <c r="N292" s="1"/>
      <c r="O292" s="1"/>
      <c r="P292" s="1"/>
      <c r="Q292" s="1"/>
      <c r="R292" s="1"/>
      <c r="S292" s="1"/>
      <c r="T292" s="1"/>
      <c r="U292" s="1"/>
      <c r="V292" s="1"/>
      <c r="W292" s="1"/>
      <c r="X292" s="1"/>
      <c r="Y292" s="1"/>
      <c r="Z292" s="1"/>
    </row>
    <row r="293" ht="16.5" customHeight="1">
      <c r="A293" s="1"/>
      <c r="B293" s="1"/>
      <c r="C293" s="1"/>
      <c r="D293" s="1"/>
      <c r="E293" s="1"/>
      <c r="F293" s="1"/>
      <c r="G293" s="1"/>
      <c r="H293" s="1"/>
      <c r="I293" s="1"/>
      <c r="J293" s="235"/>
      <c r="K293" s="235"/>
      <c r="L293" s="1"/>
      <c r="M293" s="1"/>
      <c r="N293" s="1"/>
      <c r="O293" s="1"/>
      <c r="P293" s="1"/>
      <c r="Q293" s="1"/>
      <c r="R293" s="1"/>
      <c r="S293" s="1"/>
      <c r="T293" s="1"/>
      <c r="U293" s="1"/>
      <c r="V293" s="1"/>
      <c r="W293" s="1"/>
      <c r="X293" s="1"/>
      <c r="Y293" s="1"/>
      <c r="Z293" s="1"/>
    </row>
    <row r="294" ht="16.5" customHeight="1">
      <c r="A294" s="1"/>
      <c r="B294" s="1"/>
      <c r="C294" s="1"/>
      <c r="D294" s="1"/>
      <c r="E294" s="1"/>
      <c r="F294" s="1"/>
      <c r="G294" s="1"/>
      <c r="H294" s="1"/>
      <c r="I294" s="1"/>
      <c r="J294" s="235"/>
      <c r="K294" s="235"/>
      <c r="L294" s="1"/>
      <c r="M294" s="1"/>
      <c r="N294" s="1"/>
      <c r="O294" s="1"/>
      <c r="P294" s="1"/>
      <c r="Q294" s="1"/>
      <c r="R294" s="1"/>
      <c r="S294" s="1"/>
      <c r="T294" s="1"/>
      <c r="U294" s="1"/>
      <c r="V294" s="1"/>
      <c r="W294" s="1"/>
      <c r="X294" s="1"/>
      <c r="Y294" s="1"/>
      <c r="Z294" s="1"/>
    </row>
    <row r="295" ht="16.5" customHeight="1">
      <c r="A295" s="1"/>
      <c r="B295" s="1"/>
      <c r="C295" s="1"/>
      <c r="D295" s="1"/>
      <c r="E295" s="1"/>
      <c r="F295" s="1"/>
      <c r="G295" s="1"/>
      <c r="H295" s="1"/>
      <c r="I295" s="1"/>
      <c r="J295" s="235"/>
      <c r="K295" s="235"/>
      <c r="L295" s="1"/>
      <c r="M295" s="1"/>
      <c r="N295" s="1"/>
      <c r="O295" s="1"/>
      <c r="P295" s="1"/>
      <c r="Q295" s="1"/>
      <c r="R295" s="1"/>
      <c r="S295" s="1"/>
      <c r="T295" s="1"/>
      <c r="U295" s="1"/>
      <c r="V295" s="1"/>
      <c r="W295" s="1"/>
      <c r="X295" s="1"/>
      <c r="Y295" s="1"/>
      <c r="Z295" s="1"/>
    </row>
    <row r="296" ht="16.5" customHeight="1">
      <c r="A296" s="1"/>
      <c r="B296" s="1"/>
      <c r="C296" s="1"/>
      <c r="D296" s="1"/>
      <c r="E296" s="1"/>
      <c r="F296" s="1"/>
      <c r="G296" s="1"/>
      <c r="H296" s="1"/>
      <c r="I296" s="1"/>
      <c r="J296" s="235"/>
      <c r="K296" s="235"/>
      <c r="L296" s="1"/>
      <c r="M296" s="1"/>
      <c r="N296" s="1"/>
      <c r="O296" s="1"/>
      <c r="P296" s="1"/>
      <c r="Q296" s="1"/>
      <c r="R296" s="1"/>
      <c r="S296" s="1"/>
      <c r="T296" s="1"/>
      <c r="U296" s="1"/>
      <c r="V296" s="1"/>
      <c r="W296" s="1"/>
      <c r="X296" s="1"/>
      <c r="Y296" s="1"/>
      <c r="Z296" s="1"/>
    </row>
    <row r="297" ht="16.5" customHeight="1">
      <c r="A297" s="1"/>
      <c r="B297" s="1"/>
      <c r="C297" s="1"/>
      <c r="D297" s="1"/>
      <c r="E297" s="1"/>
      <c r="F297" s="1"/>
      <c r="G297" s="1"/>
      <c r="H297" s="1"/>
      <c r="I297" s="1"/>
      <c r="J297" s="235"/>
      <c r="K297" s="235"/>
      <c r="L297" s="1"/>
      <c r="M297" s="1"/>
      <c r="N297" s="1"/>
      <c r="O297" s="1"/>
      <c r="P297" s="1"/>
      <c r="Q297" s="1"/>
      <c r="R297" s="1"/>
      <c r="S297" s="1"/>
      <c r="T297" s="1"/>
      <c r="U297" s="1"/>
      <c r="V297" s="1"/>
      <c r="W297" s="1"/>
      <c r="X297" s="1"/>
      <c r="Y297" s="1"/>
      <c r="Z297" s="1"/>
    </row>
    <row r="298" ht="16.5" customHeight="1">
      <c r="A298" s="1"/>
      <c r="B298" s="1"/>
      <c r="C298" s="1"/>
      <c r="D298" s="1"/>
      <c r="E298" s="1"/>
      <c r="F298" s="1"/>
      <c r="G298" s="1"/>
      <c r="H298" s="1"/>
      <c r="I298" s="1"/>
      <c r="J298" s="235"/>
      <c r="K298" s="235"/>
      <c r="L298" s="1"/>
      <c r="M298" s="1"/>
      <c r="N298" s="1"/>
      <c r="O298" s="1"/>
      <c r="P298" s="1"/>
      <c r="Q298" s="1"/>
      <c r="R298" s="1"/>
      <c r="S298" s="1"/>
      <c r="T298" s="1"/>
      <c r="U298" s="1"/>
      <c r="V298" s="1"/>
      <c r="W298" s="1"/>
      <c r="X298" s="1"/>
      <c r="Y298" s="1"/>
      <c r="Z298" s="1"/>
    </row>
    <row r="299" ht="16.5" customHeight="1">
      <c r="A299" s="1"/>
      <c r="B299" s="1"/>
      <c r="C299" s="1"/>
      <c r="D299" s="1"/>
      <c r="E299" s="1"/>
      <c r="F299" s="1"/>
      <c r="G299" s="1"/>
      <c r="H299" s="1"/>
      <c r="I299" s="1"/>
      <c r="J299" s="235"/>
      <c r="K299" s="235"/>
      <c r="L299" s="1"/>
      <c r="M299" s="1"/>
      <c r="N299" s="1"/>
      <c r="O299" s="1"/>
      <c r="P299" s="1"/>
      <c r="Q299" s="1"/>
      <c r="R299" s="1"/>
      <c r="S299" s="1"/>
      <c r="T299" s="1"/>
      <c r="U299" s="1"/>
      <c r="V299" s="1"/>
      <c r="W299" s="1"/>
      <c r="X299" s="1"/>
      <c r="Y299" s="1"/>
      <c r="Z299" s="1"/>
    </row>
    <row r="300" ht="16.5" customHeight="1">
      <c r="A300" s="1"/>
      <c r="B300" s="1"/>
      <c r="C300" s="1"/>
      <c r="D300" s="1"/>
      <c r="E300" s="1"/>
      <c r="F300" s="1"/>
      <c r="G300" s="1"/>
      <c r="H300" s="1"/>
      <c r="I300" s="1"/>
      <c r="J300" s="235"/>
      <c r="K300" s="235"/>
      <c r="L300" s="1"/>
      <c r="M300" s="1"/>
      <c r="N300" s="1"/>
      <c r="O300" s="1"/>
      <c r="P300" s="1"/>
      <c r="Q300" s="1"/>
      <c r="R300" s="1"/>
      <c r="S300" s="1"/>
      <c r="T300" s="1"/>
      <c r="U300" s="1"/>
      <c r="V300" s="1"/>
      <c r="W300" s="1"/>
      <c r="X300" s="1"/>
      <c r="Y300" s="1"/>
      <c r="Z300" s="1"/>
    </row>
    <row r="301" ht="16.5" customHeight="1">
      <c r="A301" s="1"/>
      <c r="B301" s="1"/>
      <c r="C301" s="1"/>
      <c r="D301" s="1"/>
      <c r="E301" s="1"/>
      <c r="F301" s="1"/>
      <c r="G301" s="1"/>
      <c r="H301" s="1"/>
      <c r="I301" s="1"/>
      <c r="J301" s="235"/>
      <c r="K301" s="235"/>
      <c r="L301" s="1"/>
      <c r="M301" s="1"/>
      <c r="N301" s="1"/>
      <c r="O301" s="1"/>
      <c r="P301" s="1"/>
      <c r="Q301" s="1"/>
      <c r="R301" s="1"/>
      <c r="S301" s="1"/>
      <c r="T301" s="1"/>
      <c r="U301" s="1"/>
      <c r="V301" s="1"/>
      <c r="W301" s="1"/>
      <c r="X301" s="1"/>
      <c r="Y301" s="1"/>
      <c r="Z301" s="1"/>
    </row>
    <row r="302" ht="16.5" customHeight="1">
      <c r="A302" s="1"/>
      <c r="B302" s="1"/>
      <c r="C302" s="1"/>
      <c r="D302" s="1"/>
      <c r="E302" s="1"/>
      <c r="F302" s="1"/>
      <c r="G302" s="1"/>
      <c r="H302" s="1"/>
      <c r="I302" s="1"/>
      <c r="J302" s="235"/>
      <c r="K302" s="235"/>
      <c r="L302" s="1"/>
      <c r="M302" s="1"/>
      <c r="N302" s="1"/>
      <c r="O302" s="1"/>
      <c r="P302" s="1"/>
      <c r="Q302" s="1"/>
      <c r="R302" s="1"/>
      <c r="S302" s="1"/>
      <c r="T302" s="1"/>
      <c r="U302" s="1"/>
      <c r="V302" s="1"/>
      <c r="W302" s="1"/>
      <c r="X302" s="1"/>
      <c r="Y302" s="1"/>
      <c r="Z302" s="1"/>
    </row>
    <row r="303" ht="16.5" customHeight="1">
      <c r="A303" s="1"/>
      <c r="B303" s="1"/>
      <c r="C303" s="1"/>
      <c r="D303" s="1"/>
      <c r="E303" s="1"/>
      <c r="F303" s="1"/>
      <c r="G303" s="1"/>
      <c r="H303" s="1"/>
      <c r="I303" s="1"/>
      <c r="J303" s="235"/>
      <c r="K303" s="235"/>
      <c r="L303" s="1"/>
      <c r="M303" s="1"/>
      <c r="N303" s="1"/>
      <c r="O303" s="1"/>
      <c r="P303" s="1"/>
      <c r="Q303" s="1"/>
      <c r="R303" s="1"/>
      <c r="S303" s="1"/>
      <c r="T303" s="1"/>
      <c r="U303" s="1"/>
      <c r="V303" s="1"/>
      <c r="W303" s="1"/>
      <c r="X303" s="1"/>
      <c r="Y303" s="1"/>
      <c r="Z303" s="1"/>
    </row>
    <row r="304" ht="16.5" customHeight="1">
      <c r="A304" s="1"/>
      <c r="B304" s="1"/>
      <c r="C304" s="1"/>
      <c r="D304" s="1"/>
      <c r="E304" s="1"/>
      <c r="F304" s="1"/>
      <c r="G304" s="1"/>
      <c r="H304" s="1"/>
      <c r="I304" s="1"/>
      <c r="J304" s="235"/>
      <c r="K304" s="235"/>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235"/>
      <c r="K305" s="235"/>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235"/>
      <c r="K306" s="235"/>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235"/>
      <c r="K307" s="235"/>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235"/>
      <c r="K308" s="235"/>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235"/>
      <c r="K309" s="235"/>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235"/>
      <c r="K310" s="235"/>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235"/>
      <c r="K311" s="235"/>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235"/>
      <c r="K312" s="235"/>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235"/>
      <c r="K313" s="235"/>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235"/>
      <c r="K314" s="235"/>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235"/>
      <c r="K315" s="235"/>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235"/>
      <c r="K316" s="235"/>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235"/>
      <c r="K317" s="235"/>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235"/>
      <c r="K318" s="235"/>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235"/>
      <c r="K319" s="235"/>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235"/>
      <c r="K320" s="235"/>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235"/>
      <c r="K321" s="235"/>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235"/>
      <c r="K322" s="235"/>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235"/>
      <c r="K323" s="235"/>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235"/>
      <c r="K324" s="235"/>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235"/>
      <c r="K325" s="235"/>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235"/>
      <c r="K326" s="235"/>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235"/>
      <c r="K327" s="235"/>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235"/>
      <c r="K328" s="235"/>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235"/>
      <c r="K329" s="235"/>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235"/>
      <c r="K330" s="235"/>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235"/>
      <c r="K331" s="235"/>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235"/>
      <c r="K332" s="235"/>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235"/>
      <c r="K333" s="235"/>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235"/>
      <c r="K334" s="235"/>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235"/>
      <c r="K335" s="235"/>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235"/>
      <c r="K336" s="235"/>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235"/>
      <c r="K337" s="235"/>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235"/>
      <c r="K338" s="235"/>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235"/>
      <c r="K339" s="235"/>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235"/>
      <c r="K340" s="235"/>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235"/>
      <c r="K341" s="235"/>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235"/>
      <c r="K342" s="235"/>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235"/>
      <c r="K343" s="235"/>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235"/>
      <c r="K344" s="235"/>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235"/>
      <c r="K345" s="235"/>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235"/>
      <c r="K346" s="235"/>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235"/>
      <c r="K347" s="235"/>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235"/>
      <c r="K348" s="235"/>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235"/>
      <c r="K349" s="235"/>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235"/>
      <c r="K350" s="235"/>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235"/>
      <c r="K351" s="235"/>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235"/>
      <c r="K352" s="235"/>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235"/>
      <c r="K353" s="235"/>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235"/>
      <c r="K354" s="235"/>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235"/>
      <c r="K355" s="235"/>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235"/>
      <c r="K356" s="235"/>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235"/>
      <c r="K357" s="235"/>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235"/>
      <c r="K358" s="235"/>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235"/>
      <c r="K359" s="235"/>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235"/>
      <c r="K360" s="235"/>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235"/>
      <c r="K361" s="235"/>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235"/>
      <c r="K362" s="235"/>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235"/>
      <c r="K363" s="235"/>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235"/>
      <c r="K364" s="235"/>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235"/>
      <c r="K365" s="235"/>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235"/>
      <c r="K366" s="235"/>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235"/>
      <c r="K367" s="235"/>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235"/>
      <c r="K368" s="235"/>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235"/>
      <c r="K369" s="235"/>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235"/>
      <c r="K370" s="235"/>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235"/>
      <c r="K371" s="235"/>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235"/>
      <c r="K372" s="235"/>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235"/>
      <c r="K373" s="235"/>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235"/>
      <c r="K374" s="235"/>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235"/>
      <c r="K375" s="235"/>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235"/>
      <c r="K376" s="235"/>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235"/>
      <c r="K377" s="235"/>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235"/>
      <c r="K378" s="235"/>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235"/>
      <c r="K379" s="235"/>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235"/>
      <c r="K380" s="235"/>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235"/>
      <c r="K381" s="235"/>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235"/>
      <c r="K382" s="235"/>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235"/>
      <c r="K383" s="235"/>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235"/>
      <c r="K384" s="235"/>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235"/>
      <c r="K385" s="235"/>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235"/>
      <c r="K386" s="235"/>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235"/>
      <c r="K387" s="235"/>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235"/>
      <c r="K388" s="235"/>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235"/>
      <c r="K389" s="235"/>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235"/>
      <c r="K390" s="235"/>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235"/>
      <c r="K391" s="235"/>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235"/>
      <c r="K392" s="235"/>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235"/>
      <c r="K393" s="235"/>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235"/>
      <c r="K394" s="235"/>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235"/>
      <c r="K395" s="235"/>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235"/>
      <c r="K396" s="235"/>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235"/>
      <c r="K397" s="235"/>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235"/>
      <c r="K398" s="235"/>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235"/>
      <c r="K399" s="235"/>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235"/>
      <c r="K400" s="235"/>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235"/>
      <c r="K401" s="235"/>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235"/>
      <c r="K402" s="235"/>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235"/>
      <c r="K403" s="235"/>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235"/>
      <c r="K404" s="235"/>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235"/>
      <c r="K405" s="235"/>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235"/>
      <c r="K406" s="235"/>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235"/>
      <c r="K407" s="235"/>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235"/>
      <c r="K408" s="235"/>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235"/>
      <c r="K409" s="235"/>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235"/>
      <c r="K410" s="235"/>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235"/>
      <c r="K411" s="235"/>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235"/>
      <c r="K412" s="235"/>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235"/>
      <c r="K413" s="235"/>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235"/>
      <c r="K414" s="235"/>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235"/>
      <c r="K415" s="235"/>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235"/>
      <c r="K416" s="235"/>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235"/>
      <c r="K417" s="235"/>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235"/>
      <c r="K418" s="235"/>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235"/>
      <c r="K419" s="235"/>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235"/>
      <c r="K420" s="235"/>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235"/>
      <c r="K421" s="235"/>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235"/>
      <c r="K422" s="235"/>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235"/>
      <c r="K423" s="235"/>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235"/>
      <c r="K424" s="235"/>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235"/>
      <c r="K425" s="235"/>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235"/>
      <c r="K426" s="235"/>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235"/>
      <c r="K427" s="235"/>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235"/>
      <c r="K428" s="235"/>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235"/>
      <c r="K429" s="235"/>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235"/>
      <c r="K430" s="235"/>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235"/>
      <c r="K431" s="235"/>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235"/>
      <c r="K432" s="235"/>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235"/>
      <c r="K433" s="235"/>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235"/>
      <c r="K434" s="235"/>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235"/>
      <c r="K435" s="235"/>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235"/>
      <c r="K436" s="235"/>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235"/>
      <c r="K437" s="235"/>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235"/>
      <c r="K438" s="235"/>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235"/>
      <c r="K439" s="235"/>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235"/>
      <c r="K440" s="235"/>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235"/>
      <c r="K441" s="235"/>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235"/>
      <c r="K442" s="235"/>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235"/>
      <c r="K443" s="235"/>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235"/>
      <c r="K444" s="235"/>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235"/>
      <c r="K445" s="235"/>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235"/>
      <c r="K446" s="235"/>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235"/>
      <c r="K447" s="235"/>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235"/>
      <c r="K448" s="235"/>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235"/>
      <c r="K449" s="235"/>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235"/>
      <c r="K450" s="235"/>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235"/>
      <c r="K451" s="235"/>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235"/>
      <c r="K452" s="235"/>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235"/>
      <c r="K453" s="235"/>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235"/>
      <c r="K454" s="235"/>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235"/>
      <c r="K455" s="235"/>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235"/>
      <c r="K456" s="235"/>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235"/>
      <c r="K457" s="235"/>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235"/>
      <c r="K458" s="235"/>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235"/>
      <c r="K459" s="235"/>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235"/>
      <c r="K460" s="235"/>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235"/>
      <c r="K461" s="235"/>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235"/>
      <c r="K462" s="235"/>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235"/>
      <c r="K463" s="235"/>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235"/>
      <c r="K464" s="235"/>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235"/>
      <c r="K465" s="235"/>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235"/>
      <c r="K466" s="235"/>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235"/>
      <c r="K467" s="235"/>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235"/>
      <c r="K468" s="235"/>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235"/>
      <c r="K469" s="235"/>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235"/>
      <c r="K470" s="235"/>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235"/>
      <c r="K471" s="235"/>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235"/>
      <c r="K472" s="235"/>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235"/>
      <c r="K473" s="235"/>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235"/>
      <c r="K474" s="235"/>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235"/>
      <c r="K475" s="235"/>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235"/>
      <c r="K476" s="235"/>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235"/>
      <c r="K477" s="235"/>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235"/>
      <c r="K478" s="235"/>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235"/>
      <c r="K479" s="235"/>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235"/>
      <c r="K480" s="235"/>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235"/>
      <c r="K481" s="235"/>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235"/>
      <c r="K482" s="235"/>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235"/>
      <c r="K483" s="235"/>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235"/>
      <c r="K484" s="235"/>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235"/>
      <c r="K485" s="235"/>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235"/>
      <c r="K486" s="235"/>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235"/>
      <c r="K487" s="235"/>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235"/>
      <c r="K488" s="235"/>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235"/>
      <c r="K489" s="235"/>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235"/>
      <c r="K490" s="235"/>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235"/>
      <c r="K491" s="235"/>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235"/>
      <c r="K492" s="235"/>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235"/>
      <c r="K493" s="235"/>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235"/>
      <c r="K494" s="235"/>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235"/>
      <c r="K495" s="235"/>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235"/>
      <c r="K496" s="235"/>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235"/>
      <c r="K497" s="235"/>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235"/>
      <c r="K498" s="235"/>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235"/>
      <c r="K499" s="235"/>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235"/>
      <c r="K500" s="235"/>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235"/>
      <c r="K501" s="235"/>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235"/>
      <c r="K502" s="235"/>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235"/>
      <c r="K503" s="235"/>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235"/>
      <c r="K504" s="235"/>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235"/>
      <c r="K505" s="235"/>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235"/>
      <c r="K506" s="235"/>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235"/>
      <c r="K507" s="235"/>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235"/>
      <c r="K508" s="235"/>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235"/>
      <c r="K509" s="235"/>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235"/>
      <c r="K510" s="235"/>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235"/>
      <c r="K511" s="235"/>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235"/>
      <c r="K512" s="235"/>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235"/>
      <c r="K513" s="235"/>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235"/>
      <c r="K514" s="235"/>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235"/>
      <c r="K515" s="235"/>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235"/>
      <c r="K516" s="235"/>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235"/>
      <c r="K517" s="235"/>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235"/>
      <c r="K518" s="235"/>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235"/>
      <c r="K519" s="235"/>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235"/>
      <c r="K520" s="235"/>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235"/>
      <c r="K521" s="235"/>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235"/>
      <c r="K522" s="235"/>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235"/>
      <c r="K523" s="235"/>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235"/>
      <c r="K524" s="235"/>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235"/>
      <c r="K525" s="235"/>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235"/>
      <c r="K526" s="235"/>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235"/>
      <c r="K527" s="235"/>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235"/>
      <c r="K528" s="235"/>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235"/>
      <c r="K529" s="235"/>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235"/>
      <c r="K530" s="235"/>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235"/>
      <c r="K531" s="235"/>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235"/>
      <c r="K532" s="235"/>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235"/>
      <c r="K533" s="235"/>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235"/>
      <c r="K534" s="235"/>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235"/>
      <c r="K535" s="235"/>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235"/>
      <c r="K536" s="235"/>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235"/>
      <c r="K537" s="235"/>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235"/>
      <c r="K538" s="235"/>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235"/>
      <c r="K539" s="235"/>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235"/>
      <c r="K540" s="235"/>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235"/>
      <c r="K541" s="235"/>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235"/>
      <c r="K542" s="235"/>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235"/>
      <c r="K543" s="235"/>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235"/>
      <c r="K544" s="235"/>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235"/>
      <c r="K545" s="235"/>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235"/>
      <c r="K546" s="235"/>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235"/>
      <c r="K547" s="235"/>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235"/>
      <c r="K548" s="235"/>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235"/>
      <c r="K549" s="235"/>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235"/>
      <c r="K550" s="235"/>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235"/>
      <c r="K551" s="235"/>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235"/>
      <c r="K552" s="235"/>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235"/>
      <c r="K553" s="235"/>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235"/>
      <c r="K554" s="235"/>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235"/>
      <c r="K555" s="235"/>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235"/>
      <c r="K556" s="235"/>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235"/>
      <c r="K557" s="235"/>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235"/>
      <c r="K558" s="235"/>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235"/>
      <c r="K559" s="235"/>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235"/>
      <c r="K560" s="235"/>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235"/>
      <c r="K561" s="235"/>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235"/>
      <c r="K562" s="235"/>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235"/>
      <c r="K563" s="235"/>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235"/>
      <c r="K564" s="235"/>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235"/>
      <c r="K565" s="235"/>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235"/>
      <c r="K566" s="235"/>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235"/>
      <c r="K567" s="235"/>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235"/>
      <c r="K568" s="235"/>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235"/>
      <c r="K569" s="235"/>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235"/>
      <c r="K570" s="235"/>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235"/>
      <c r="K571" s="235"/>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235"/>
      <c r="K572" s="235"/>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235"/>
      <c r="K573" s="235"/>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235"/>
      <c r="K574" s="235"/>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235"/>
      <c r="K575" s="235"/>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235"/>
      <c r="K576" s="235"/>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235"/>
      <c r="K577" s="235"/>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235"/>
      <c r="K578" s="235"/>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235"/>
      <c r="K579" s="235"/>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235"/>
      <c r="K580" s="235"/>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235"/>
      <c r="K581" s="235"/>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235"/>
      <c r="K582" s="235"/>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235"/>
      <c r="K583" s="235"/>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235"/>
      <c r="K584" s="235"/>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235"/>
      <c r="K585" s="235"/>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235"/>
      <c r="K586" s="235"/>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235"/>
      <c r="K587" s="235"/>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235"/>
      <c r="K588" s="235"/>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235"/>
      <c r="K589" s="235"/>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235"/>
      <c r="K590" s="235"/>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235"/>
      <c r="K591" s="235"/>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235"/>
      <c r="K592" s="235"/>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235"/>
      <c r="K593" s="235"/>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235"/>
      <c r="K594" s="235"/>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235"/>
      <c r="K595" s="235"/>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235"/>
      <c r="K596" s="235"/>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235"/>
      <c r="K597" s="235"/>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235"/>
      <c r="K598" s="235"/>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235"/>
      <c r="K599" s="235"/>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235"/>
      <c r="K600" s="235"/>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235"/>
      <c r="K601" s="235"/>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235"/>
      <c r="K602" s="235"/>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235"/>
      <c r="K603" s="235"/>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235"/>
      <c r="K604" s="235"/>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235"/>
      <c r="K605" s="235"/>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235"/>
      <c r="K606" s="235"/>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235"/>
      <c r="K607" s="235"/>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235"/>
      <c r="K608" s="235"/>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235"/>
      <c r="K609" s="235"/>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235"/>
      <c r="K610" s="235"/>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235"/>
      <c r="K611" s="235"/>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235"/>
      <c r="K612" s="235"/>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235"/>
      <c r="K613" s="235"/>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235"/>
      <c r="K614" s="235"/>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235"/>
      <c r="K615" s="235"/>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235"/>
      <c r="K616" s="235"/>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235"/>
      <c r="K617" s="235"/>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235"/>
      <c r="K618" s="235"/>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235"/>
      <c r="K619" s="235"/>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235"/>
      <c r="K620" s="235"/>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235"/>
      <c r="K621" s="235"/>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235"/>
      <c r="K622" s="235"/>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235"/>
      <c r="K623" s="235"/>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235"/>
      <c r="K624" s="235"/>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235"/>
      <c r="K625" s="235"/>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235"/>
      <c r="K626" s="235"/>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235"/>
      <c r="K627" s="235"/>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235"/>
      <c r="K628" s="235"/>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235"/>
      <c r="K629" s="235"/>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235"/>
      <c r="K630" s="235"/>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235"/>
      <c r="K631" s="235"/>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235"/>
      <c r="K632" s="235"/>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235"/>
      <c r="K633" s="235"/>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235"/>
      <c r="K634" s="235"/>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235"/>
      <c r="K635" s="235"/>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235"/>
      <c r="K636" s="235"/>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235"/>
      <c r="K637" s="235"/>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235"/>
      <c r="K638" s="235"/>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235"/>
      <c r="K639" s="235"/>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235"/>
      <c r="K640" s="235"/>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235"/>
      <c r="K641" s="235"/>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235"/>
      <c r="K642" s="235"/>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235"/>
      <c r="K643" s="235"/>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235"/>
      <c r="K644" s="235"/>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235"/>
      <c r="K645" s="235"/>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235"/>
      <c r="K646" s="235"/>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235"/>
      <c r="K647" s="235"/>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235"/>
      <c r="K648" s="235"/>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235"/>
      <c r="K649" s="235"/>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235"/>
      <c r="K650" s="235"/>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235"/>
      <c r="K651" s="235"/>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235"/>
      <c r="K652" s="235"/>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235"/>
      <c r="K653" s="235"/>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235"/>
      <c r="K654" s="235"/>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235"/>
      <c r="K655" s="235"/>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235"/>
      <c r="K656" s="235"/>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235"/>
      <c r="K657" s="235"/>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235"/>
      <c r="K658" s="235"/>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235"/>
      <c r="K659" s="235"/>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235"/>
      <c r="K660" s="235"/>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235"/>
      <c r="K661" s="235"/>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235"/>
      <c r="K662" s="235"/>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235"/>
      <c r="K663" s="235"/>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235"/>
      <c r="K664" s="235"/>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235"/>
      <c r="K665" s="235"/>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235"/>
      <c r="K666" s="235"/>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235"/>
      <c r="K667" s="235"/>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235"/>
      <c r="K668" s="235"/>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235"/>
      <c r="K669" s="235"/>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235"/>
      <c r="K670" s="235"/>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235"/>
      <c r="K671" s="235"/>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235"/>
      <c r="K672" s="235"/>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235"/>
      <c r="K673" s="235"/>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235"/>
      <c r="K674" s="235"/>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235"/>
      <c r="K675" s="235"/>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235"/>
      <c r="K676" s="235"/>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235"/>
      <c r="K677" s="235"/>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235"/>
      <c r="K678" s="235"/>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235"/>
      <c r="K679" s="235"/>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235"/>
      <c r="K680" s="235"/>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235"/>
      <c r="K681" s="235"/>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235"/>
      <c r="K682" s="235"/>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235"/>
      <c r="K683" s="235"/>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235"/>
      <c r="K684" s="235"/>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235"/>
      <c r="K685" s="235"/>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235"/>
      <c r="K686" s="235"/>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235"/>
      <c r="K687" s="235"/>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235"/>
      <c r="K688" s="235"/>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235"/>
      <c r="K689" s="235"/>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235"/>
      <c r="K690" s="235"/>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235"/>
      <c r="K691" s="235"/>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235"/>
      <c r="K692" s="235"/>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235"/>
      <c r="K693" s="235"/>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235"/>
      <c r="K694" s="235"/>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235"/>
      <c r="K695" s="235"/>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235"/>
      <c r="K696" s="235"/>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235"/>
      <c r="K697" s="235"/>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235"/>
      <c r="K698" s="235"/>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235"/>
      <c r="K699" s="235"/>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235"/>
      <c r="K700" s="235"/>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235"/>
      <c r="K701" s="235"/>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235"/>
      <c r="K702" s="235"/>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235"/>
      <c r="K703" s="235"/>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235"/>
      <c r="K704" s="235"/>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235"/>
      <c r="K705" s="235"/>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235"/>
      <c r="K706" s="235"/>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235"/>
      <c r="K707" s="235"/>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235"/>
      <c r="K708" s="235"/>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235"/>
      <c r="K709" s="235"/>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235"/>
      <c r="K710" s="235"/>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235"/>
      <c r="K711" s="235"/>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235"/>
      <c r="K712" s="235"/>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235"/>
      <c r="K713" s="235"/>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235"/>
      <c r="K714" s="235"/>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235"/>
      <c r="K715" s="235"/>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235"/>
      <c r="K716" s="235"/>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235"/>
      <c r="K717" s="235"/>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235"/>
      <c r="K718" s="235"/>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235"/>
      <c r="K719" s="235"/>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235"/>
      <c r="K720" s="235"/>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235"/>
      <c r="K721" s="235"/>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235"/>
      <c r="K722" s="235"/>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235"/>
      <c r="K723" s="235"/>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235"/>
      <c r="K724" s="235"/>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235"/>
      <c r="K725" s="235"/>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235"/>
      <c r="K726" s="235"/>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235"/>
      <c r="K727" s="235"/>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235"/>
      <c r="K728" s="235"/>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235"/>
      <c r="K729" s="235"/>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235"/>
      <c r="K730" s="235"/>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235"/>
      <c r="K731" s="235"/>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235"/>
      <c r="K732" s="235"/>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235"/>
      <c r="K733" s="235"/>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235"/>
      <c r="K734" s="235"/>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235"/>
      <c r="K735" s="235"/>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235"/>
      <c r="K736" s="235"/>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235"/>
      <c r="K737" s="235"/>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235"/>
      <c r="K738" s="235"/>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235"/>
      <c r="K739" s="235"/>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235"/>
      <c r="K740" s="235"/>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235"/>
      <c r="K741" s="235"/>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235"/>
      <c r="K742" s="235"/>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235"/>
      <c r="K743" s="235"/>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235"/>
      <c r="K744" s="235"/>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235"/>
      <c r="K745" s="235"/>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235"/>
      <c r="K746" s="235"/>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235"/>
      <c r="K747" s="235"/>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235"/>
      <c r="K748" s="235"/>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235"/>
      <c r="K749" s="235"/>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235"/>
      <c r="K750" s="235"/>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235"/>
      <c r="K751" s="235"/>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235"/>
      <c r="K752" s="235"/>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235"/>
      <c r="K753" s="235"/>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235"/>
      <c r="K754" s="235"/>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235"/>
      <c r="K755" s="235"/>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235"/>
      <c r="K756" s="235"/>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235"/>
      <c r="K757" s="235"/>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235"/>
      <c r="K758" s="235"/>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235"/>
      <c r="K759" s="235"/>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235"/>
      <c r="K760" s="235"/>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235"/>
      <c r="K761" s="235"/>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235"/>
      <c r="K762" s="235"/>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235"/>
      <c r="K763" s="235"/>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235"/>
      <c r="K764" s="235"/>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235"/>
      <c r="K765" s="235"/>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235"/>
      <c r="K766" s="235"/>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235"/>
      <c r="K767" s="235"/>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235"/>
      <c r="K768" s="235"/>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235"/>
      <c r="K769" s="235"/>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235"/>
      <c r="K770" s="235"/>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235"/>
      <c r="K771" s="235"/>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235"/>
      <c r="K772" s="235"/>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235"/>
      <c r="K773" s="235"/>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235"/>
      <c r="K774" s="235"/>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235"/>
      <c r="K775" s="235"/>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235"/>
      <c r="K776" s="235"/>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235"/>
      <c r="K777" s="235"/>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235"/>
      <c r="K778" s="235"/>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235"/>
      <c r="K779" s="235"/>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235"/>
      <c r="K780" s="235"/>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235"/>
      <c r="K781" s="235"/>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235"/>
      <c r="K782" s="235"/>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235"/>
      <c r="K783" s="235"/>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235"/>
      <c r="K784" s="235"/>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235"/>
      <c r="K785" s="235"/>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235"/>
      <c r="K786" s="235"/>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235"/>
      <c r="K787" s="235"/>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235"/>
      <c r="K788" s="235"/>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235"/>
      <c r="K789" s="235"/>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235"/>
      <c r="K790" s="235"/>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235"/>
      <c r="K791" s="235"/>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235"/>
      <c r="K792" s="235"/>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235"/>
      <c r="K793" s="235"/>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235"/>
      <c r="K794" s="235"/>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235"/>
      <c r="K795" s="235"/>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235"/>
      <c r="K796" s="235"/>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235"/>
      <c r="K797" s="235"/>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235"/>
      <c r="K798" s="235"/>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235"/>
      <c r="K799" s="235"/>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235"/>
      <c r="K800" s="235"/>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235"/>
      <c r="K801" s="235"/>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235"/>
      <c r="K802" s="235"/>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235"/>
      <c r="K803" s="235"/>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235"/>
      <c r="K804" s="235"/>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235"/>
      <c r="K805" s="235"/>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235"/>
      <c r="K806" s="235"/>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235"/>
      <c r="K807" s="235"/>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235"/>
      <c r="K808" s="235"/>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235"/>
      <c r="K809" s="235"/>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235"/>
      <c r="K810" s="235"/>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235"/>
      <c r="K811" s="235"/>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235"/>
      <c r="K812" s="235"/>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235"/>
      <c r="K813" s="235"/>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235"/>
      <c r="K814" s="235"/>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235"/>
      <c r="K815" s="235"/>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235"/>
      <c r="K816" s="235"/>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235"/>
      <c r="K817" s="235"/>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235"/>
      <c r="K818" s="235"/>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235"/>
      <c r="K819" s="235"/>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235"/>
      <c r="K820" s="235"/>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235"/>
      <c r="K821" s="235"/>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235"/>
      <c r="K822" s="235"/>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235"/>
      <c r="K823" s="235"/>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235"/>
      <c r="K824" s="235"/>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235"/>
      <c r="K825" s="235"/>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235"/>
      <c r="K826" s="235"/>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235"/>
      <c r="K827" s="235"/>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235"/>
      <c r="K828" s="235"/>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235"/>
      <c r="K829" s="235"/>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235"/>
      <c r="K830" s="235"/>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235"/>
      <c r="K831" s="235"/>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235"/>
      <c r="K832" s="235"/>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235"/>
      <c r="K833" s="235"/>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235"/>
      <c r="K834" s="235"/>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235"/>
      <c r="K835" s="235"/>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235"/>
      <c r="K836" s="235"/>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235"/>
      <c r="K837" s="235"/>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235"/>
      <c r="K838" s="235"/>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235"/>
      <c r="K839" s="235"/>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235"/>
      <c r="K840" s="235"/>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235"/>
      <c r="K841" s="235"/>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235"/>
      <c r="K842" s="235"/>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235"/>
      <c r="K843" s="235"/>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235"/>
      <c r="K844" s="235"/>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235"/>
      <c r="K845" s="235"/>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235"/>
      <c r="K846" s="235"/>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235"/>
      <c r="K847" s="235"/>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235"/>
      <c r="K848" s="235"/>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235"/>
      <c r="K849" s="235"/>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235"/>
      <c r="K850" s="235"/>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235"/>
      <c r="K851" s="235"/>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235"/>
      <c r="K852" s="235"/>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235"/>
      <c r="K853" s="235"/>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235"/>
      <c r="K854" s="235"/>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235"/>
      <c r="K855" s="235"/>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235"/>
      <c r="K856" s="235"/>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235"/>
      <c r="K857" s="235"/>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235"/>
      <c r="K858" s="235"/>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235"/>
      <c r="K859" s="235"/>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235"/>
      <c r="K860" s="235"/>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235"/>
      <c r="K861" s="235"/>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235"/>
      <c r="K862" s="235"/>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235"/>
      <c r="K863" s="235"/>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235"/>
      <c r="K864" s="235"/>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235"/>
      <c r="K865" s="235"/>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235"/>
      <c r="K866" s="235"/>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235"/>
      <c r="K867" s="235"/>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235"/>
      <c r="K868" s="235"/>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235"/>
      <c r="K869" s="235"/>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235"/>
      <c r="K870" s="235"/>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235"/>
      <c r="K871" s="235"/>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235"/>
      <c r="K872" s="235"/>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235"/>
      <c r="K873" s="235"/>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235"/>
      <c r="K874" s="235"/>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235"/>
      <c r="K875" s="235"/>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235"/>
      <c r="K876" s="235"/>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235"/>
      <c r="K877" s="235"/>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235"/>
      <c r="K878" s="235"/>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235"/>
      <c r="K879" s="235"/>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235"/>
      <c r="K880" s="235"/>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235"/>
      <c r="K881" s="235"/>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235"/>
      <c r="K882" s="235"/>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235"/>
      <c r="K883" s="235"/>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235"/>
      <c r="K884" s="235"/>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235"/>
      <c r="K885" s="235"/>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235"/>
      <c r="K886" s="235"/>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235"/>
      <c r="K887" s="235"/>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235"/>
      <c r="K888" s="235"/>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235"/>
      <c r="K889" s="235"/>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235"/>
      <c r="K890" s="235"/>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235"/>
      <c r="K891" s="235"/>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235"/>
      <c r="K892" s="235"/>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235"/>
      <c r="K893" s="235"/>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235"/>
      <c r="K894" s="235"/>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235"/>
      <c r="K895" s="235"/>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235"/>
      <c r="K896" s="235"/>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235"/>
      <c r="K897" s="235"/>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235"/>
      <c r="K898" s="235"/>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235"/>
      <c r="K899" s="235"/>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235"/>
      <c r="K900" s="235"/>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235"/>
      <c r="K901" s="235"/>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235"/>
      <c r="K902" s="235"/>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235"/>
      <c r="K903" s="235"/>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235"/>
      <c r="K904" s="235"/>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235"/>
      <c r="K905" s="235"/>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235"/>
      <c r="K906" s="235"/>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235"/>
      <c r="K907" s="235"/>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235"/>
      <c r="K908" s="235"/>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235"/>
      <c r="K909" s="235"/>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235"/>
      <c r="K910" s="235"/>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235"/>
      <c r="K911" s="235"/>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235"/>
      <c r="K912" s="235"/>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235"/>
      <c r="K913" s="235"/>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235"/>
      <c r="K914" s="235"/>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235"/>
      <c r="K915" s="235"/>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235"/>
      <c r="K916" s="235"/>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235"/>
      <c r="K917" s="235"/>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235"/>
      <c r="K918" s="235"/>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235"/>
      <c r="K919" s="235"/>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235"/>
      <c r="K920" s="235"/>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235"/>
      <c r="K921" s="235"/>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235"/>
      <c r="K922" s="235"/>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235"/>
      <c r="K923" s="235"/>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235"/>
      <c r="K924" s="235"/>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235"/>
      <c r="K925" s="235"/>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235"/>
      <c r="K926" s="235"/>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235"/>
      <c r="K927" s="235"/>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235"/>
      <c r="K928" s="235"/>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235"/>
      <c r="K929" s="235"/>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235"/>
      <c r="K930" s="235"/>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235"/>
      <c r="K931" s="235"/>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235"/>
      <c r="K932" s="235"/>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235"/>
      <c r="K933" s="235"/>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235"/>
      <c r="K934" s="235"/>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235"/>
      <c r="K935" s="235"/>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235"/>
      <c r="K936" s="235"/>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235"/>
      <c r="K937" s="235"/>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235"/>
      <c r="K938" s="235"/>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235"/>
      <c r="K939" s="235"/>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235"/>
      <c r="K940" s="235"/>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235"/>
      <c r="K941" s="235"/>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235"/>
      <c r="K942" s="235"/>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235"/>
      <c r="K943" s="235"/>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235"/>
      <c r="K944" s="235"/>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235"/>
      <c r="K945" s="235"/>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235"/>
      <c r="K946" s="235"/>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235"/>
      <c r="K947" s="235"/>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235"/>
      <c r="K948" s="235"/>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235"/>
      <c r="K949" s="235"/>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235"/>
      <c r="K950" s="235"/>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235"/>
      <c r="K951" s="235"/>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235"/>
      <c r="K952" s="235"/>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235"/>
      <c r="K953" s="235"/>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235"/>
      <c r="K954" s="235"/>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235"/>
      <c r="K955" s="235"/>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235"/>
      <c r="K956" s="235"/>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235"/>
      <c r="K957" s="235"/>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235"/>
      <c r="K958" s="235"/>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235"/>
      <c r="K959" s="235"/>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235"/>
      <c r="K960" s="235"/>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235"/>
      <c r="K961" s="235"/>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235"/>
      <c r="K962" s="235"/>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235"/>
      <c r="K963" s="235"/>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235"/>
      <c r="K964" s="235"/>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235"/>
      <c r="K965" s="235"/>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235"/>
      <c r="K966" s="235"/>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235"/>
      <c r="K967" s="235"/>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235"/>
      <c r="K968" s="235"/>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235"/>
      <c r="K969" s="235"/>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235"/>
      <c r="K970" s="235"/>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235"/>
      <c r="K971" s="235"/>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235"/>
      <c r="K972" s="235"/>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235"/>
      <c r="K973" s="235"/>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235"/>
      <c r="K974" s="235"/>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235"/>
      <c r="K975" s="235"/>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235"/>
      <c r="K976" s="235"/>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235"/>
      <c r="K977" s="235"/>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235"/>
      <c r="K978" s="235"/>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235"/>
      <c r="K979" s="235"/>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235"/>
      <c r="K980" s="235"/>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235"/>
      <c r="K981" s="235"/>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235"/>
      <c r="K982" s="235"/>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235"/>
      <c r="K983" s="235"/>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235"/>
      <c r="K984" s="235"/>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235"/>
      <c r="K985" s="235"/>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235"/>
      <c r="K986" s="235"/>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235"/>
      <c r="K987" s="235"/>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235"/>
      <c r="K988" s="235"/>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235"/>
      <c r="K989" s="235"/>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235"/>
      <c r="K990" s="235"/>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235"/>
      <c r="K991" s="235"/>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235"/>
      <c r="K992" s="235"/>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235"/>
      <c r="K993" s="235"/>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235"/>
      <c r="K994" s="235"/>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235"/>
      <c r="K995" s="235"/>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235"/>
      <c r="K996" s="235"/>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235"/>
      <c r="K997" s="235"/>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235"/>
      <c r="K998" s="235"/>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235"/>
      <c r="K999" s="235"/>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235"/>
      <c r="K1000" s="235"/>
      <c r="L1000" s="1"/>
      <c r="M1000" s="1"/>
      <c r="N1000" s="1"/>
      <c r="O1000" s="1"/>
      <c r="P1000" s="1"/>
      <c r="Q1000" s="1"/>
      <c r="R1000" s="1"/>
      <c r="S1000" s="1"/>
      <c r="T1000" s="1"/>
      <c r="U1000" s="1"/>
      <c r="V1000" s="1"/>
      <c r="W1000" s="1"/>
      <c r="X1000" s="1"/>
      <c r="Y1000" s="1"/>
      <c r="Z1000" s="1"/>
    </row>
    <row r="1001" ht="16.5" customHeight="1">
      <c r="A1001" s="1"/>
      <c r="B1001" s="1"/>
      <c r="C1001" s="1"/>
      <c r="D1001" s="1"/>
      <c r="E1001" s="1"/>
      <c r="F1001" s="1"/>
      <c r="G1001" s="1"/>
      <c r="H1001" s="1"/>
      <c r="I1001" s="1"/>
      <c r="J1001" s="235"/>
      <c r="K1001" s="235"/>
      <c r="L1001" s="1"/>
      <c r="M1001" s="1"/>
      <c r="N1001" s="1"/>
      <c r="O1001" s="1"/>
      <c r="P1001" s="1"/>
      <c r="Q1001" s="1"/>
      <c r="R1001" s="1"/>
      <c r="S1001" s="1"/>
      <c r="T1001" s="1"/>
      <c r="U1001" s="1"/>
      <c r="V1001" s="1"/>
      <c r="W1001" s="1"/>
      <c r="X1001" s="1"/>
      <c r="Y1001" s="1"/>
      <c r="Z1001" s="1"/>
    </row>
    <row r="1002" ht="16.5" customHeight="1">
      <c r="A1002" s="1"/>
      <c r="B1002" s="1"/>
      <c r="C1002" s="1"/>
      <c r="D1002" s="1"/>
      <c r="E1002" s="1"/>
      <c r="F1002" s="1"/>
      <c r="G1002" s="1"/>
      <c r="H1002" s="1"/>
      <c r="I1002" s="1"/>
      <c r="J1002" s="235"/>
      <c r="K1002" s="235"/>
      <c r="L1002" s="1"/>
      <c r="M1002" s="1"/>
      <c r="N1002" s="1"/>
      <c r="O1002" s="1"/>
      <c r="P1002" s="1"/>
      <c r="Q1002" s="1"/>
      <c r="R1002" s="1"/>
      <c r="S1002" s="1"/>
      <c r="T1002" s="1"/>
      <c r="U1002" s="1"/>
      <c r="V1002" s="1"/>
      <c r="W1002" s="1"/>
      <c r="X1002" s="1"/>
      <c r="Y1002" s="1"/>
      <c r="Z1002" s="1"/>
    </row>
    <row r="1003" ht="16.5" customHeight="1">
      <c r="A1003" s="1"/>
      <c r="B1003" s="1"/>
      <c r="C1003" s="1"/>
      <c r="D1003" s="1"/>
      <c r="E1003" s="1"/>
      <c r="F1003" s="1"/>
      <c r="G1003" s="1"/>
      <c r="H1003" s="1"/>
      <c r="I1003" s="1"/>
      <c r="J1003" s="235"/>
      <c r="K1003" s="235"/>
      <c r="L1003" s="1"/>
      <c r="M1003" s="1"/>
      <c r="N1003" s="1"/>
      <c r="O1003" s="1"/>
      <c r="P1003" s="1"/>
      <c r="Q1003" s="1"/>
      <c r="R1003" s="1"/>
      <c r="S1003" s="1"/>
      <c r="T1003" s="1"/>
      <c r="U1003" s="1"/>
      <c r="V1003" s="1"/>
      <c r="W1003" s="1"/>
      <c r="X1003" s="1"/>
      <c r="Y1003" s="1"/>
      <c r="Z1003" s="1"/>
    </row>
  </sheetData>
  <mergeCells count="8">
    <mergeCell ref="C2:D2"/>
    <mergeCell ref="E2:F2"/>
    <mergeCell ref="G2:H2"/>
    <mergeCell ref="I2:J2"/>
    <mergeCell ref="K2:L2"/>
    <mergeCell ref="M2:N2"/>
    <mergeCell ref="B4:B9"/>
    <mergeCell ref="B10:B22"/>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43"/>
    <col customWidth="1" min="2" max="2" width="41.14"/>
    <col customWidth="1" min="3" max="3" width="9.0"/>
    <col customWidth="1" min="4" max="4" width="16.0"/>
    <col customWidth="1" min="5" max="6" width="26.29"/>
    <col customWidth="1" min="7" max="7" width="10.0"/>
    <col customWidth="1" min="8" max="9" width="7.0"/>
    <col customWidth="1" min="10" max="10" width="44.0"/>
    <col customWidth="1" min="11" max="27" width="8.71"/>
  </cols>
  <sheetData>
    <row r="1" ht="16.5" customHeight="1">
      <c r="A1" s="1"/>
      <c r="B1" s="452" t="s">
        <v>403</v>
      </c>
      <c r="K1" s="1"/>
      <c r="L1" s="1"/>
      <c r="M1" s="1"/>
      <c r="N1" s="1"/>
      <c r="O1" s="1"/>
      <c r="P1" s="1"/>
      <c r="Q1" s="1"/>
      <c r="R1" s="1"/>
      <c r="S1" s="1"/>
      <c r="T1" s="1"/>
      <c r="U1" s="1"/>
      <c r="V1" s="1"/>
      <c r="W1" s="1"/>
      <c r="X1" s="1"/>
      <c r="Y1" s="1"/>
      <c r="Z1" s="1"/>
      <c r="AA1" s="1"/>
    </row>
    <row r="2" ht="16.5" customHeight="1">
      <c r="A2" s="1"/>
      <c r="B2" s="453" t="s">
        <v>404</v>
      </c>
      <c r="K2" s="1"/>
      <c r="L2" s="1"/>
      <c r="M2" s="1"/>
      <c r="N2" s="1"/>
      <c r="O2" s="1"/>
      <c r="P2" s="1"/>
      <c r="Q2" s="1"/>
      <c r="R2" s="1"/>
      <c r="S2" s="1"/>
      <c r="T2" s="1"/>
      <c r="U2" s="1"/>
      <c r="V2" s="1"/>
      <c r="W2" s="1"/>
      <c r="X2" s="1"/>
      <c r="Y2" s="1"/>
      <c r="Z2" s="1"/>
      <c r="AA2" s="1"/>
    </row>
    <row r="3" ht="16.5" customHeight="1">
      <c r="A3" s="1"/>
      <c r="B3" s="8"/>
      <c r="C3" s="8"/>
      <c r="D3" s="8"/>
      <c r="E3" s="8"/>
      <c r="F3" s="8"/>
      <c r="G3" s="8"/>
      <c r="H3" s="8"/>
      <c r="I3" s="8"/>
      <c r="J3" s="8"/>
      <c r="K3" s="1"/>
      <c r="L3" s="1"/>
      <c r="M3" s="1"/>
      <c r="N3" s="1"/>
      <c r="O3" s="1"/>
      <c r="P3" s="1"/>
      <c r="Q3" s="1"/>
      <c r="R3" s="1"/>
      <c r="S3" s="1"/>
      <c r="T3" s="1"/>
      <c r="U3" s="1"/>
      <c r="V3" s="1"/>
      <c r="W3" s="1"/>
      <c r="X3" s="1"/>
      <c r="Y3" s="1"/>
      <c r="Z3" s="1"/>
      <c r="AA3" s="1"/>
    </row>
    <row r="4" ht="19.5" customHeight="1">
      <c r="A4" s="1"/>
      <c r="B4" s="454" t="s">
        <v>405</v>
      </c>
      <c r="C4" s="454" t="s">
        <v>406</v>
      </c>
      <c r="D4" s="454" t="s">
        <v>407</v>
      </c>
      <c r="E4" s="454" t="s">
        <v>408</v>
      </c>
      <c r="F4" s="455" t="s">
        <v>409</v>
      </c>
      <c r="G4" s="454" t="s">
        <v>410</v>
      </c>
      <c r="H4" s="454" t="s">
        <v>411</v>
      </c>
      <c r="I4" s="454" t="s">
        <v>412</v>
      </c>
      <c r="J4" s="454" t="s">
        <v>413</v>
      </c>
      <c r="K4" s="1"/>
      <c r="L4" s="1"/>
      <c r="M4" s="1"/>
      <c r="N4" s="1"/>
      <c r="O4" s="1"/>
      <c r="P4" s="1"/>
      <c r="Q4" s="1"/>
      <c r="R4" s="1"/>
      <c r="S4" s="1"/>
      <c r="T4" s="1"/>
      <c r="U4" s="1"/>
      <c r="V4" s="1"/>
      <c r="W4" s="1"/>
      <c r="X4" s="1"/>
      <c r="Y4" s="1"/>
      <c r="Z4" s="1"/>
      <c r="AA4" s="1"/>
    </row>
    <row r="5" ht="18.0" customHeight="1">
      <c r="A5" s="1"/>
      <c r="B5" s="456" t="s">
        <v>414</v>
      </c>
      <c r="C5" s="457"/>
      <c r="D5" s="457"/>
      <c r="E5" s="457"/>
      <c r="F5" s="457"/>
      <c r="G5" s="457"/>
      <c r="H5" s="457"/>
      <c r="I5" s="457"/>
      <c r="J5" s="458"/>
      <c r="K5" s="1"/>
      <c r="L5" s="1"/>
      <c r="M5" s="1"/>
      <c r="N5" s="1"/>
      <c r="O5" s="1"/>
      <c r="P5" s="1"/>
      <c r="Q5" s="1"/>
      <c r="R5" s="1"/>
      <c r="S5" s="1"/>
      <c r="T5" s="1"/>
      <c r="U5" s="1"/>
      <c r="V5" s="1"/>
      <c r="W5" s="1"/>
      <c r="X5" s="1"/>
      <c r="Y5" s="1"/>
      <c r="Z5" s="1"/>
      <c r="AA5" s="1"/>
    </row>
    <row r="6" ht="18.75" customHeight="1">
      <c r="A6" s="1"/>
      <c r="B6" s="459" t="s">
        <v>415</v>
      </c>
      <c r="C6" s="460">
        <v>35.0</v>
      </c>
      <c r="D6" s="460" t="s">
        <v>416</v>
      </c>
      <c r="E6" s="460" t="s">
        <v>417</v>
      </c>
      <c r="F6" s="461" t="s">
        <v>418</v>
      </c>
      <c r="G6" s="460" t="s">
        <v>419</v>
      </c>
      <c r="H6" s="460" t="s">
        <v>419</v>
      </c>
      <c r="I6" s="460"/>
      <c r="J6" s="462" t="s">
        <v>420</v>
      </c>
      <c r="K6" s="1"/>
      <c r="L6" s="1"/>
      <c r="M6" s="1"/>
      <c r="N6" s="1"/>
      <c r="O6" s="1"/>
      <c r="P6" s="1"/>
      <c r="Q6" s="1"/>
      <c r="R6" s="1"/>
      <c r="S6" s="1"/>
      <c r="T6" s="1"/>
      <c r="U6" s="1"/>
      <c r="V6" s="1"/>
      <c r="W6" s="1"/>
      <c r="X6" s="1"/>
      <c r="Y6" s="1"/>
      <c r="Z6" s="1"/>
      <c r="AA6" s="1"/>
    </row>
    <row r="7" ht="18.75" customHeight="1">
      <c r="A7" s="1"/>
      <c r="B7" s="459" t="s">
        <v>421</v>
      </c>
      <c r="C7" s="460">
        <v>1.0</v>
      </c>
      <c r="D7" s="460" t="s">
        <v>416</v>
      </c>
      <c r="E7" s="460" t="s">
        <v>422</v>
      </c>
      <c r="F7" s="461" t="s">
        <v>423</v>
      </c>
      <c r="G7" s="460" t="s">
        <v>419</v>
      </c>
      <c r="H7" s="460" t="s">
        <v>419</v>
      </c>
      <c r="I7" s="460"/>
      <c r="J7" s="459" t="s">
        <v>424</v>
      </c>
      <c r="K7" s="1"/>
      <c r="L7" s="1"/>
      <c r="M7" s="1"/>
      <c r="N7" s="1"/>
      <c r="O7" s="1"/>
      <c r="P7" s="1"/>
      <c r="Q7" s="1"/>
      <c r="R7" s="1"/>
      <c r="S7" s="1"/>
      <c r="T7" s="1"/>
      <c r="U7" s="1"/>
      <c r="V7" s="1"/>
      <c r="W7" s="1"/>
      <c r="X7" s="1"/>
      <c r="Y7" s="1"/>
      <c r="Z7" s="1"/>
      <c r="AA7" s="1"/>
    </row>
    <row r="8" ht="18.75" customHeight="1">
      <c r="A8" s="1"/>
      <c r="B8" s="459" t="s">
        <v>425</v>
      </c>
      <c r="C8" s="460">
        <v>2.0</v>
      </c>
      <c r="D8" s="460" t="s">
        <v>416</v>
      </c>
      <c r="E8" s="460" t="s">
        <v>422</v>
      </c>
      <c r="F8" s="461" t="s">
        <v>423</v>
      </c>
      <c r="G8" s="460" t="s">
        <v>419</v>
      </c>
      <c r="H8" s="460" t="s">
        <v>419</v>
      </c>
      <c r="I8" s="460"/>
      <c r="J8" s="459" t="s">
        <v>426</v>
      </c>
      <c r="K8" s="1"/>
      <c r="L8" s="1"/>
      <c r="M8" s="1"/>
      <c r="N8" s="1"/>
      <c r="O8" s="1"/>
      <c r="P8" s="1"/>
      <c r="Q8" s="1"/>
      <c r="R8" s="1"/>
      <c r="S8" s="1"/>
      <c r="T8" s="1"/>
      <c r="U8" s="1"/>
      <c r="V8" s="1"/>
      <c r="W8" s="1"/>
      <c r="X8" s="1"/>
      <c r="Y8" s="1"/>
      <c r="Z8" s="1"/>
      <c r="AA8" s="1"/>
    </row>
    <row r="9" ht="18.75" customHeight="1">
      <c r="A9" s="1"/>
      <c r="B9" s="459" t="s">
        <v>427</v>
      </c>
      <c r="C9" s="460" t="s">
        <v>85</v>
      </c>
      <c r="D9" s="460" t="s">
        <v>428</v>
      </c>
      <c r="E9" s="460" t="s">
        <v>429</v>
      </c>
      <c r="F9" s="461" t="s">
        <v>423</v>
      </c>
      <c r="G9" s="460" t="s">
        <v>419</v>
      </c>
      <c r="H9" s="460" t="s">
        <v>419</v>
      </c>
      <c r="I9" s="460"/>
      <c r="J9" s="463" t="s">
        <v>430</v>
      </c>
      <c r="K9" s="1"/>
      <c r="L9" s="1"/>
      <c r="M9" s="1"/>
      <c r="N9" s="1"/>
      <c r="O9" s="1"/>
      <c r="P9" s="1"/>
      <c r="Q9" s="1"/>
      <c r="R9" s="1"/>
      <c r="S9" s="1"/>
      <c r="T9" s="1"/>
      <c r="U9" s="1"/>
      <c r="V9" s="1"/>
      <c r="W9" s="1"/>
      <c r="X9" s="1"/>
      <c r="Y9" s="1"/>
      <c r="Z9" s="1"/>
      <c r="AA9" s="1"/>
    </row>
    <row r="10" ht="18.0" customHeight="1">
      <c r="A10" s="1"/>
      <c r="B10" s="456" t="s">
        <v>431</v>
      </c>
      <c r="C10" s="457"/>
      <c r="D10" s="457"/>
      <c r="E10" s="457"/>
      <c r="F10" s="457"/>
      <c r="G10" s="457"/>
      <c r="H10" s="457"/>
      <c r="I10" s="457"/>
      <c r="J10" s="458"/>
      <c r="K10" s="1"/>
      <c r="L10" s="1"/>
      <c r="M10" s="1"/>
      <c r="N10" s="1"/>
      <c r="O10" s="1"/>
      <c r="P10" s="1"/>
      <c r="Q10" s="1"/>
      <c r="R10" s="1"/>
      <c r="S10" s="1"/>
      <c r="T10" s="1"/>
      <c r="U10" s="1"/>
      <c r="V10" s="1"/>
      <c r="W10" s="1"/>
      <c r="X10" s="1"/>
      <c r="Y10" s="1"/>
      <c r="Z10" s="1"/>
      <c r="AA10" s="1"/>
    </row>
    <row r="11" ht="18.75" customHeight="1">
      <c r="A11" s="1"/>
      <c r="B11" s="459" t="s">
        <v>432</v>
      </c>
      <c r="C11" s="460">
        <v>6.0</v>
      </c>
      <c r="D11" s="460" t="s">
        <v>416</v>
      </c>
      <c r="E11" s="460" t="s">
        <v>417</v>
      </c>
      <c r="F11" s="461" t="s">
        <v>423</v>
      </c>
      <c r="G11" s="460" t="s">
        <v>419</v>
      </c>
      <c r="H11" s="460" t="s">
        <v>419</v>
      </c>
      <c r="I11" s="460"/>
      <c r="J11" s="463" t="s">
        <v>433</v>
      </c>
      <c r="K11" s="1"/>
      <c r="L11" s="1"/>
      <c r="M11" s="1"/>
      <c r="N11" s="1"/>
      <c r="O11" s="1"/>
      <c r="P11" s="1"/>
      <c r="Q11" s="1"/>
      <c r="R11" s="1"/>
      <c r="S11" s="1"/>
      <c r="T11" s="1"/>
      <c r="U11" s="1"/>
      <c r="V11" s="1"/>
      <c r="W11" s="1"/>
      <c r="X11" s="1"/>
      <c r="Y11" s="1"/>
      <c r="Z11" s="1"/>
      <c r="AA11" s="1"/>
    </row>
    <row r="12" ht="18.75" customHeight="1">
      <c r="A12" s="1"/>
      <c r="B12" s="459" t="s">
        <v>434</v>
      </c>
      <c r="C12" s="460" t="s">
        <v>85</v>
      </c>
      <c r="D12" s="460" t="s">
        <v>416</v>
      </c>
      <c r="E12" s="461" t="s">
        <v>435</v>
      </c>
      <c r="F12" s="461" t="s">
        <v>436</v>
      </c>
      <c r="G12" s="460" t="s">
        <v>419</v>
      </c>
      <c r="H12" s="460" t="s">
        <v>419</v>
      </c>
      <c r="I12" s="460"/>
      <c r="J12" s="462" t="s">
        <v>420</v>
      </c>
      <c r="K12" s="1"/>
      <c r="L12" s="1"/>
      <c r="M12" s="1"/>
      <c r="N12" s="1"/>
      <c r="O12" s="1"/>
      <c r="P12" s="1"/>
      <c r="Q12" s="1"/>
      <c r="R12" s="1"/>
      <c r="S12" s="1"/>
      <c r="T12" s="1"/>
      <c r="U12" s="1"/>
      <c r="V12" s="1"/>
      <c r="W12" s="1"/>
      <c r="X12" s="1"/>
      <c r="Y12" s="1"/>
      <c r="Z12" s="1"/>
      <c r="AA12" s="1"/>
    </row>
    <row r="13" ht="18.75" customHeight="1">
      <c r="A13" s="1"/>
      <c r="B13" s="459" t="s">
        <v>437</v>
      </c>
      <c r="C13" s="460">
        <v>2.0</v>
      </c>
      <c r="D13" s="460" t="s">
        <v>416</v>
      </c>
      <c r="E13" s="460" t="s">
        <v>417</v>
      </c>
      <c r="F13" s="461" t="s">
        <v>438</v>
      </c>
      <c r="G13" s="460" t="s">
        <v>419</v>
      </c>
      <c r="H13" s="460" t="s">
        <v>419</v>
      </c>
      <c r="I13" s="460"/>
      <c r="J13" s="462"/>
      <c r="K13" s="1"/>
      <c r="L13" s="1"/>
      <c r="M13" s="1"/>
      <c r="N13" s="1"/>
      <c r="O13" s="1"/>
      <c r="P13" s="1"/>
      <c r="Q13" s="1"/>
      <c r="R13" s="1"/>
      <c r="S13" s="1"/>
      <c r="T13" s="1"/>
      <c r="U13" s="1"/>
      <c r="V13" s="1"/>
      <c r="W13" s="1"/>
      <c r="X13" s="1"/>
      <c r="Y13" s="1"/>
      <c r="Z13" s="1"/>
      <c r="AA13" s="1"/>
    </row>
    <row r="14" ht="18.75" customHeight="1">
      <c r="A14" s="1"/>
      <c r="B14" s="459" t="s">
        <v>439</v>
      </c>
      <c r="C14" s="460">
        <v>1.0</v>
      </c>
      <c r="D14" s="460" t="s">
        <v>416</v>
      </c>
      <c r="E14" s="460" t="s">
        <v>440</v>
      </c>
      <c r="F14" s="461" t="s">
        <v>423</v>
      </c>
      <c r="G14" s="460" t="s">
        <v>419</v>
      </c>
      <c r="H14" s="460" t="s">
        <v>85</v>
      </c>
      <c r="I14" s="460"/>
      <c r="J14" s="459" t="s">
        <v>441</v>
      </c>
      <c r="K14" s="1"/>
      <c r="L14" s="1"/>
      <c r="M14" s="1"/>
      <c r="N14" s="1"/>
      <c r="O14" s="1"/>
      <c r="P14" s="1"/>
      <c r="Q14" s="1"/>
      <c r="R14" s="1"/>
      <c r="S14" s="1"/>
      <c r="T14" s="1"/>
      <c r="U14" s="1"/>
      <c r="V14" s="1"/>
      <c r="W14" s="1"/>
      <c r="X14" s="1"/>
      <c r="Y14" s="1"/>
      <c r="Z14" s="1"/>
      <c r="AA14" s="1"/>
    </row>
    <row r="15" ht="18.75" customHeight="1">
      <c r="A15" s="1"/>
      <c r="B15" s="459" t="s">
        <v>442</v>
      </c>
      <c r="C15" s="460" t="s">
        <v>85</v>
      </c>
      <c r="D15" s="460" t="s">
        <v>416</v>
      </c>
      <c r="E15" s="460" t="s">
        <v>443</v>
      </c>
      <c r="F15" s="461" t="s">
        <v>423</v>
      </c>
      <c r="G15" s="460" t="s">
        <v>419</v>
      </c>
      <c r="H15" s="460" t="s">
        <v>419</v>
      </c>
      <c r="I15" s="460"/>
      <c r="J15" s="462" t="s">
        <v>444</v>
      </c>
      <c r="K15" s="1"/>
      <c r="L15" s="1"/>
      <c r="M15" s="1"/>
      <c r="N15" s="1"/>
      <c r="O15" s="1"/>
      <c r="P15" s="1"/>
      <c r="Q15" s="1"/>
      <c r="R15" s="1"/>
      <c r="S15" s="1"/>
      <c r="T15" s="1"/>
      <c r="U15" s="1"/>
      <c r="V15" s="1"/>
      <c r="W15" s="1"/>
      <c r="X15" s="1"/>
      <c r="Y15" s="1"/>
      <c r="Z15" s="1"/>
      <c r="AA15" s="1"/>
    </row>
    <row r="16" ht="18.75" customHeight="1">
      <c r="A16" s="1"/>
      <c r="B16" s="459" t="s">
        <v>445</v>
      </c>
      <c r="C16" s="460">
        <v>7.0</v>
      </c>
      <c r="D16" s="460" t="s">
        <v>416</v>
      </c>
      <c r="E16" s="460" t="s">
        <v>440</v>
      </c>
      <c r="F16" s="461" t="s">
        <v>446</v>
      </c>
      <c r="G16" s="460" t="s">
        <v>419</v>
      </c>
      <c r="H16" s="460" t="s">
        <v>419</v>
      </c>
      <c r="I16" s="460"/>
      <c r="J16" s="459" t="s">
        <v>447</v>
      </c>
      <c r="K16" s="1"/>
      <c r="L16" s="1"/>
      <c r="M16" s="1"/>
      <c r="N16" s="1"/>
      <c r="O16" s="1"/>
      <c r="P16" s="1"/>
      <c r="Q16" s="1"/>
      <c r="R16" s="1"/>
      <c r="S16" s="1"/>
      <c r="T16" s="1"/>
      <c r="U16" s="1"/>
      <c r="V16" s="1"/>
      <c r="W16" s="1"/>
      <c r="X16" s="1"/>
      <c r="Y16" s="1"/>
      <c r="Z16" s="1"/>
      <c r="AA16" s="1"/>
    </row>
    <row r="17" ht="18.75" customHeight="1">
      <c r="A17" s="1"/>
      <c r="B17" s="459" t="s">
        <v>448</v>
      </c>
      <c r="C17" s="460">
        <v>1.0</v>
      </c>
      <c r="D17" s="460" t="s">
        <v>416</v>
      </c>
      <c r="E17" s="461" t="s">
        <v>417</v>
      </c>
      <c r="F17" s="461" t="s">
        <v>419</v>
      </c>
      <c r="G17" s="460" t="s">
        <v>419</v>
      </c>
      <c r="H17" s="460" t="s">
        <v>419</v>
      </c>
      <c r="I17" s="460"/>
      <c r="J17" s="462" t="s">
        <v>420</v>
      </c>
      <c r="K17" s="1"/>
      <c r="L17" s="1"/>
      <c r="M17" s="1"/>
      <c r="N17" s="1"/>
      <c r="O17" s="1"/>
      <c r="P17" s="1"/>
      <c r="Q17" s="1"/>
      <c r="R17" s="1"/>
      <c r="S17" s="1"/>
      <c r="T17" s="1"/>
      <c r="U17" s="1"/>
      <c r="V17" s="1"/>
      <c r="W17" s="1"/>
      <c r="X17" s="1"/>
      <c r="Y17" s="1"/>
      <c r="Z17" s="1"/>
      <c r="AA17" s="1"/>
    </row>
    <row r="18" ht="18.75" customHeight="1">
      <c r="A18" s="1"/>
      <c r="B18" s="459" t="s">
        <v>449</v>
      </c>
      <c r="C18" s="460">
        <v>30.0</v>
      </c>
      <c r="D18" s="460" t="s">
        <v>416</v>
      </c>
      <c r="E18" s="461" t="s">
        <v>450</v>
      </c>
      <c r="F18" s="461" t="s">
        <v>423</v>
      </c>
      <c r="G18" s="460" t="s">
        <v>419</v>
      </c>
      <c r="H18" s="460" t="s">
        <v>419</v>
      </c>
      <c r="I18" s="460"/>
      <c r="J18" s="464" t="s">
        <v>433</v>
      </c>
      <c r="K18" s="1"/>
      <c r="L18" s="1"/>
      <c r="M18" s="1"/>
      <c r="N18" s="1"/>
      <c r="O18" s="1"/>
      <c r="P18" s="1"/>
      <c r="Q18" s="1"/>
      <c r="R18" s="1"/>
      <c r="S18" s="1"/>
      <c r="T18" s="1"/>
      <c r="U18" s="1"/>
      <c r="V18" s="1"/>
      <c r="W18" s="1"/>
      <c r="X18" s="1"/>
      <c r="Y18" s="1"/>
      <c r="Z18" s="1"/>
      <c r="AA18" s="1"/>
    </row>
    <row r="19" ht="18.0" customHeight="1">
      <c r="A19" s="1"/>
      <c r="B19" s="456" t="s">
        <v>451</v>
      </c>
      <c r="C19" s="457"/>
      <c r="D19" s="457"/>
      <c r="E19" s="457"/>
      <c r="F19" s="457"/>
      <c r="G19" s="457"/>
      <c r="H19" s="457"/>
      <c r="I19" s="457"/>
      <c r="J19" s="458"/>
      <c r="K19" s="1"/>
      <c r="L19" s="1"/>
      <c r="M19" s="1"/>
      <c r="N19" s="1"/>
      <c r="O19" s="1"/>
      <c r="P19" s="1"/>
      <c r="Q19" s="1"/>
      <c r="R19" s="1"/>
      <c r="S19" s="1"/>
      <c r="T19" s="1"/>
      <c r="U19" s="1"/>
      <c r="V19" s="1"/>
      <c r="W19" s="1"/>
      <c r="X19" s="1"/>
      <c r="Y19" s="1"/>
      <c r="Z19" s="1"/>
      <c r="AA19" s="1"/>
    </row>
    <row r="20" ht="18.75" customHeight="1">
      <c r="A20" s="1"/>
      <c r="B20" s="459" t="s">
        <v>452</v>
      </c>
      <c r="C20" s="460">
        <v>2.0</v>
      </c>
      <c r="D20" s="460" t="s">
        <v>453</v>
      </c>
      <c r="E20" s="460" t="s">
        <v>422</v>
      </c>
      <c r="F20" s="461" t="s">
        <v>454</v>
      </c>
      <c r="G20" s="460" t="s">
        <v>419</v>
      </c>
      <c r="H20" s="460" t="s">
        <v>419</v>
      </c>
      <c r="I20" s="460"/>
      <c r="J20" s="459"/>
      <c r="K20" s="1"/>
      <c r="L20" s="1"/>
      <c r="M20" s="1"/>
      <c r="N20" s="1"/>
      <c r="O20" s="1"/>
      <c r="P20" s="1"/>
      <c r="Q20" s="1"/>
      <c r="R20" s="1"/>
      <c r="S20" s="1"/>
      <c r="T20" s="1"/>
      <c r="U20" s="1"/>
      <c r="V20" s="1"/>
      <c r="W20" s="1"/>
      <c r="X20" s="1"/>
      <c r="Y20" s="1"/>
      <c r="Z20" s="1"/>
      <c r="AA20" s="1"/>
    </row>
    <row r="21" ht="18.75" customHeight="1">
      <c r="A21" s="1"/>
      <c r="B21" s="459" t="s">
        <v>455</v>
      </c>
      <c r="C21" s="460">
        <v>1.0</v>
      </c>
      <c r="D21" s="460" t="s">
        <v>453</v>
      </c>
      <c r="E21" s="460" t="s">
        <v>422</v>
      </c>
      <c r="F21" s="461" t="s">
        <v>456</v>
      </c>
      <c r="G21" s="460" t="s">
        <v>419</v>
      </c>
      <c r="H21" s="460" t="s">
        <v>419</v>
      </c>
      <c r="I21" s="460"/>
      <c r="J21" s="459"/>
      <c r="K21" s="1"/>
      <c r="L21" s="1"/>
      <c r="M21" s="1"/>
      <c r="N21" s="1"/>
      <c r="O21" s="1"/>
      <c r="P21" s="1"/>
      <c r="Q21" s="1"/>
      <c r="R21" s="1"/>
      <c r="S21" s="1"/>
      <c r="T21" s="1"/>
      <c r="U21" s="1"/>
      <c r="V21" s="1"/>
      <c r="W21" s="1"/>
      <c r="X21" s="1"/>
      <c r="Y21" s="1"/>
      <c r="Z21" s="1"/>
      <c r="AA21" s="1"/>
    </row>
    <row r="22" ht="18.75" customHeight="1">
      <c r="A22" s="1"/>
      <c r="B22" s="459" t="s">
        <v>457</v>
      </c>
      <c r="C22" s="460" t="s">
        <v>85</v>
      </c>
      <c r="D22" s="460" t="s">
        <v>453</v>
      </c>
      <c r="E22" s="461" t="s">
        <v>458</v>
      </c>
      <c r="F22" s="461" t="s">
        <v>459</v>
      </c>
      <c r="G22" s="460" t="s">
        <v>419</v>
      </c>
      <c r="H22" s="460" t="s">
        <v>419</v>
      </c>
      <c r="I22" s="460"/>
      <c r="J22" s="462" t="s">
        <v>420</v>
      </c>
      <c r="K22" s="1"/>
      <c r="L22" s="1"/>
      <c r="M22" s="1"/>
      <c r="N22" s="1"/>
      <c r="O22" s="1"/>
      <c r="P22" s="1"/>
      <c r="Q22" s="1"/>
      <c r="R22" s="1"/>
      <c r="S22" s="1"/>
      <c r="T22" s="1"/>
      <c r="U22" s="1"/>
      <c r="V22" s="1"/>
      <c r="W22" s="1"/>
      <c r="X22" s="1"/>
      <c r="Y22" s="1"/>
      <c r="Z22" s="1"/>
      <c r="AA22" s="1"/>
    </row>
    <row r="23" ht="18.75" customHeight="1">
      <c r="A23" s="1"/>
      <c r="B23" s="459" t="s">
        <v>460</v>
      </c>
      <c r="C23" s="460" t="s">
        <v>85</v>
      </c>
      <c r="D23" s="460" t="s">
        <v>461</v>
      </c>
      <c r="E23" s="460" t="s">
        <v>462</v>
      </c>
      <c r="F23" s="461" t="s">
        <v>423</v>
      </c>
      <c r="G23" s="460" t="s">
        <v>419</v>
      </c>
      <c r="H23" s="460" t="s">
        <v>419</v>
      </c>
      <c r="I23" s="460"/>
      <c r="J23" s="459"/>
      <c r="K23" s="1"/>
      <c r="L23" s="1"/>
      <c r="M23" s="1"/>
      <c r="N23" s="1"/>
      <c r="O23" s="1"/>
      <c r="P23" s="1"/>
      <c r="Q23" s="1"/>
      <c r="R23" s="1"/>
      <c r="S23" s="1"/>
      <c r="T23" s="1"/>
      <c r="U23" s="1"/>
      <c r="V23" s="1"/>
      <c r="W23" s="1"/>
      <c r="X23" s="1"/>
      <c r="Y23" s="1"/>
      <c r="Z23" s="1"/>
      <c r="AA23" s="1"/>
    </row>
    <row r="24" ht="18.75" customHeight="1">
      <c r="A24" s="1"/>
      <c r="B24" s="459" t="s">
        <v>463</v>
      </c>
      <c r="C24" s="460" t="s">
        <v>85</v>
      </c>
      <c r="D24" s="460" t="s">
        <v>461</v>
      </c>
      <c r="E24" s="460" t="s">
        <v>464</v>
      </c>
      <c r="F24" s="461" t="s">
        <v>423</v>
      </c>
      <c r="G24" s="460" t="s">
        <v>419</v>
      </c>
      <c r="H24" s="460" t="s">
        <v>419</v>
      </c>
      <c r="I24" s="460"/>
      <c r="J24" s="462" t="s">
        <v>420</v>
      </c>
      <c r="K24" s="1"/>
      <c r="L24" s="1"/>
      <c r="M24" s="1"/>
      <c r="N24" s="1"/>
      <c r="O24" s="1"/>
      <c r="P24" s="1"/>
      <c r="Q24" s="1"/>
      <c r="R24" s="1"/>
      <c r="S24" s="1"/>
      <c r="T24" s="1"/>
      <c r="U24" s="1"/>
      <c r="V24" s="1"/>
      <c r="W24" s="1"/>
      <c r="X24" s="1"/>
      <c r="Y24" s="1"/>
      <c r="Z24" s="1"/>
      <c r="AA24" s="1"/>
    </row>
    <row r="25" ht="18.75" customHeight="1">
      <c r="A25" s="1"/>
      <c r="B25" s="459" t="s">
        <v>465</v>
      </c>
      <c r="C25" s="460" t="s">
        <v>466</v>
      </c>
      <c r="D25" s="460" t="s">
        <v>461</v>
      </c>
      <c r="E25" s="460" t="s">
        <v>467</v>
      </c>
      <c r="F25" s="461" t="s">
        <v>423</v>
      </c>
      <c r="G25" s="460" t="s">
        <v>419</v>
      </c>
      <c r="H25" s="460" t="s">
        <v>419</v>
      </c>
      <c r="I25" s="460"/>
      <c r="J25" s="459" t="s">
        <v>468</v>
      </c>
      <c r="K25" s="1"/>
      <c r="L25" s="1"/>
      <c r="M25" s="1"/>
      <c r="N25" s="1"/>
      <c r="O25" s="1"/>
      <c r="P25" s="1"/>
      <c r="Q25" s="1"/>
      <c r="R25" s="1"/>
      <c r="S25" s="1"/>
      <c r="T25" s="1"/>
      <c r="U25" s="1"/>
      <c r="V25" s="1"/>
      <c r="W25" s="1"/>
      <c r="X25" s="1"/>
      <c r="Y25" s="1"/>
      <c r="Z25" s="1"/>
      <c r="AA25" s="1"/>
    </row>
    <row r="26" ht="18.75" customHeight="1">
      <c r="A26" s="1"/>
      <c r="B26" s="459" t="s">
        <v>469</v>
      </c>
      <c r="C26" s="460" t="s">
        <v>470</v>
      </c>
      <c r="D26" s="460" t="s">
        <v>471</v>
      </c>
      <c r="E26" s="460" t="s">
        <v>472</v>
      </c>
      <c r="F26" s="461" t="s">
        <v>473</v>
      </c>
      <c r="G26" s="460" t="s">
        <v>419</v>
      </c>
      <c r="H26" s="460" t="s">
        <v>85</v>
      </c>
      <c r="I26" s="460"/>
      <c r="J26" s="459" t="s">
        <v>474</v>
      </c>
      <c r="K26" s="1"/>
      <c r="L26" s="1"/>
      <c r="M26" s="1"/>
      <c r="N26" s="1"/>
      <c r="O26" s="1"/>
      <c r="P26" s="1"/>
      <c r="Q26" s="1"/>
      <c r="R26" s="1"/>
      <c r="S26" s="1"/>
      <c r="T26" s="1"/>
      <c r="U26" s="1"/>
      <c r="V26" s="1"/>
      <c r="W26" s="1"/>
      <c r="X26" s="1"/>
      <c r="Y26" s="1"/>
      <c r="Z26" s="1"/>
      <c r="AA26" s="1"/>
    </row>
    <row r="27" ht="45.75" customHeight="1">
      <c r="A27" s="1"/>
      <c r="B27" s="459" t="s">
        <v>475</v>
      </c>
      <c r="C27" s="460" t="s">
        <v>476</v>
      </c>
      <c r="D27" s="460" t="s">
        <v>477</v>
      </c>
      <c r="E27" s="460" t="s">
        <v>440</v>
      </c>
      <c r="F27" s="461" t="s">
        <v>423</v>
      </c>
      <c r="G27" s="460" t="s">
        <v>419</v>
      </c>
      <c r="H27" s="460" t="s">
        <v>85</v>
      </c>
      <c r="I27" s="460"/>
      <c r="J27" s="459" t="s">
        <v>478</v>
      </c>
      <c r="K27" s="1"/>
      <c r="L27" s="1"/>
      <c r="M27" s="1"/>
      <c r="N27" s="1"/>
      <c r="O27" s="1"/>
      <c r="P27" s="1"/>
      <c r="Q27" s="1"/>
      <c r="R27" s="1"/>
      <c r="S27" s="1"/>
      <c r="T27" s="1"/>
      <c r="U27" s="1"/>
      <c r="V27" s="1"/>
      <c r="W27" s="1"/>
      <c r="X27" s="1"/>
      <c r="Y27" s="1"/>
      <c r="Z27" s="1"/>
      <c r="AA27" s="1"/>
    </row>
    <row r="28" ht="18.0" customHeight="1">
      <c r="A28" s="1"/>
      <c r="B28" s="456" t="s">
        <v>479</v>
      </c>
      <c r="C28" s="457"/>
      <c r="D28" s="457"/>
      <c r="E28" s="457"/>
      <c r="F28" s="457"/>
      <c r="G28" s="457"/>
      <c r="H28" s="457"/>
      <c r="I28" s="457"/>
      <c r="J28" s="458"/>
      <c r="K28" s="1"/>
      <c r="L28" s="1"/>
      <c r="M28" s="1"/>
      <c r="N28" s="1"/>
      <c r="O28" s="1"/>
      <c r="P28" s="1"/>
      <c r="Q28" s="1"/>
      <c r="R28" s="1"/>
      <c r="S28" s="1"/>
      <c r="T28" s="1"/>
      <c r="U28" s="1"/>
      <c r="V28" s="1"/>
      <c r="W28" s="1"/>
      <c r="X28" s="1"/>
      <c r="Y28" s="1"/>
      <c r="Z28" s="1"/>
      <c r="AA28" s="1"/>
    </row>
    <row r="29" ht="18.75" customHeight="1">
      <c r="A29" s="1"/>
      <c r="B29" s="459" t="s">
        <v>480</v>
      </c>
      <c r="C29" s="460">
        <v>1.0</v>
      </c>
      <c r="D29" s="460" t="s">
        <v>428</v>
      </c>
      <c r="E29" s="460" t="s">
        <v>440</v>
      </c>
      <c r="F29" s="461" t="s">
        <v>423</v>
      </c>
      <c r="G29" s="460" t="s">
        <v>419</v>
      </c>
      <c r="H29" s="460" t="s">
        <v>85</v>
      </c>
      <c r="I29" s="460"/>
      <c r="J29" s="459" t="s">
        <v>478</v>
      </c>
      <c r="K29" s="1"/>
      <c r="L29" s="1"/>
      <c r="M29" s="1"/>
      <c r="N29" s="1"/>
      <c r="O29" s="1"/>
      <c r="P29" s="1"/>
      <c r="Q29" s="1"/>
      <c r="R29" s="1"/>
      <c r="S29" s="1"/>
      <c r="T29" s="1"/>
      <c r="U29" s="1"/>
      <c r="V29" s="1"/>
      <c r="W29" s="1"/>
      <c r="X29" s="1"/>
      <c r="Y29" s="1"/>
      <c r="Z29" s="1"/>
      <c r="AA29" s="1"/>
    </row>
    <row r="30" ht="18.75" customHeight="1">
      <c r="A30" s="1"/>
      <c r="B30" s="459" t="s">
        <v>481</v>
      </c>
      <c r="C30" s="460">
        <v>13.0</v>
      </c>
      <c r="D30" s="460" t="s">
        <v>428</v>
      </c>
      <c r="E30" s="460" t="s">
        <v>440</v>
      </c>
      <c r="F30" s="461" t="s">
        <v>423</v>
      </c>
      <c r="G30" s="460" t="s">
        <v>419</v>
      </c>
      <c r="H30" s="460" t="s">
        <v>85</v>
      </c>
      <c r="I30" s="460"/>
      <c r="J30" s="459" t="s">
        <v>478</v>
      </c>
      <c r="K30" s="1"/>
      <c r="L30" s="1"/>
      <c r="M30" s="1"/>
      <c r="N30" s="1"/>
      <c r="O30" s="1"/>
      <c r="P30" s="1"/>
      <c r="Q30" s="1"/>
      <c r="R30" s="1"/>
      <c r="S30" s="1"/>
      <c r="T30" s="1"/>
      <c r="U30" s="1"/>
      <c r="V30" s="1"/>
      <c r="W30" s="1"/>
      <c r="X30" s="1"/>
      <c r="Y30" s="1"/>
      <c r="Z30" s="1"/>
      <c r="AA30" s="1"/>
    </row>
    <row r="31" ht="18.0" customHeight="1">
      <c r="A31" s="1"/>
      <c r="B31" s="456" t="s">
        <v>428</v>
      </c>
      <c r="C31" s="457"/>
      <c r="D31" s="457"/>
      <c r="E31" s="457"/>
      <c r="F31" s="457"/>
      <c r="G31" s="457"/>
      <c r="H31" s="457"/>
      <c r="I31" s="457"/>
      <c r="J31" s="458"/>
      <c r="K31" s="1"/>
      <c r="L31" s="1"/>
      <c r="M31" s="1"/>
      <c r="N31" s="1"/>
      <c r="O31" s="1"/>
      <c r="P31" s="1"/>
      <c r="Q31" s="1"/>
      <c r="R31" s="1"/>
      <c r="S31" s="1"/>
      <c r="T31" s="1"/>
      <c r="U31" s="1"/>
      <c r="V31" s="1"/>
      <c r="W31" s="1"/>
      <c r="X31" s="1"/>
      <c r="Y31" s="1"/>
      <c r="Z31" s="1"/>
      <c r="AA31" s="1"/>
    </row>
    <row r="32" ht="18.75" customHeight="1">
      <c r="A32" s="1"/>
      <c r="B32" s="459" t="s">
        <v>482</v>
      </c>
      <c r="C32" s="460">
        <v>1.0</v>
      </c>
      <c r="D32" s="460" t="s">
        <v>428</v>
      </c>
      <c r="E32" s="460" t="s">
        <v>440</v>
      </c>
      <c r="F32" s="461" t="s">
        <v>483</v>
      </c>
      <c r="G32" s="460" t="s">
        <v>419</v>
      </c>
      <c r="H32" s="460" t="s">
        <v>419</v>
      </c>
      <c r="I32" s="460"/>
      <c r="J32" s="459" t="s">
        <v>478</v>
      </c>
      <c r="K32" s="1"/>
      <c r="L32" s="1"/>
      <c r="M32" s="1"/>
      <c r="N32" s="1"/>
      <c r="O32" s="1"/>
      <c r="P32" s="1"/>
      <c r="Q32" s="1"/>
      <c r="R32" s="1"/>
      <c r="S32" s="1"/>
      <c r="T32" s="1"/>
      <c r="U32" s="1"/>
      <c r="V32" s="1"/>
      <c r="W32" s="1"/>
      <c r="X32" s="1"/>
      <c r="Y32" s="1"/>
      <c r="Z32" s="1"/>
      <c r="AA32" s="1"/>
    </row>
    <row r="33" ht="18.75" customHeight="1">
      <c r="A33" s="1"/>
      <c r="B33" s="459" t="s">
        <v>484</v>
      </c>
      <c r="C33" s="460">
        <v>1.0</v>
      </c>
      <c r="D33" s="460" t="s">
        <v>428</v>
      </c>
      <c r="E33" s="460" t="s">
        <v>422</v>
      </c>
      <c r="F33" s="461" t="s">
        <v>485</v>
      </c>
      <c r="G33" s="460" t="s">
        <v>419</v>
      </c>
      <c r="H33" s="460" t="s">
        <v>419</v>
      </c>
      <c r="I33" s="460"/>
      <c r="J33" s="459" t="s">
        <v>486</v>
      </c>
      <c r="K33" s="1"/>
      <c r="L33" s="1"/>
      <c r="M33" s="1"/>
      <c r="N33" s="1"/>
      <c r="O33" s="1"/>
      <c r="P33" s="1"/>
      <c r="Q33" s="1"/>
      <c r="R33" s="1"/>
      <c r="S33" s="1"/>
      <c r="T33" s="1"/>
      <c r="U33" s="1"/>
      <c r="V33" s="1"/>
      <c r="W33" s="1"/>
      <c r="X33" s="1"/>
      <c r="Y33" s="1"/>
      <c r="Z33" s="1"/>
      <c r="AA33" s="1"/>
    </row>
    <row r="34" ht="18.75" customHeight="1">
      <c r="A34" s="1"/>
      <c r="B34" s="459" t="s">
        <v>487</v>
      </c>
      <c r="C34" s="460">
        <v>6.0</v>
      </c>
      <c r="D34" s="460" t="s">
        <v>488</v>
      </c>
      <c r="E34" s="460" t="s">
        <v>489</v>
      </c>
      <c r="F34" s="461" t="s">
        <v>423</v>
      </c>
      <c r="G34" s="460" t="s">
        <v>419</v>
      </c>
      <c r="H34" s="460" t="s">
        <v>85</v>
      </c>
      <c r="I34" s="460"/>
      <c r="J34" s="459" t="s">
        <v>490</v>
      </c>
      <c r="K34" s="1"/>
      <c r="L34" s="1"/>
      <c r="M34" s="1"/>
      <c r="N34" s="1"/>
      <c r="O34" s="1"/>
      <c r="P34" s="1"/>
      <c r="Q34" s="1"/>
      <c r="R34" s="1"/>
      <c r="S34" s="1"/>
      <c r="T34" s="1"/>
      <c r="U34" s="1"/>
      <c r="V34" s="1"/>
      <c r="W34" s="1"/>
      <c r="X34" s="1"/>
      <c r="Y34" s="1"/>
      <c r="Z34" s="1"/>
      <c r="AA34" s="1"/>
    </row>
    <row r="35" ht="18.75" customHeight="1">
      <c r="A35" s="1"/>
      <c r="B35" s="459" t="s">
        <v>491</v>
      </c>
      <c r="C35" s="460" t="s">
        <v>85</v>
      </c>
      <c r="D35" s="460" t="s">
        <v>428</v>
      </c>
      <c r="E35" s="460" t="s">
        <v>492</v>
      </c>
      <c r="F35" s="461" t="s">
        <v>423</v>
      </c>
      <c r="G35" s="460" t="s">
        <v>419</v>
      </c>
      <c r="H35" s="460" t="s">
        <v>85</v>
      </c>
      <c r="I35" s="460"/>
      <c r="J35" s="459"/>
      <c r="K35" s="1"/>
      <c r="L35" s="1"/>
      <c r="M35" s="1"/>
      <c r="N35" s="1"/>
      <c r="O35" s="1"/>
      <c r="P35" s="1"/>
      <c r="Q35" s="1"/>
      <c r="R35" s="1"/>
      <c r="S35" s="1"/>
      <c r="T35" s="1"/>
      <c r="U35" s="1"/>
      <c r="V35" s="1"/>
      <c r="W35" s="1"/>
      <c r="X35" s="1"/>
      <c r="Y35" s="1"/>
      <c r="Z35" s="1"/>
      <c r="AA35" s="1"/>
    </row>
    <row r="36" ht="18.0" customHeight="1">
      <c r="A36" s="1"/>
      <c r="B36" s="456" t="s">
        <v>493</v>
      </c>
      <c r="C36" s="457"/>
      <c r="D36" s="457"/>
      <c r="E36" s="457"/>
      <c r="F36" s="457"/>
      <c r="G36" s="457"/>
      <c r="H36" s="457"/>
      <c r="I36" s="457"/>
      <c r="J36" s="458"/>
      <c r="K36" s="1"/>
      <c r="L36" s="1"/>
      <c r="M36" s="1"/>
      <c r="N36" s="1"/>
      <c r="O36" s="1"/>
      <c r="P36" s="1"/>
      <c r="Q36" s="1"/>
      <c r="R36" s="1"/>
      <c r="S36" s="1"/>
      <c r="T36" s="1"/>
      <c r="U36" s="1"/>
      <c r="V36" s="1"/>
      <c r="W36" s="1"/>
      <c r="X36" s="1"/>
      <c r="Y36" s="1"/>
      <c r="Z36" s="1"/>
      <c r="AA36" s="1"/>
    </row>
    <row r="37" ht="18.75" customHeight="1">
      <c r="A37" s="1"/>
      <c r="B37" s="459" t="s">
        <v>494</v>
      </c>
      <c r="C37" s="460">
        <v>13.0</v>
      </c>
      <c r="D37" s="460" t="s">
        <v>495</v>
      </c>
      <c r="E37" s="460" t="s">
        <v>496</v>
      </c>
      <c r="F37" s="461" t="s">
        <v>423</v>
      </c>
      <c r="G37" s="460" t="s">
        <v>419</v>
      </c>
      <c r="H37" s="460" t="s">
        <v>419</v>
      </c>
      <c r="I37" s="460"/>
      <c r="J37" s="459" t="s">
        <v>497</v>
      </c>
      <c r="K37" s="1"/>
      <c r="L37" s="1"/>
      <c r="M37" s="1"/>
      <c r="N37" s="1"/>
      <c r="O37" s="1"/>
      <c r="P37" s="1"/>
      <c r="Q37" s="1"/>
      <c r="R37" s="1"/>
      <c r="S37" s="1"/>
      <c r="T37" s="1"/>
      <c r="U37" s="1"/>
      <c r="V37" s="1"/>
      <c r="W37" s="1"/>
      <c r="X37" s="1"/>
      <c r="Y37" s="1"/>
      <c r="Z37" s="1"/>
      <c r="AA37" s="1"/>
    </row>
    <row r="38" ht="18.75" customHeight="1">
      <c r="A38" s="1"/>
      <c r="B38" s="459" t="s">
        <v>498</v>
      </c>
      <c r="C38" s="460" t="s">
        <v>85</v>
      </c>
      <c r="D38" s="460" t="s">
        <v>499</v>
      </c>
      <c r="E38" s="460" t="s">
        <v>496</v>
      </c>
      <c r="F38" s="461" t="s">
        <v>423</v>
      </c>
      <c r="G38" s="460" t="s">
        <v>419</v>
      </c>
      <c r="H38" s="460" t="s">
        <v>419</v>
      </c>
      <c r="I38" s="460"/>
      <c r="J38" s="459" t="s">
        <v>500</v>
      </c>
      <c r="K38" s="1"/>
      <c r="L38" s="1"/>
      <c r="M38" s="1"/>
      <c r="N38" s="1"/>
      <c r="O38" s="1"/>
      <c r="P38" s="1"/>
      <c r="Q38" s="1"/>
      <c r="R38" s="1"/>
      <c r="S38" s="1"/>
      <c r="T38" s="1"/>
      <c r="U38" s="1"/>
      <c r="V38" s="1"/>
      <c r="W38" s="1"/>
      <c r="X38" s="1"/>
      <c r="Y38" s="1"/>
      <c r="Z38" s="1"/>
      <c r="AA38" s="1"/>
    </row>
    <row r="39" ht="18.75" customHeight="1">
      <c r="A39" s="1"/>
      <c r="B39" s="459" t="s">
        <v>501</v>
      </c>
      <c r="C39" s="460" t="s">
        <v>85</v>
      </c>
      <c r="D39" s="460" t="s">
        <v>428</v>
      </c>
      <c r="E39" s="460" t="s">
        <v>496</v>
      </c>
      <c r="F39" s="461" t="s">
        <v>423</v>
      </c>
      <c r="G39" s="460" t="s">
        <v>419</v>
      </c>
      <c r="H39" s="460" t="s">
        <v>419</v>
      </c>
      <c r="I39" s="460"/>
      <c r="J39" s="459"/>
      <c r="K39" s="1"/>
      <c r="L39" s="1"/>
      <c r="M39" s="1"/>
      <c r="N39" s="1"/>
      <c r="O39" s="1"/>
      <c r="P39" s="1"/>
      <c r="Q39" s="1"/>
      <c r="R39" s="1"/>
      <c r="S39" s="1"/>
      <c r="T39" s="1"/>
      <c r="U39" s="1"/>
      <c r="V39" s="1"/>
      <c r="W39" s="1"/>
      <c r="X39" s="1"/>
      <c r="Y39" s="1"/>
      <c r="Z39" s="1"/>
      <c r="AA39" s="1"/>
    </row>
    <row r="40" ht="34.5" customHeight="1">
      <c r="A40" s="1"/>
      <c r="B40" s="459" t="s">
        <v>502</v>
      </c>
      <c r="C40" s="460" t="s">
        <v>85</v>
      </c>
      <c r="D40" s="460" t="s">
        <v>503</v>
      </c>
      <c r="E40" s="460" t="s">
        <v>472</v>
      </c>
      <c r="F40" s="461" t="s">
        <v>423</v>
      </c>
      <c r="G40" s="460" t="s">
        <v>419</v>
      </c>
      <c r="H40" s="460" t="s">
        <v>85</v>
      </c>
      <c r="I40" s="460"/>
      <c r="J40" s="462" t="s">
        <v>420</v>
      </c>
      <c r="K40" s="1"/>
      <c r="L40" s="1"/>
      <c r="M40" s="1"/>
      <c r="N40" s="1"/>
      <c r="O40" s="1"/>
      <c r="P40" s="1"/>
      <c r="Q40" s="1"/>
      <c r="R40" s="1"/>
      <c r="S40" s="1"/>
      <c r="T40" s="1"/>
      <c r="U40" s="1"/>
      <c r="V40" s="1"/>
      <c r="W40" s="1"/>
      <c r="X40" s="1"/>
      <c r="Y40" s="1"/>
      <c r="Z40" s="1"/>
      <c r="AA40" s="1"/>
    </row>
    <row r="41" ht="18.75" customHeight="1">
      <c r="A41" s="1"/>
      <c r="B41" s="459" t="s">
        <v>504</v>
      </c>
      <c r="C41" s="460">
        <v>4.0</v>
      </c>
      <c r="D41" s="460" t="s">
        <v>505</v>
      </c>
      <c r="E41" s="460" t="s">
        <v>506</v>
      </c>
      <c r="F41" s="461" t="s">
        <v>423</v>
      </c>
      <c r="G41" s="460" t="s">
        <v>419</v>
      </c>
      <c r="H41" s="460" t="s">
        <v>419</v>
      </c>
      <c r="I41" s="460"/>
      <c r="J41" s="459" t="s">
        <v>507</v>
      </c>
      <c r="K41" s="1"/>
      <c r="L41" s="1"/>
      <c r="M41" s="1"/>
      <c r="N41" s="1"/>
      <c r="O41" s="1"/>
      <c r="P41" s="1"/>
      <c r="Q41" s="1"/>
      <c r="R41" s="1"/>
      <c r="S41" s="1"/>
      <c r="T41" s="1"/>
      <c r="U41" s="1"/>
      <c r="V41" s="1"/>
      <c r="W41" s="1"/>
      <c r="X41" s="1"/>
      <c r="Y41" s="1"/>
      <c r="Z41" s="1"/>
      <c r="AA41" s="1"/>
    </row>
    <row r="42" ht="18.0" customHeight="1">
      <c r="A42" s="1"/>
      <c r="B42" s="456" t="s">
        <v>508</v>
      </c>
      <c r="C42" s="457"/>
      <c r="D42" s="457"/>
      <c r="E42" s="457"/>
      <c r="F42" s="457"/>
      <c r="G42" s="457"/>
      <c r="H42" s="457"/>
      <c r="I42" s="457"/>
      <c r="J42" s="458"/>
      <c r="K42" s="1"/>
      <c r="L42" s="1"/>
      <c r="M42" s="1"/>
      <c r="N42" s="1"/>
      <c r="O42" s="1"/>
      <c r="P42" s="1"/>
      <c r="Q42" s="1"/>
      <c r="R42" s="1"/>
      <c r="S42" s="1"/>
      <c r="T42" s="1"/>
      <c r="U42" s="1"/>
      <c r="V42" s="1"/>
      <c r="W42" s="1"/>
      <c r="X42" s="1"/>
      <c r="Y42" s="1"/>
      <c r="Z42" s="1"/>
      <c r="AA42" s="1"/>
    </row>
    <row r="43" ht="18.75" customHeight="1">
      <c r="A43" s="1"/>
      <c r="B43" s="459" t="s">
        <v>509</v>
      </c>
      <c r="C43" s="460">
        <v>400.0</v>
      </c>
      <c r="D43" s="460" t="s">
        <v>505</v>
      </c>
      <c r="E43" s="460" t="s">
        <v>440</v>
      </c>
      <c r="F43" s="461" t="s">
        <v>423</v>
      </c>
      <c r="G43" s="460" t="s">
        <v>419</v>
      </c>
      <c r="H43" s="460" t="s">
        <v>85</v>
      </c>
      <c r="I43" s="460"/>
      <c r="J43" s="459" t="s">
        <v>478</v>
      </c>
      <c r="K43" s="1"/>
      <c r="L43" s="1"/>
      <c r="M43" s="1"/>
      <c r="N43" s="1"/>
      <c r="O43" s="1"/>
      <c r="P43" s="1"/>
      <c r="Q43" s="1"/>
      <c r="R43" s="1"/>
      <c r="S43" s="1"/>
      <c r="T43" s="1"/>
      <c r="U43" s="1"/>
      <c r="V43" s="1"/>
      <c r="W43" s="1"/>
      <c r="X43" s="1"/>
      <c r="Y43" s="1"/>
      <c r="Z43" s="1"/>
      <c r="AA43" s="1"/>
    </row>
    <row r="44" ht="18.75" customHeight="1">
      <c r="A44" s="1"/>
      <c r="B44" s="459" t="s">
        <v>510</v>
      </c>
      <c r="C44" s="460">
        <v>216.0</v>
      </c>
      <c r="D44" s="460" t="s">
        <v>505</v>
      </c>
      <c r="E44" s="460" t="s">
        <v>440</v>
      </c>
      <c r="F44" s="461" t="s">
        <v>423</v>
      </c>
      <c r="G44" s="460" t="s">
        <v>419</v>
      </c>
      <c r="H44" s="460" t="s">
        <v>85</v>
      </c>
      <c r="I44" s="460"/>
      <c r="J44" s="459" t="s">
        <v>478</v>
      </c>
      <c r="K44" s="1"/>
      <c r="L44" s="1"/>
      <c r="M44" s="1"/>
      <c r="N44" s="1"/>
      <c r="O44" s="1"/>
      <c r="P44" s="1"/>
      <c r="Q44" s="1"/>
      <c r="R44" s="1"/>
      <c r="S44" s="1"/>
      <c r="T44" s="1"/>
      <c r="U44" s="1"/>
      <c r="V44" s="1"/>
      <c r="W44" s="1"/>
      <c r="X44" s="1"/>
      <c r="Y44" s="1"/>
      <c r="Z44" s="1"/>
      <c r="AA44" s="1"/>
    </row>
    <row r="45" ht="18.75" customHeight="1">
      <c r="A45" s="1"/>
      <c r="B45" s="459" t="s">
        <v>511</v>
      </c>
      <c r="C45" s="460">
        <v>204.0</v>
      </c>
      <c r="D45" s="460" t="s">
        <v>505</v>
      </c>
      <c r="E45" s="460" t="s">
        <v>440</v>
      </c>
      <c r="F45" s="461" t="s">
        <v>423</v>
      </c>
      <c r="G45" s="460" t="s">
        <v>419</v>
      </c>
      <c r="H45" s="460" t="s">
        <v>85</v>
      </c>
      <c r="I45" s="460"/>
      <c r="J45" s="459" t="s">
        <v>512</v>
      </c>
      <c r="K45" s="1"/>
      <c r="L45" s="1"/>
      <c r="M45" s="1"/>
      <c r="N45" s="1"/>
      <c r="O45" s="1"/>
      <c r="P45" s="1"/>
      <c r="Q45" s="1"/>
      <c r="R45" s="1"/>
      <c r="S45" s="1"/>
      <c r="T45" s="1"/>
      <c r="U45" s="1"/>
      <c r="V45" s="1"/>
      <c r="W45" s="1"/>
      <c r="X45" s="1"/>
      <c r="Y45" s="1"/>
      <c r="Z45" s="1"/>
      <c r="AA45" s="1"/>
    </row>
    <row r="46" ht="18.75" customHeight="1">
      <c r="A46" s="1"/>
      <c r="B46" s="459" t="s">
        <v>513</v>
      </c>
      <c r="C46" s="460">
        <v>12.0</v>
      </c>
      <c r="D46" s="460" t="s">
        <v>505</v>
      </c>
      <c r="E46" s="460" t="s">
        <v>440</v>
      </c>
      <c r="F46" s="461" t="s">
        <v>423</v>
      </c>
      <c r="G46" s="460" t="s">
        <v>419</v>
      </c>
      <c r="H46" s="460" t="s">
        <v>85</v>
      </c>
      <c r="I46" s="460"/>
      <c r="J46" s="459"/>
      <c r="K46" s="1"/>
      <c r="L46" s="1"/>
      <c r="M46" s="1"/>
      <c r="N46" s="1"/>
      <c r="O46" s="1"/>
      <c r="P46" s="1"/>
      <c r="Q46" s="1"/>
      <c r="R46" s="1"/>
      <c r="S46" s="1"/>
      <c r="T46" s="1"/>
      <c r="U46" s="1"/>
      <c r="V46" s="1"/>
      <c r="W46" s="1"/>
      <c r="X46" s="1"/>
      <c r="Y46" s="1"/>
      <c r="Z46" s="1"/>
      <c r="AA46" s="1"/>
    </row>
    <row r="47" ht="18.75" customHeight="1">
      <c r="A47" s="1"/>
      <c r="B47" s="459" t="s">
        <v>514</v>
      </c>
      <c r="C47" s="460">
        <v>216.0</v>
      </c>
      <c r="D47" s="460" t="s">
        <v>505</v>
      </c>
      <c r="E47" s="460" t="s">
        <v>440</v>
      </c>
      <c r="F47" s="461" t="s">
        <v>423</v>
      </c>
      <c r="G47" s="460" t="s">
        <v>419</v>
      </c>
      <c r="H47" s="460" t="s">
        <v>85</v>
      </c>
      <c r="I47" s="460"/>
      <c r="J47" s="459"/>
      <c r="K47" s="1"/>
      <c r="L47" s="1"/>
      <c r="M47" s="1"/>
      <c r="N47" s="1"/>
      <c r="O47" s="1"/>
      <c r="P47" s="1"/>
      <c r="Q47" s="1"/>
      <c r="R47" s="1"/>
      <c r="S47" s="1"/>
      <c r="T47" s="1"/>
      <c r="U47" s="1"/>
      <c r="V47" s="1"/>
      <c r="W47" s="1"/>
      <c r="X47" s="1"/>
      <c r="Y47" s="1"/>
      <c r="Z47" s="1"/>
      <c r="AA47" s="1"/>
    </row>
    <row r="48" ht="18.75" customHeight="1">
      <c r="A48" s="1"/>
      <c r="B48" s="459" t="s">
        <v>515</v>
      </c>
      <c r="C48" s="460" t="s">
        <v>85</v>
      </c>
      <c r="D48" s="460" t="s">
        <v>505</v>
      </c>
      <c r="E48" s="460" t="s">
        <v>516</v>
      </c>
      <c r="F48" s="461" t="s">
        <v>423</v>
      </c>
      <c r="G48" s="460" t="s">
        <v>419</v>
      </c>
      <c r="H48" s="460" t="s">
        <v>85</v>
      </c>
      <c r="I48" s="460"/>
      <c r="J48" s="459" t="s">
        <v>517</v>
      </c>
      <c r="K48" s="1"/>
      <c r="L48" s="1"/>
      <c r="M48" s="1"/>
      <c r="N48" s="1"/>
      <c r="O48" s="1"/>
      <c r="P48" s="1"/>
      <c r="Q48" s="1"/>
      <c r="R48" s="1"/>
      <c r="S48" s="1"/>
      <c r="T48" s="1"/>
      <c r="U48" s="1"/>
      <c r="V48" s="1"/>
      <c r="W48" s="1"/>
      <c r="X48" s="1"/>
      <c r="Y48" s="1"/>
      <c r="Z48" s="1"/>
      <c r="AA48" s="1"/>
    </row>
    <row r="49" ht="18.0" customHeight="1">
      <c r="A49" s="1"/>
      <c r="B49" s="456" t="s">
        <v>518</v>
      </c>
      <c r="C49" s="457"/>
      <c r="D49" s="457"/>
      <c r="E49" s="457"/>
      <c r="F49" s="457"/>
      <c r="G49" s="457"/>
      <c r="H49" s="457"/>
      <c r="I49" s="457"/>
      <c r="J49" s="458"/>
      <c r="K49" s="1"/>
      <c r="L49" s="1"/>
      <c r="M49" s="1"/>
      <c r="N49" s="1"/>
      <c r="O49" s="1"/>
      <c r="P49" s="1"/>
      <c r="Q49" s="1"/>
      <c r="R49" s="1"/>
      <c r="S49" s="1"/>
      <c r="T49" s="1"/>
      <c r="U49" s="1"/>
      <c r="V49" s="1"/>
      <c r="W49" s="1"/>
      <c r="X49" s="1"/>
      <c r="Y49" s="1"/>
      <c r="Z49" s="1"/>
      <c r="AA49" s="1"/>
    </row>
    <row r="50" ht="18.75" customHeight="1">
      <c r="A50" s="1"/>
      <c r="B50" s="459" t="s">
        <v>519</v>
      </c>
      <c r="C50" s="460">
        <v>193.0</v>
      </c>
      <c r="D50" s="460" t="s">
        <v>520</v>
      </c>
      <c r="E50" s="460" t="s">
        <v>521</v>
      </c>
      <c r="F50" s="461" t="s">
        <v>423</v>
      </c>
      <c r="G50" s="460" t="s">
        <v>419</v>
      </c>
      <c r="H50" s="460" t="s">
        <v>85</v>
      </c>
      <c r="I50" s="460"/>
      <c r="J50" s="459" t="s">
        <v>522</v>
      </c>
      <c r="K50" s="1"/>
      <c r="L50" s="1"/>
      <c r="M50" s="1"/>
      <c r="N50" s="1"/>
      <c r="O50" s="1"/>
      <c r="P50" s="1"/>
      <c r="Q50" s="1"/>
      <c r="R50" s="1"/>
      <c r="S50" s="1"/>
      <c r="T50" s="1"/>
      <c r="U50" s="1"/>
      <c r="V50" s="1"/>
      <c r="W50" s="1"/>
      <c r="X50" s="1"/>
      <c r="Y50" s="1"/>
      <c r="Z50" s="1"/>
      <c r="AA50" s="1"/>
    </row>
    <row r="51" ht="18.75" customHeight="1">
      <c r="A51" s="1"/>
      <c r="B51" s="459" t="s">
        <v>523</v>
      </c>
      <c r="C51" s="460">
        <v>10.0</v>
      </c>
      <c r="D51" s="460" t="s">
        <v>520</v>
      </c>
      <c r="E51" s="460" t="s">
        <v>524</v>
      </c>
      <c r="F51" s="461" t="s">
        <v>423</v>
      </c>
      <c r="G51" s="460" t="s">
        <v>419</v>
      </c>
      <c r="H51" s="460" t="s">
        <v>85</v>
      </c>
      <c r="I51" s="460"/>
      <c r="J51" s="459"/>
      <c r="K51" s="1"/>
      <c r="L51" s="1"/>
      <c r="M51" s="1"/>
      <c r="N51" s="1"/>
      <c r="O51" s="1"/>
      <c r="P51" s="1"/>
      <c r="Q51" s="1"/>
      <c r="R51" s="1"/>
      <c r="S51" s="1"/>
      <c r="T51" s="1"/>
      <c r="U51" s="1"/>
      <c r="V51" s="1"/>
      <c r="W51" s="1"/>
      <c r="X51" s="1"/>
      <c r="Y51" s="1"/>
      <c r="Z51" s="1"/>
      <c r="AA51" s="1"/>
    </row>
    <row r="52" ht="18.75" customHeight="1">
      <c r="A52" s="1"/>
      <c r="B52" s="459" t="s">
        <v>525</v>
      </c>
      <c r="C52" s="460">
        <v>203.0</v>
      </c>
      <c r="D52" s="460" t="s">
        <v>520</v>
      </c>
      <c r="E52" s="460" t="s">
        <v>526</v>
      </c>
      <c r="F52" s="461" t="s">
        <v>423</v>
      </c>
      <c r="G52" s="460" t="s">
        <v>419</v>
      </c>
      <c r="H52" s="460" t="s">
        <v>85</v>
      </c>
      <c r="I52" s="460"/>
      <c r="J52" s="459" t="s">
        <v>527</v>
      </c>
      <c r="K52" s="1"/>
      <c r="L52" s="1"/>
      <c r="M52" s="1"/>
      <c r="N52" s="1"/>
      <c r="O52" s="1"/>
      <c r="P52" s="1"/>
      <c r="Q52" s="1"/>
      <c r="R52" s="1"/>
      <c r="S52" s="1"/>
      <c r="T52" s="1"/>
      <c r="U52" s="1"/>
      <c r="V52" s="1"/>
      <c r="W52" s="1"/>
      <c r="X52" s="1"/>
      <c r="Y52" s="1"/>
      <c r="Z52" s="1"/>
      <c r="AA52" s="1"/>
    </row>
    <row r="53" ht="16.5" customHeight="1">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ht="16.5" customHeight="1">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ht="16.5" customHeight="1">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ht="16.5" customHeight="1">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ht="16.5" customHeight="1">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ht="16.5" customHeight="1">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ht="16.5" customHeight="1">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ht="16.5" customHeight="1">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ht="16.5" customHeight="1">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ht="16.5" customHeight="1">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ht="16.5" customHeight="1">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ht="16.5" customHeight="1">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ht="16.5" customHeight="1">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ht="16.5" customHeight="1">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ht="16.5" customHeight="1">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ht="16.5" customHeight="1">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ht="16.5" customHeight="1">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ht="16.5" customHeight="1">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ht="16.5" customHeight="1">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ht="16.5" customHeight="1">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ht="16.5" customHeight="1">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ht="16.5" customHeight="1">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ht="16.5" customHeight="1">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ht="16.5" customHeight="1">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ht="16.5" customHeight="1">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ht="16.5" customHeight="1">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ht="16.5" customHeight="1">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ht="16.5" customHeight="1">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ht="16.5" customHeight="1">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ht="16.5" customHeight="1">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ht="16.5" customHeight="1">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ht="16.5" customHeight="1">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ht="16.5" customHeight="1">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ht="16.5" customHeight="1">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ht="16.5" customHeight="1">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ht="16.5" customHeight="1">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ht="16.5" customHeight="1">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ht="16.5" customHeight="1">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ht="16.5" customHeight="1">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ht="16.5" customHeight="1">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ht="16.5" customHeight="1">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ht="16.5" customHeight="1">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ht="16.5" customHeight="1">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ht="16.5" customHeight="1">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ht="16.5" customHeight="1">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ht="16.5" customHeight="1">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ht="16.5" customHeight="1">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ht="16.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ht="16.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ht="16.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ht="16.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ht="16.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ht="16.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ht="16.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ht="16.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ht="16.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ht="16.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ht="16.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ht="16.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ht="16.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ht="16.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ht="16.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ht="16.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ht="16.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ht="16.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ht="16.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ht="16.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ht="16.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ht="16.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ht="16.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ht="16.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ht="16.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ht="16.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ht="16.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ht="16.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ht="16.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ht="16.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ht="16.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ht="16.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ht="16.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ht="16.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ht="16.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ht="16.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ht="16.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ht="16.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ht="16.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ht="16.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ht="16.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ht="16.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ht="16.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ht="16.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ht="16.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ht="16.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ht="16.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ht="16.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ht="16.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ht="16.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ht="16.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ht="16.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ht="16.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ht="16.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ht="16.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ht="16.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ht="16.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ht="16.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ht="16.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ht="16.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ht="16.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ht="16.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ht="16.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ht="16.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ht="16.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ht="16.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ht="16.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ht="16.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ht="16.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ht="16.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ht="16.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ht="16.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ht="16.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ht="16.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ht="16.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ht="16.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ht="16.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ht="16.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ht="16.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ht="16.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ht="16.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ht="16.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ht="16.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ht="16.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ht="16.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ht="16.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ht="16.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ht="16.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ht="16.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ht="16.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ht="16.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ht="16.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ht="16.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ht="16.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ht="16.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ht="16.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ht="16.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ht="16.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ht="16.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ht="16.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ht="16.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ht="16.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ht="16.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ht="16.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ht="16.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ht="16.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ht="16.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ht="16.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ht="16.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ht="16.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ht="16.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ht="16.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ht="16.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ht="16.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ht="16.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ht="16.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ht="16.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ht="16.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ht="16.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ht="16.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ht="16.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sheetData>
  <mergeCells count="10">
    <mergeCell ref="B36:J36"/>
    <mergeCell ref="B42:J42"/>
    <mergeCell ref="B49:J49"/>
    <mergeCell ref="B1:J1"/>
    <mergeCell ref="B2:J2"/>
    <mergeCell ref="B5:J5"/>
    <mergeCell ref="B10:J10"/>
    <mergeCell ref="B19:J19"/>
    <mergeCell ref="B28:J28"/>
    <mergeCell ref="B31:J31"/>
  </mergeCell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0"/>
    <col customWidth="1" min="2" max="2" width="42.29"/>
    <col customWidth="1" min="3" max="7" width="13.0"/>
    <col customWidth="1" min="8" max="8" width="46.43"/>
    <col customWidth="1" min="9" max="9" width="8.71"/>
    <col customWidth="1" min="10" max="10" width="13.0"/>
    <col customWidth="1" min="11" max="26" width="8.71"/>
  </cols>
  <sheetData>
    <row r="1" ht="16.5" customHeight="1">
      <c r="A1" s="1"/>
      <c r="B1" s="1"/>
      <c r="C1" s="1"/>
      <c r="D1" s="1"/>
      <c r="E1" s="1"/>
      <c r="F1" s="1"/>
      <c r="G1" s="1"/>
      <c r="H1" s="1"/>
      <c r="I1" s="1"/>
      <c r="J1" s="1"/>
      <c r="K1" s="1"/>
    </row>
    <row r="2" ht="16.5" customHeight="1">
      <c r="A2" s="1"/>
      <c r="B2" s="465" t="s">
        <v>528</v>
      </c>
      <c r="C2" s="100"/>
      <c r="D2" s="100"/>
      <c r="E2" s="95"/>
      <c r="F2" s="466" t="s">
        <v>21</v>
      </c>
      <c r="G2" s="466" t="s">
        <v>529</v>
      </c>
      <c r="H2" s="466" t="s">
        <v>22</v>
      </c>
      <c r="I2" s="1"/>
      <c r="J2" s="1"/>
      <c r="K2" s="1"/>
    </row>
    <row r="3" ht="16.5" customHeight="1">
      <c r="A3" s="1"/>
      <c r="B3" s="133"/>
      <c r="C3" s="76"/>
      <c r="D3" s="76"/>
      <c r="E3" s="78"/>
      <c r="F3" s="467"/>
      <c r="G3" s="467"/>
      <c r="H3" s="467"/>
      <c r="I3" s="1"/>
      <c r="J3" s="1"/>
      <c r="K3" s="1"/>
    </row>
    <row r="4" ht="16.5" customHeight="1">
      <c r="A4" s="1"/>
      <c r="B4" s="466" t="s">
        <v>26</v>
      </c>
      <c r="C4" s="468" t="s">
        <v>28</v>
      </c>
      <c r="D4" s="34"/>
      <c r="E4" s="25"/>
      <c r="F4" s="466" t="s">
        <v>32</v>
      </c>
      <c r="G4" s="468" t="s">
        <v>530</v>
      </c>
      <c r="H4" s="25"/>
      <c r="I4" s="1"/>
      <c r="J4" s="1"/>
      <c r="K4" s="1"/>
    </row>
    <row r="5" ht="16.5" customHeight="1">
      <c r="A5" s="1"/>
      <c r="B5" s="466" t="s">
        <v>45</v>
      </c>
      <c r="C5" s="467" t="s">
        <v>531</v>
      </c>
      <c r="D5" s="466" t="s">
        <v>11</v>
      </c>
      <c r="E5" s="467"/>
      <c r="F5" s="466" t="s">
        <v>57</v>
      </c>
      <c r="G5" s="468" t="s">
        <v>532</v>
      </c>
      <c r="H5" s="25"/>
      <c r="I5" s="1"/>
      <c r="J5" s="1"/>
      <c r="K5" s="1"/>
    </row>
    <row r="6" ht="16.5" customHeight="1">
      <c r="A6" s="1"/>
      <c r="B6" s="469" t="s">
        <v>405</v>
      </c>
      <c r="C6" s="469" t="s">
        <v>406</v>
      </c>
      <c r="D6" s="469" t="s">
        <v>533</v>
      </c>
      <c r="E6" s="469" t="s">
        <v>534</v>
      </c>
      <c r="F6" s="469" t="s">
        <v>535</v>
      </c>
      <c r="G6" s="470" t="s">
        <v>413</v>
      </c>
      <c r="H6" s="471"/>
      <c r="I6" s="1"/>
      <c r="J6" s="1"/>
      <c r="K6" s="1"/>
    </row>
    <row r="7" ht="33.75" customHeight="1">
      <c r="A7" s="472" t="s">
        <v>536</v>
      </c>
      <c r="B7" s="473" t="s">
        <v>537</v>
      </c>
      <c r="C7" s="474">
        <v>47.0</v>
      </c>
      <c r="D7" s="475">
        <v>5200.0</v>
      </c>
      <c r="E7" s="476">
        <f t="shared" ref="E7:E12" si="1">D7*C7</f>
        <v>244400</v>
      </c>
      <c r="F7" s="477" t="s">
        <v>538</v>
      </c>
      <c r="G7" s="478" t="s">
        <v>521</v>
      </c>
      <c r="H7" s="471"/>
      <c r="I7" s="1"/>
      <c r="J7" s="479" t="s">
        <v>539</v>
      </c>
      <c r="K7" s="1"/>
      <c r="L7" s="1"/>
    </row>
    <row r="8" ht="33.75" customHeight="1">
      <c r="A8" s="472"/>
      <c r="B8" s="217" t="s">
        <v>540</v>
      </c>
      <c r="C8" s="480">
        <v>150.0</v>
      </c>
      <c r="D8" s="481">
        <v>5200.0</v>
      </c>
      <c r="E8" s="482">
        <f t="shared" si="1"/>
        <v>780000</v>
      </c>
      <c r="F8" s="274" t="s">
        <v>538</v>
      </c>
      <c r="G8" s="186" t="s">
        <v>521</v>
      </c>
      <c r="H8" s="56"/>
      <c r="I8" s="1"/>
      <c r="J8" s="1"/>
      <c r="K8" s="1"/>
      <c r="L8" s="1"/>
    </row>
    <row r="9" ht="16.5" customHeight="1">
      <c r="A9" s="472"/>
      <c r="B9" s="58" t="s">
        <v>541</v>
      </c>
      <c r="C9" s="480">
        <v>20.0</v>
      </c>
      <c r="D9" s="481">
        <v>5200.0</v>
      </c>
      <c r="E9" s="482">
        <f t="shared" si="1"/>
        <v>104000</v>
      </c>
      <c r="F9" s="274" t="s">
        <v>542</v>
      </c>
      <c r="G9" s="186" t="s">
        <v>543</v>
      </c>
      <c r="H9" s="56"/>
      <c r="I9" s="1"/>
      <c r="J9" s="1"/>
      <c r="K9" s="1"/>
      <c r="L9" s="1"/>
    </row>
    <row r="10" ht="16.5" customHeight="1">
      <c r="A10" s="472" t="s">
        <v>525</v>
      </c>
      <c r="B10" s="483" t="s">
        <v>544</v>
      </c>
      <c r="C10" s="484">
        <v>47.0</v>
      </c>
      <c r="D10" s="485">
        <v>9500.0</v>
      </c>
      <c r="E10" s="486">
        <f t="shared" si="1"/>
        <v>446500</v>
      </c>
      <c r="F10" s="487" t="s">
        <v>545</v>
      </c>
      <c r="G10" s="488" t="s">
        <v>546</v>
      </c>
      <c r="H10" s="471"/>
      <c r="I10" s="1"/>
      <c r="J10" s="1"/>
      <c r="K10" s="1"/>
      <c r="L10" s="1"/>
    </row>
    <row r="11" ht="16.5" customHeight="1">
      <c r="A11" s="20"/>
      <c r="B11" s="483" t="s">
        <v>547</v>
      </c>
      <c r="C11" s="483">
        <v>150.0</v>
      </c>
      <c r="D11" s="485">
        <v>9500.0</v>
      </c>
      <c r="E11" s="486">
        <f t="shared" si="1"/>
        <v>1425000</v>
      </c>
      <c r="F11" s="487" t="s">
        <v>545</v>
      </c>
      <c r="G11" s="488" t="s">
        <v>546</v>
      </c>
      <c r="H11" s="471"/>
      <c r="I11" s="1"/>
      <c r="J11" s="1"/>
      <c r="K11" s="1"/>
      <c r="L11" s="1"/>
    </row>
    <row r="12" ht="16.5" customHeight="1">
      <c r="A12" s="20" t="s">
        <v>548</v>
      </c>
      <c r="B12" s="58" t="s">
        <v>549</v>
      </c>
      <c r="C12" s="58">
        <v>2.0</v>
      </c>
      <c r="D12" s="481">
        <v>37490.0</v>
      </c>
      <c r="E12" s="482">
        <f t="shared" si="1"/>
        <v>74980</v>
      </c>
      <c r="F12" s="274" t="s">
        <v>440</v>
      </c>
      <c r="G12" s="489" t="s">
        <v>550</v>
      </c>
      <c r="H12" s="56"/>
      <c r="I12" s="1"/>
      <c r="J12" s="1"/>
      <c r="K12" s="1"/>
      <c r="L12" s="1"/>
    </row>
    <row r="13" ht="33.75" customHeight="1">
      <c r="A13" s="20"/>
      <c r="B13" s="217" t="s">
        <v>551</v>
      </c>
      <c r="C13" s="58">
        <v>1.0</v>
      </c>
      <c r="D13" s="481">
        <v>75700.0</v>
      </c>
      <c r="E13" s="482">
        <v>75700.0</v>
      </c>
      <c r="F13" s="274" t="s">
        <v>440</v>
      </c>
      <c r="G13" s="489" t="s">
        <v>552</v>
      </c>
      <c r="H13" s="56"/>
      <c r="I13" s="1"/>
      <c r="J13" s="1"/>
      <c r="K13" s="1"/>
      <c r="L13" s="1"/>
    </row>
    <row r="14" ht="16.5" customHeight="1">
      <c r="A14" s="20"/>
      <c r="B14" s="58" t="s">
        <v>553</v>
      </c>
      <c r="C14" s="58">
        <v>2.0</v>
      </c>
      <c r="D14" s="481">
        <v>30280.0</v>
      </c>
      <c r="E14" s="482">
        <f t="shared" ref="E14:E43" si="2">D14*C14</f>
        <v>60560</v>
      </c>
      <c r="F14" s="274" t="s">
        <v>440</v>
      </c>
      <c r="G14" s="489" t="s">
        <v>554</v>
      </c>
      <c r="H14" s="56"/>
      <c r="I14" s="1"/>
      <c r="J14" s="1"/>
      <c r="K14" s="1"/>
      <c r="L14" s="1"/>
    </row>
    <row r="15" ht="33.75" customHeight="1">
      <c r="A15" s="20" t="s">
        <v>555</v>
      </c>
      <c r="B15" s="217" t="s">
        <v>556</v>
      </c>
      <c r="C15" s="58">
        <v>1.0</v>
      </c>
      <c r="D15" s="481">
        <v>17100.0</v>
      </c>
      <c r="E15" s="482">
        <f t="shared" si="2"/>
        <v>17100</v>
      </c>
      <c r="F15" s="274" t="s">
        <v>440</v>
      </c>
      <c r="G15" s="489" t="s">
        <v>557</v>
      </c>
      <c r="H15" s="56"/>
      <c r="I15" s="1"/>
      <c r="J15" s="1"/>
      <c r="K15" s="1"/>
      <c r="L15" s="1"/>
    </row>
    <row r="16" ht="33.75" customHeight="1">
      <c r="A16" s="20"/>
      <c r="B16" s="217" t="s">
        <v>558</v>
      </c>
      <c r="C16" s="58">
        <v>4.0</v>
      </c>
      <c r="D16" s="481">
        <v>35760.0</v>
      </c>
      <c r="E16" s="482">
        <f t="shared" si="2"/>
        <v>143040</v>
      </c>
      <c r="F16" s="274" t="s">
        <v>440</v>
      </c>
      <c r="G16" s="489" t="s">
        <v>559</v>
      </c>
      <c r="H16" s="56"/>
      <c r="I16" s="1"/>
      <c r="J16" s="1"/>
      <c r="K16" s="1"/>
      <c r="L16" s="1"/>
    </row>
    <row r="17" ht="33.75" customHeight="1">
      <c r="A17" s="20"/>
      <c r="B17" s="217" t="s">
        <v>560</v>
      </c>
      <c r="C17" s="58">
        <v>3.0</v>
      </c>
      <c r="D17" s="481">
        <v>28350.0</v>
      </c>
      <c r="E17" s="482">
        <f t="shared" si="2"/>
        <v>85050</v>
      </c>
      <c r="F17" s="274" t="s">
        <v>440</v>
      </c>
      <c r="G17" s="489" t="s">
        <v>561</v>
      </c>
      <c r="H17" s="56"/>
      <c r="I17" s="1"/>
      <c r="J17" s="1"/>
      <c r="K17" s="1"/>
      <c r="L17" s="1"/>
    </row>
    <row r="18" ht="16.5" customHeight="1">
      <c r="A18" s="20" t="s">
        <v>562</v>
      </c>
      <c r="B18" s="58" t="s">
        <v>563</v>
      </c>
      <c r="C18" s="58">
        <v>1.0</v>
      </c>
      <c r="D18" s="481">
        <v>26200.0</v>
      </c>
      <c r="E18" s="482">
        <f t="shared" si="2"/>
        <v>26200</v>
      </c>
      <c r="F18" s="274" t="s">
        <v>440</v>
      </c>
      <c r="G18" s="489" t="s">
        <v>564</v>
      </c>
      <c r="H18" s="56"/>
      <c r="I18" s="1"/>
      <c r="J18" s="1"/>
      <c r="K18" s="1"/>
      <c r="L18" s="1"/>
    </row>
    <row r="19" ht="16.5" customHeight="1">
      <c r="A19" s="20"/>
      <c r="B19" s="58" t="s">
        <v>565</v>
      </c>
      <c r="C19" s="58">
        <v>3.0</v>
      </c>
      <c r="D19" s="481">
        <v>9000.0</v>
      </c>
      <c r="E19" s="482">
        <f t="shared" si="2"/>
        <v>27000</v>
      </c>
      <c r="F19" s="274" t="s">
        <v>440</v>
      </c>
      <c r="G19" s="489" t="s">
        <v>566</v>
      </c>
      <c r="H19" s="56"/>
      <c r="I19" s="1"/>
      <c r="J19" s="1"/>
      <c r="K19" s="1"/>
      <c r="L19" s="1"/>
    </row>
    <row r="20" ht="16.5" customHeight="1">
      <c r="A20" s="20"/>
      <c r="B20" s="58" t="s">
        <v>567</v>
      </c>
      <c r="C20" s="58">
        <v>1.0</v>
      </c>
      <c r="D20" s="481">
        <v>5900.0</v>
      </c>
      <c r="E20" s="482">
        <f t="shared" si="2"/>
        <v>5900</v>
      </c>
      <c r="F20" s="274" t="s">
        <v>440</v>
      </c>
      <c r="G20" s="489" t="s">
        <v>568</v>
      </c>
      <c r="H20" s="56"/>
      <c r="I20" s="1"/>
      <c r="J20" s="1"/>
      <c r="K20" s="1"/>
      <c r="L20" s="1"/>
    </row>
    <row r="21" ht="16.5" customHeight="1">
      <c r="A21" s="20"/>
      <c r="B21" s="58" t="s">
        <v>569</v>
      </c>
      <c r="C21" s="58">
        <v>1.0</v>
      </c>
      <c r="D21" s="481">
        <v>9820.0</v>
      </c>
      <c r="E21" s="482">
        <f t="shared" si="2"/>
        <v>9820</v>
      </c>
      <c r="F21" s="274" t="s">
        <v>440</v>
      </c>
      <c r="G21" s="489" t="s">
        <v>570</v>
      </c>
      <c r="H21" s="56"/>
      <c r="I21" s="1"/>
      <c r="J21" s="1"/>
      <c r="K21" s="1"/>
      <c r="L21" s="1"/>
    </row>
    <row r="22" ht="16.5" customHeight="1">
      <c r="A22" s="20"/>
      <c r="B22" s="58" t="s">
        <v>571</v>
      </c>
      <c r="C22" s="58">
        <v>1.0</v>
      </c>
      <c r="D22" s="481">
        <v>11900.0</v>
      </c>
      <c r="E22" s="482">
        <f t="shared" si="2"/>
        <v>11900</v>
      </c>
      <c r="F22" s="274" t="s">
        <v>440</v>
      </c>
      <c r="G22" s="489" t="s">
        <v>572</v>
      </c>
      <c r="H22" s="56"/>
      <c r="I22" s="1"/>
      <c r="J22" s="1"/>
      <c r="K22" s="1"/>
      <c r="L22" s="1"/>
    </row>
    <row r="23" ht="16.5" customHeight="1">
      <c r="A23" s="20" t="s">
        <v>573</v>
      </c>
      <c r="B23" s="58" t="s">
        <v>480</v>
      </c>
      <c r="C23" s="58">
        <v>1.0</v>
      </c>
      <c r="D23" s="481">
        <v>21000.0</v>
      </c>
      <c r="E23" s="482">
        <f t="shared" si="2"/>
        <v>21000</v>
      </c>
      <c r="F23" s="274" t="s">
        <v>440</v>
      </c>
      <c r="G23" s="489" t="s">
        <v>574</v>
      </c>
      <c r="H23" s="56"/>
      <c r="I23" s="1"/>
      <c r="J23" s="1"/>
      <c r="K23" s="1"/>
      <c r="L23" s="1"/>
    </row>
    <row r="24" ht="16.5" customHeight="1">
      <c r="A24" s="20"/>
      <c r="B24" s="480" t="s">
        <v>575</v>
      </c>
      <c r="C24" s="480">
        <v>13.0</v>
      </c>
      <c r="D24" s="490">
        <v>5900.0</v>
      </c>
      <c r="E24" s="482">
        <f t="shared" si="2"/>
        <v>76700</v>
      </c>
      <c r="F24" s="263" t="s">
        <v>440</v>
      </c>
      <c r="G24" s="491" t="s">
        <v>576</v>
      </c>
      <c r="H24" s="56"/>
      <c r="I24" s="1"/>
      <c r="J24" s="1"/>
      <c r="K24" s="1"/>
      <c r="L24" s="1"/>
    </row>
    <row r="25" ht="16.5" customHeight="1">
      <c r="A25" s="20"/>
      <c r="B25" s="480" t="s">
        <v>577</v>
      </c>
      <c r="C25" s="480">
        <v>12.0</v>
      </c>
      <c r="D25" s="490">
        <v>5900.0</v>
      </c>
      <c r="E25" s="482">
        <f t="shared" si="2"/>
        <v>70800</v>
      </c>
      <c r="F25" s="274" t="s">
        <v>440</v>
      </c>
      <c r="G25" s="491" t="s">
        <v>578</v>
      </c>
      <c r="H25" s="56"/>
      <c r="I25" s="1"/>
      <c r="J25" s="1"/>
      <c r="K25" s="1"/>
      <c r="L25" s="1"/>
    </row>
    <row r="26" ht="16.5" customHeight="1">
      <c r="A26" s="492"/>
      <c r="B26" s="58" t="s">
        <v>579</v>
      </c>
      <c r="C26" s="58">
        <v>1.0</v>
      </c>
      <c r="D26" s="481">
        <v>3100.0</v>
      </c>
      <c r="E26" s="482">
        <f t="shared" si="2"/>
        <v>3100</v>
      </c>
      <c r="F26" s="274" t="s">
        <v>440</v>
      </c>
      <c r="G26" s="489" t="s">
        <v>580</v>
      </c>
      <c r="H26" s="56"/>
      <c r="I26" s="1"/>
      <c r="J26" s="1"/>
      <c r="K26" s="1"/>
      <c r="L26" s="1"/>
    </row>
    <row r="27" ht="16.5" customHeight="1">
      <c r="A27" s="492"/>
      <c r="B27" s="480" t="s">
        <v>581</v>
      </c>
      <c r="C27" s="480">
        <v>5.0</v>
      </c>
      <c r="D27" s="490">
        <v>15400.0</v>
      </c>
      <c r="E27" s="482">
        <f t="shared" si="2"/>
        <v>77000</v>
      </c>
      <c r="F27" s="263" t="s">
        <v>440</v>
      </c>
      <c r="G27" s="493" t="s">
        <v>582</v>
      </c>
      <c r="H27" s="56"/>
      <c r="I27" s="1"/>
      <c r="J27" s="1"/>
      <c r="K27" s="1"/>
      <c r="L27" s="1"/>
    </row>
    <row r="28" ht="16.5" customHeight="1">
      <c r="A28" s="492"/>
      <c r="B28" s="480" t="s">
        <v>583</v>
      </c>
      <c r="C28" s="480">
        <v>1.0</v>
      </c>
      <c r="D28" s="490">
        <v>9900.0</v>
      </c>
      <c r="E28" s="482">
        <f t="shared" si="2"/>
        <v>9900</v>
      </c>
      <c r="F28" s="263" t="s">
        <v>440</v>
      </c>
      <c r="G28" s="493" t="s">
        <v>584</v>
      </c>
      <c r="H28" s="56"/>
      <c r="I28" s="1"/>
      <c r="J28" s="1"/>
      <c r="K28" s="1"/>
      <c r="L28" s="1"/>
    </row>
    <row r="29" ht="16.5" customHeight="1">
      <c r="A29" s="492"/>
      <c r="B29" s="58" t="s">
        <v>585</v>
      </c>
      <c r="C29" s="58">
        <v>1.0</v>
      </c>
      <c r="D29" s="481">
        <v>9900.0</v>
      </c>
      <c r="E29" s="482">
        <f t="shared" si="2"/>
        <v>9900</v>
      </c>
      <c r="F29" s="274" t="s">
        <v>440</v>
      </c>
      <c r="G29" s="489" t="s">
        <v>586</v>
      </c>
      <c r="H29" s="56"/>
      <c r="I29" s="1"/>
      <c r="J29" s="1"/>
      <c r="K29" s="1"/>
      <c r="L29" s="1"/>
    </row>
    <row r="30" ht="16.5" customHeight="1">
      <c r="A30" s="492"/>
      <c r="B30" s="58" t="s">
        <v>587</v>
      </c>
      <c r="C30" s="58">
        <v>1.0</v>
      </c>
      <c r="D30" s="481">
        <v>14200.0</v>
      </c>
      <c r="E30" s="482">
        <f t="shared" si="2"/>
        <v>14200</v>
      </c>
      <c r="F30" s="274" t="s">
        <v>440</v>
      </c>
      <c r="G30" s="489" t="s">
        <v>588</v>
      </c>
      <c r="H30" s="56"/>
      <c r="I30" s="1"/>
      <c r="J30" s="1"/>
      <c r="K30" s="1"/>
      <c r="L30" s="1"/>
    </row>
    <row r="31" ht="16.5" customHeight="1">
      <c r="A31" s="492"/>
      <c r="B31" s="58" t="s">
        <v>482</v>
      </c>
      <c r="C31" s="58">
        <v>1.0</v>
      </c>
      <c r="D31" s="481">
        <v>10430.0</v>
      </c>
      <c r="E31" s="482">
        <f t="shared" si="2"/>
        <v>10430</v>
      </c>
      <c r="F31" s="263" t="s">
        <v>440</v>
      </c>
      <c r="G31" s="489" t="s">
        <v>589</v>
      </c>
      <c r="H31" s="56"/>
      <c r="I31" s="1"/>
      <c r="J31" s="1"/>
      <c r="K31" s="1"/>
      <c r="L31" s="1"/>
    </row>
    <row r="32" ht="16.5" customHeight="1">
      <c r="A32" s="492"/>
      <c r="B32" s="480" t="s">
        <v>590</v>
      </c>
      <c r="C32" s="480">
        <v>1.0</v>
      </c>
      <c r="D32" s="490">
        <v>4990.0</v>
      </c>
      <c r="E32" s="482">
        <f t="shared" si="2"/>
        <v>4990</v>
      </c>
      <c r="F32" s="263" t="s">
        <v>440</v>
      </c>
      <c r="G32" s="494" t="s">
        <v>591</v>
      </c>
      <c r="H32" s="56"/>
      <c r="I32" s="1"/>
      <c r="J32" s="1"/>
      <c r="K32" s="1"/>
      <c r="L32" s="1"/>
    </row>
    <row r="33" ht="16.5" customHeight="1">
      <c r="A33" s="492"/>
      <c r="B33" s="480" t="s">
        <v>592</v>
      </c>
      <c r="C33" s="480">
        <v>2.0</v>
      </c>
      <c r="D33" s="490">
        <v>11200.0</v>
      </c>
      <c r="E33" s="482">
        <f t="shared" si="2"/>
        <v>22400</v>
      </c>
      <c r="F33" s="263" t="s">
        <v>440</v>
      </c>
      <c r="G33" s="494" t="s">
        <v>593</v>
      </c>
      <c r="H33" s="56"/>
      <c r="I33" s="1"/>
      <c r="J33" s="1"/>
      <c r="K33" s="1"/>
      <c r="L33" s="1"/>
    </row>
    <row r="34" ht="16.5" customHeight="1">
      <c r="A34" s="492"/>
      <c r="B34" s="58" t="s">
        <v>594</v>
      </c>
      <c r="C34" s="58"/>
      <c r="D34" s="481"/>
      <c r="E34" s="482">
        <f t="shared" si="2"/>
        <v>0</v>
      </c>
      <c r="F34" s="274"/>
      <c r="G34" s="186"/>
      <c r="H34" s="56"/>
      <c r="I34" s="1"/>
      <c r="J34" s="1"/>
      <c r="K34" s="1"/>
      <c r="L34" s="1"/>
    </row>
    <row r="35" ht="16.5" customHeight="1">
      <c r="A35" s="492"/>
      <c r="B35" s="58" t="s">
        <v>595</v>
      </c>
      <c r="C35" s="58">
        <v>4.0</v>
      </c>
      <c r="D35" s="481">
        <v>12000.0</v>
      </c>
      <c r="E35" s="482">
        <f t="shared" si="2"/>
        <v>48000</v>
      </c>
      <c r="F35" s="274" t="s">
        <v>506</v>
      </c>
      <c r="G35" s="489" t="s">
        <v>596</v>
      </c>
      <c r="H35" s="56"/>
      <c r="I35" s="1"/>
      <c r="J35" s="1"/>
      <c r="K35" s="1"/>
      <c r="L35" s="1"/>
    </row>
    <row r="36" ht="16.5" customHeight="1">
      <c r="A36" s="492"/>
      <c r="B36" s="484" t="s">
        <v>597</v>
      </c>
      <c r="C36" s="483"/>
      <c r="D36" s="495"/>
      <c r="E36" s="486">
        <f t="shared" si="2"/>
        <v>0</v>
      </c>
      <c r="F36" s="487"/>
      <c r="G36" s="496"/>
      <c r="H36" s="497"/>
      <c r="I36" s="1"/>
      <c r="J36" s="1"/>
      <c r="K36" s="1"/>
      <c r="L36" s="1"/>
    </row>
    <row r="37" ht="16.5" customHeight="1">
      <c r="A37" s="492"/>
      <c r="B37" s="484" t="s">
        <v>598</v>
      </c>
      <c r="C37" s="483"/>
      <c r="D37" s="498"/>
      <c r="E37" s="486">
        <f t="shared" si="2"/>
        <v>0</v>
      </c>
      <c r="F37" s="499"/>
      <c r="G37" s="483"/>
      <c r="H37" s="483"/>
      <c r="I37" s="1"/>
      <c r="J37" s="1"/>
      <c r="K37" s="1"/>
      <c r="L37" s="1"/>
    </row>
    <row r="38" ht="16.5" customHeight="1">
      <c r="A38" s="492"/>
      <c r="B38" s="483" t="s">
        <v>599</v>
      </c>
      <c r="C38" s="483"/>
      <c r="D38" s="486"/>
      <c r="E38" s="486">
        <f t="shared" si="2"/>
        <v>0</v>
      </c>
      <c r="F38" s="483"/>
      <c r="G38" s="496"/>
      <c r="H38" s="497"/>
      <c r="I38" s="1"/>
      <c r="J38" s="1"/>
      <c r="K38" s="1"/>
      <c r="L38" s="1"/>
    </row>
    <row r="39" ht="16.5" customHeight="1">
      <c r="A39" s="492"/>
      <c r="B39" s="483" t="s">
        <v>600</v>
      </c>
      <c r="C39" s="483"/>
      <c r="D39" s="486"/>
      <c r="E39" s="486">
        <f t="shared" si="2"/>
        <v>0</v>
      </c>
      <c r="F39" s="483"/>
      <c r="G39" s="496"/>
      <c r="H39" s="497"/>
      <c r="I39" s="1"/>
      <c r="J39" s="1"/>
      <c r="K39" s="1"/>
      <c r="L39" s="1"/>
    </row>
    <row r="40" ht="16.5" customHeight="1">
      <c r="A40" s="492"/>
      <c r="B40" s="483" t="s">
        <v>601</v>
      </c>
      <c r="C40" s="483"/>
      <c r="D40" s="486"/>
      <c r="E40" s="486">
        <f t="shared" si="2"/>
        <v>0</v>
      </c>
      <c r="F40" s="483"/>
      <c r="G40" s="496"/>
      <c r="H40" s="497"/>
      <c r="I40" s="1"/>
      <c r="J40" s="1"/>
      <c r="K40" s="1"/>
      <c r="L40" s="1"/>
    </row>
    <row r="41" ht="16.5" customHeight="1">
      <c r="A41" s="492"/>
      <c r="B41" s="483" t="s">
        <v>602</v>
      </c>
      <c r="C41" s="484">
        <v>3.0</v>
      </c>
      <c r="D41" s="486"/>
      <c r="E41" s="486">
        <f t="shared" si="2"/>
        <v>0</v>
      </c>
      <c r="F41" s="483"/>
      <c r="G41" s="496"/>
      <c r="H41" s="497"/>
      <c r="I41" s="1"/>
      <c r="J41" s="1"/>
      <c r="K41" s="1"/>
      <c r="L41" s="1"/>
    </row>
    <row r="42" ht="16.5" customHeight="1">
      <c r="A42" s="492"/>
      <c r="B42" s="484" t="s">
        <v>603</v>
      </c>
      <c r="C42" s="484">
        <v>1.0</v>
      </c>
      <c r="D42" s="500">
        <v>879000.0</v>
      </c>
      <c r="E42" s="486">
        <f t="shared" si="2"/>
        <v>879000</v>
      </c>
      <c r="F42" s="483"/>
      <c r="G42" s="496"/>
      <c r="H42" s="497"/>
      <c r="I42" s="1"/>
      <c r="J42" s="1"/>
      <c r="K42" s="1"/>
      <c r="L42" s="1"/>
    </row>
    <row r="43" ht="16.5" customHeight="1">
      <c r="A43" s="492"/>
      <c r="B43" s="501" t="s">
        <v>604</v>
      </c>
      <c r="C43" s="501">
        <v>3.0</v>
      </c>
      <c r="D43" s="500">
        <v>350000.0</v>
      </c>
      <c r="E43" s="502">
        <f t="shared" si="2"/>
        <v>1050000</v>
      </c>
      <c r="F43" s="503"/>
      <c r="G43" s="504"/>
      <c r="H43" s="56"/>
      <c r="I43" s="1"/>
      <c r="J43" s="1"/>
      <c r="K43" s="1"/>
      <c r="L43" s="1"/>
    </row>
    <row r="44" ht="16.5" customHeight="1">
      <c r="A44" s="492"/>
      <c r="B44" s="58" t="s">
        <v>605</v>
      </c>
      <c r="C44" s="58"/>
      <c r="D44" s="482"/>
      <c r="E44" s="482">
        <f>SUM(E7:E43)</f>
        <v>5834570</v>
      </c>
      <c r="F44" s="58"/>
      <c r="G44" s="186"/>
      <c r="H44" s="56"/>
      <c r="I44" s="1"/>
      <c r="J44" s="1"/>
      <c r="K44" s="1"/>
      <c r="L44" s="1"/>
    </row>
    <row r="45" ht="16.5" customHeight="1">
      <c r="A45" s="492"/>
      <c r="B45" s="58" t="s">
        <v>606</v>
      </c>
      <c r="C45" s="58"/>
      <c r="D45" s="482"/>
      <c r="E45" s="482">
        <f>15000*150</f>
        <v>2250000</v>
      </c>
      <c r="F45" s="58"/>
      <c r="G45" s="186"/>
      <c r="H45" s="56"/>
      <c r="I45" s="1"/>
      <c r="J45" s="1"/>
      <c r="K45" s="1"/>
      <c r="L45" s="1"/>
    </row>
    <row r="46" ht="16.5" customHeight="1">
      <c r="A46" s="492"/>
      <c r="B46" s="58" t="s">
        <v>607</v>
      </c>
      <c r="C46" s="58"/>
      <c r="D46" s="482"/>
      <c r="E46" s="482">
        <f>E7+E10+E11+E43+E42</f>
        <v>4044900</v>
      </c>
      <c r="F46" s="58"/>
      <c r="G46" s="186"/>
      <c r="H46" s="56"/>
      <c r="I46" s="1"/>
      <c r="J46" s="1"/>
      <c r="K46" s="1"/>
      <c r="L46" s="1"/>
    </row>
    <row r="47" ht="16.5" customHeight="1">
      <c r="A47" s="492"/>
      <c r="B47" s="134" t="s">
        <v>608</v>
      </c>
      <c r="C47" s="134"/>
      <c r="D47" s="134"/>
      <c r="E47" s="505">
        <f>-E44+E45+E46</f>
        <v>460330</v>
      </c>
      <c r="F47" s="134"/>
      <c r="G47" s="424"/>
      <c r="H47" s="78"/>
      <c r="I47" s="1"/>
      <c r="J47" s="1"/>
      <c r="K47" s="1"/>
      <c r="L47" s="1"/>
    </row>
    <row r="48" ht="16.5" customHeight="1">
      <c r="A48" s="506"/>
      <c r="B48" s="507"/>
      <c r="D48" s="508"/>
      <c r="E48" s="508"/>
      <c r="G48" s="507"/>
    </row>
    <row r="49" ht="16.5" customHeight="1">
      <c r="A49" s="506"/>
      <c r="B49" s="507"/>
      <c r="G49" s="507"/>
    </row>
    <row r="50" ht="16.5" customHeight="1">
      <c r="A50" s="506"/>
      <c r="B50" s="507"/>
      <c r="G50" s="507"/>
    </row>
    <row r="51" ht="16.5" customHeight="1">
      <c r="A51" s="506"/>
      <c r="B51" s="507"/>
      <c r="D51" s="508"/>
      <c r="E51" s="508"/>
      <c r="G51" s="507"/>
    </row>
    <row r="52" ht="16.5" customHeight="1">
      <c r="A52" s="506"/>
      <c r="B52" s="507"/>
      <c r="G52" s="507"/>
    </row>
    <row r="53" ht="16.5" customHeight="1">
      <c r="A53" s="506"/>
      <c r="B53" s="507"/>
      <c r="G53" s="507"/>
    </row>
    <row r="54" ht="16.5" customHeight="1">
      <c r="A54" s="506"/>
      <c r="B54" s="509"/>
      <c r="C54" s="510"/>
      <c r="D54" s="510"/>
      <c r="E54" s="510"/>
      <c r="G54" s="507"/>
    </row>
    <row r="55" ht="33.75" customHeight="1">
      <c r="A55" s="506"/>
      <c r="B55" s="511"/>
      <c r="C55" s="512"/>
      <c r="D55" s="512"/>
      <c r="E55" s="511"/>
      <c r="G55" s="507"/>
    </row>
    <row r="56" ht="16.5" customHeight="1">
      <c r="A56" s="513"/>
      <c r="B56" s="511"/>
      <c r="C56" s="511"/>
      <c r="D56" s="511"/>
      <c r="E56" s="511"/>
      <c r="G56" s="507"/>
    </row>
    <row r="57" ht="16.5" customHeight="1">
      <c r="A57" s="513"/>
      <c r="B57" s="511"/>
      <c r="C57" s="511"/>
      <c r="D57" s="511"/>
      <c r="E57" s="511"/>
      <c r="G57" s="507"/>
    </row>
    <row r="58" ht="48.0" customHeight="1">
      <c r="B58" s="511"/>
      <c r="C58" s="514"/>
      <c r="D58" s="514"/>
      <c r="E58" s="508"/>
      <c r="G58" s="507"/>
    </row>
    <row r="59" ht="16.5" customHeight="1">
      <c r="B59" s="511"/>
      <c r="C59" s="508"/>
      <c r="D59" s="508"/>
      <c r="E59" s="508"/>
      <c r="G59" s="507"/>
    </row>
    <row r="60" ht="16.5" customHeight="1">
      <c r="B60" s="507"/>
      <c r="D60" s="508"/>
      <c r="E60" s="508"/>
      <c r="G60" s="507"/>
    </row>
    <row r="61" ht="16.5" customHeight="1">
      <c r="B61" s="507"/>
      <c r="D61" s="508"/>
      <c r="E61" s="508"/>
      <c r="G61" s="507"/>
    </row>
    <row r="62" ht="16.5" customHeight="1">
      <c r="B62" s="507"/>
      <c r="D62" s="508"/>
      <c r="E62" s="508"/>
      <c r="G62" s="507"/>
    </row>
    <row r="63" ht="16.5" customHeight="1">
      <c r="B63" s="507"/>
      <c r="D63" s="508"/>
      <c r="E63" s="508"/>
      <c r="G63" s="507"/>
    </row>
    <row r="64" ht="16.5" customHeight="1">
      <c r="B64" s="507"/>
      <c r="D64" s="508"/>
      <c r="E64" s="508"/>
      <c r="G64" s="507"/>
    </row>
    <row r="65" ht="16.5" customHeight="1">
      <c r="B65" s="507"/>
      <c r="D65" s="508"/>
      <c r="E65" s="508"/>
      <c r="G65" s="507"/>
    </row>
    <row r="66" ht="16.5" customHeight="1">
      <c r="B66" s="507"/>
      <c r="D66" s="508"/>
      <c r="E66" s="508"/>
      <c r="G66" s="507"/>
    </row>
    <row r="67" ht="16.5" customHeight="1"/>
    <row r="68" ht="16.5" customHeight="1"/>
    <row r="69" ht="16.5" customHeight="1"/>
    <row r="70" ht="16.5" customHeight="1"/>
    <row r="71" ht="16.5" customHeight="1"/>
    <row r="72" ht="16.5" customHeight="1"/>
    <row r="73" ht="16.5" customHeight="1"/>
    <row r="74" ht="16.5" customHeight="1"/>
    <row r="75" ht="16.5" customHeight="1"/>
    <row r="76" ht="16.5" customHeight="1"/>
    <row r="77" ht="16.5" customHeight="1"/>
    <row r="78" ht="16.5" customHeight="1"/>
    <row r="79" ht="16.5" customHeight="1"/>
    <row r="80" ht="16.5" customHeight="1"/>
    <row r="81" ht="16.5" customHeight="1"/>
    <row r="82" ht="16.5" customHeight="1"/>
    <row r="83" ht="16.5" customHeight="1"/>
    <row r="84" ht="16.5" customHeight="1"/>
    <row r="85" ht="16.5" customHeight="1"/>
    <row r="86" ht="16.5" customHeight="1"/>
    <row r="87" ht="16.5" customHeight="1"/>
    <row r="88" ht="16.5" customHeight="1"/>
    <row r="89" ht="16.5" customHeight="1"/>
    <row r="90" ht="16.5" customHeight="1"/>
    <row r="91" ht="16.5" customHeight="1"/>
    <row r="92" ht="16.5" customHeight="1"/>
    <row r="93" ht="16.5" customHeight="1"/>
    <row r="94" ht="16.5" customHeight="1"/>
    <row r="95" ht="16.5" customHeight="1"/>
    <row r="96" ht="16.5" customHeight="1"/>
    <row r="97" ht="16.5" customHeight="1"/>
    <row r="98" ht="16.5" customHeight="1"/>
    <row r="99" ht="16.5" customHeight="1"/>
    <row r="100" ht="16.5" customHeight="1"/>
    <row r="101" ht="16.5" customHeight="1"/>
    <row r="102" ht="16.5" customHeight="1"/>
    <row r="103" ht="16.5" customHeight="1"/>
    <row r="104" ht="16.5" customHeight="1"/>
    <row r="105" ht="16.5" customHeight="1"/>
    <row r="106" ht="16.5" customHeight="1"/>
    <row r="107" ht="16.5" customHeight="1"/>
    <row r="108" ht="16.5" customHeight="1"/>
    <row r="109" ht="16.5" customHeight="1"/>
    <row r="110" ht="16.5" customHeight="1"/>
    <row r="111" ht="16.5" customHeight="1"/>
    <row r="112" ht="16.5" customHeight="1"/>
    <row r="113" ht="16.5" customHeight="1"/>
    <row r="114" ht="16.5" customHeight="1"/>
    <row r="115" ht="16.5" customHeight="1"/>
    <row r="116" ht="16.5" customHeight="1"/>
    <row r="117" ht="16.5" customHeight="1"/>
    <row r="118" ht="16.5" customHeight="1"/>
    <row r="119" ht="16.5" customHeight="1"/>
    <row r="120" ht="16.5" customHeight="1"/>
    <row r="121" ht="16.5" customHeight="1"/>
    <row r="122" ht="16.5" customHeight="1"/>
    <row r="123" ht="16.5" customHeight="1"/>
    <row r="124" ht="16.5" customHeight="1"/>
    <row r="125" ht="16.5" customHeight="1"/>
    <row r="126" ht="16.5" customHeight="1"/>
    <row r="127" ht="16.5" customHeight="1"/>
    <row r="128" ht="16.5" customHeight="1"/>
    <row r="129" ht="16.5" customHeight="1"/>
    <row r="130" ht="16.5" customHeight="1"/>
    <row r="131" ht="16.5" customHeight="1"/>
    <row r="132" ht="16.5" customHeight="1"/>
    <row r="133" ht="16.5" customHeight="1"/>
    <row r="134" ht="16.5" customHeight="1"/>
    <row r="135" ht="16.5" customHeight="1"/>
    <row r="136" ht="16.5" customHeight="1"/>
    <row r="137" ht="16.5" customHeight="1"/>
    <row r="138" ht="16.5" customHeight="1"/>
    <row r="139" ht="16.5" customHeight="1"/>
    <row r="140" ht="16.5" customHeight="1"/>
    <row r="141" ht="16.5" customHeight="1"/>
    <row r="142" ht="16.5" customHeight="1"/>
    <row r="143" ht="16.5" customHeight="1"/>
    <row r="144" ht="16.5" customHeight="1"/>
    <row r="145" ht="16.5" customHeight="1"/>
    <row r="146" ht="16.5" customHeight="1"/>
    <row r="147" ht="16.5" customHeight="1"/>
    <row r="148" ht="16.5" customHeight="1"/>
    <row r="149" ht="16.5" customHeight="1"/>
    <row r="150" ht="16.5" customHeight="1"/>
    <row r="151" ht="16.5" customHeight="1"/>
    <row r="152" ht="16.5" customHeight="1"/>
    <row r="153" ht="16.5" customHeight="1"/>
    <row r="154" ht="16.5" customHeight="1"/>
    <row r="155" ht="16.5" customHeight="1"/>
    <row r="156" ht="16.5" customHeight="1"/>
    <row r="157" ht="16.5" customHeight="1"/>
    <row r="158" ht="16.5" customHeight="1"/>
    <row r="159" ht="16.5" customHeight="1"/>
    <row r="160" ht="16.5" customHeight="1"/>
    <row r="161" ht="16.5" customHeight="1"/>
    <row r="162" ht="16.5" customHeight="1"/>
    <row r="163" ht="16.5" customHeight="1"/>
    <row r="164" ht="16.5" customHeight="1"/>
    <row r="165" ht="16.5" customHeight="1"/>
    <row r="166" ht="16.5" customHeight="1"/>
    <row r="167" ht="16.5" customHeight="1"/>
    <row r="168" ht="16.5" customHeight="1"/>
    <row r="169" ht="16.5" customHeight="1"/>
    <row r="170" ht="16.5" customHeight="1"/>
    <row r="171" ht="16.5" customHeight="1"/>
    <row r="172" ht="16.5" customHeight="1"/>
    <row r="173" ht="16.5" customHeight="1"/>
    <row r="174" ht="16.5" customHeight="1"/>
    <row r="175" ht="16.5" customHeight="1"/>
    <row r="176" ht="16.5" customHeight="1"/>
    <row r="177" ht="16.5" customHeight="1"/>
    <row r="178" ht="16.5" customHeight="1"/>
    <row r="179" ht="16.5" customHeight="1"/>
    <row r="180" ht="16.5" customHeight="1"/>
    <row r="181" ht="16.5" customHeight="1"/>
    <row r="182" ht="16.5" customHeight="1"/>
    <row r="183" ht="16.5" customHeight="1"/>
    <row r="184" ht="16.5" customHeight="1"/>
    <row r="185" ht="16.5" customHeight="1"/>
    <row r="186" ht="16.5" customHeight="1"/>
    <row r="187" ht="16.5" customHeight="1"/>
    <row r="188" ht="16.5" customHeight="1"/>
    <row r="189" ht="16.5" customHeight="1"/>
    <row r="190" ht="16.5" customHeight="1"/>
    <row r="191" ht="16.5" customHeight="1"/>
    <row r="192" ht="16.5" customHeight="1"/>
    <row r="193" ht="16.5" customHeight="1"/>
    <row r="194" ht="16.5" customHeight="1"/>
    <row r="195" ht="16.5" customHeight="1"/>
    <row r="196" ht="16.5" customHeight="1"/>
    <row r="197" ht="16.5" customHeight="1"/>
    <row r="198" ht="16.5" customHeight="1"/>
    <row r="199" ht="16.5" customHeight="1"/>
    <row r="200" ht="16.5" customHeight="1"/>
    <row r="201" ht="16.5" customHeight="1"/>
    <row r="202" ht="16.5" customHeight="1"/>
    <row r="203" ht="16.5" customHeight="1"/>
    <row r="204" ht="16.5" customHeight="1"/>
    <row r="205" ht="16.5" customHeight="1"/>
    <row r="206" ht="16.5" customHeight="1"/>
    <row r="207" ht="16.5" customHeight="1"/>
    <row r="208" ht="16.5" customHeight="1"/>
    <row r="209" ht="16.5" customHeight="1"/>
    <row r="210" ht="16.5" customHeight="1"/>
    <row r="211" ht="16.5" customHeight="1"/>
    <row r="212" ht="16.5" customHeight="1"/>
    <row r="213" ht="16.5" customHeight="1"/>
    <row r="214" ht="16.5" customHeight="1"/>
    <row r="215" ht="16.5" customHeight="1"/>
    <row r="216" ht="16.5" customHeight="1"/>
    <row r="217" ht="16.5" customHeight="1"/>
    <row r="218" ht="16.5" customHeight="1"/>
    <row r="219" ht="16.5" customHeight="1"/>
    <row r="220" ht="16.5" customHeight="1"/>
    <row r="221" ht="16.5" customHeight="1"/>
    <row r="222" ht="16.5" customHeight="1"/>
    <row r="223" ht="16.5" customHeight="1"/>
    <row r="224" ht="16.5" customHeight="1"/>
    <row r="225" ht="16.5" customHeight="1"/>
    <row r="226" ht="16.5" customHeight="1"/>
    <row r="227" ht="16.5" customHeight="1"/>
    <row r="228" ht="16.5" customHeight="1"/>
    <row r="229" ht="16.5" customHeight="1"/>
    <row r="230" ht="16.5" customHeight="1"/>
    <row r="231" ht="16.5" customHeight="1"/>
    <row r="232" ht="16.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row r="1001" ht="16.5" customHeight="1"/>
    <row r="1002" ht="16.5" customHeight="1"/>
    <row r="1003" ht="16.5" customHeight="1"/>
    <row r="1004" ht="16.5" customHeight="1"/>
    <row r="1005" ht="16.5" customHeight="1"/>
  </sheetData>
  <mergeCells count="64">
    <mergeCell ref="G59:H59"/>
    <mergeCell ref="G60:H60"/>
    <mergeCell ref="G61:H61"/>
    <mergeCell ref="G62:H62"/>
    <mergeCell ref="G63:H63"/>
    <mergeCell ref="G64:H64"/>
    <mergeCell ref="G65:H65"/>
    <mergeCell ref="G66:H66"/>
    <mergeCell ref="G52:H52"/>
    <mergeCell ref="G53:H53"/>
    <mergeCell ref="G54:H54"/>
    <mergeCell ref="G55:H55"/>
    <mergeCell ref="G56:H56"/>
    <mergeCell ref="G57:H57"/>
    <mergeCell ref="G58:H58"/>
    <mergeCell ref="B2:E3"/>
    <mergeCell ref="C4:E4"/>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s>
  <hyperlinks>
    <hyperlink r:id="rId1" ref="G24"/>
    <hyperlink r:id="rId2" ref="G25"/>
    <hyperlink r:id="rId3" ref="G27"/>
    <hyperlink r:id="rId4" ref="G28"/>
    <hyperlink r:id="rId5" ref="G32"/>
    <hyperlink r:id="rId6" ref="G33"/>
  </hyperlinks>
  <printOptions/>
  <pageMargins bottom="1.0" footer="0.0" header="0.0" left="0.75" right="0.75" top="1.0"/>
  <pageSetup orientation="landscape"/>
  <drawing r:id="rId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71"/>
    <col customWidth="1" min="2" max="2" width="13.71"/>
    <col customWidth="1" min="3" max="3" width="113.86"/>
    <col customWidth="1" min="4" max="4" width="4.29"/>
    <col customWidth="1" hidden="1" min="5" max="5" width="63.43"/>
    <col customWidth="1" hidden="1" min="6" max="6" width="12.71"/>
    <col customWidth="1" min="7" max="26" width="8.71"/>
  </cols>
  <sheetData>
    <row r="1" ht="16.5" customHeight="1">
      <c r="A1" s="1"/>
      <c r="B1" s="1"/>
      <c r="C1" s="1"/>
      <c r="D1" s="1"/>
      <c r="E1" s="1"/>
      <c r="F1" s="1"/>
      <c r="G1" s="1"/>
      <c r="H1" s="1"/>
      <c r="I1" s="1"/>
      <c r="J1" s="1"/>
      <c r="K1" s="1"/>
      <c r="L1" s="1"/>
      <c r="M1" s="1"/>
      <c r="N1" s="1"/>
      <c r="O1" s="1"/>
      <c r="P1" s="1"/>
      <c r="Q1" s="1"/>
      <c r="R1" s="1"/>
      <c r="S1" s="1"/>
      <c r="T1" s="1"/>
      <c r="U1" s="1"/>
      <c r="V1" s="1"/>
      <c r="W1" s="1"/>
      <c r="X1" s="1"/>
      <c r="Y1" s="1"/>
      <c r="Z1" s="1"/>
    </row>
    <row r="2" ht="37.5" customHeight="1">
      <c r="A2" s="1"/>
      <c r="B2" s="515" t="s">
        <v>609</v>
      </c>
      <c r="C2" s="516"/>
      <c r="D2" s="1"/>
      <c r="E2" s="1"/>
      <c r="F2" s="1"/>
      <c r="G2" s="1"/>
      <c r="H2" s="1"/>
      <c r="I2" s="1"/>
      <c r="J2" s="1"/>
      <c r="K2" s="1"/>
      <c r="L2" s="1"/>
      <c r="M2" s="1"/>
      <c r="N2" s="1"/>
      <c r="O2" s="1"/>
      <c r="P2" s="1"/>
      <c r="Q2" s="1"/>
      <c r="R2" s="1"/>
      <c r="S2" s="1"/>
      <c r="T2" s="1"/>
      <c r="U2" s="1"/>
      <c r="V2" s="1"/>
      <c r="W2" s="1"/>
      <c r="X2" s="1"/>
      <c r="Y2" s="1"/>
      <c r="Z2" s="1"/>
    </row>
    <row r="3" ht="196.5" customHeight="1">
      <c r="A3" s="1"/>
      <c r="B3" s="517" t="s">
        <v>610</v>
      </c>
      <c r="C3" s="518"/>
      <c r="D3" s="1"/>
      <c r="E3" s="1"/>
      <c r="F3" s="1"/>
      <c r="G3" s="1"/>
      <c r="H3" s="1"/>
      <c r="I3" s="1"/>
      <c r="J3" s="1"/>
      <c r="K3" s="1"/>
      <c r="L3" s="1"/>
      <c r="M3" s="1"/>
      <c r="N3" s="1"/>
      <c r="O3" s="1"/>
      <c r="P3" s="1"/>
      <c r="Q3" s="1"/>
      <c r="R3" s="1"/>
      <c r="S3" s="1"/>
      <c r="T3" s="1"/>
      <c r="U3" s="1"/>
      <c r="V3" s="1"/>
      <c r="W3" s="1"/>
      <c r="X3" s="1"/>
      <c r="Y3" s="1"/>
      <c r="Z3" s="1"/>
    </row>
    <row r="4" ht="140.25" customHeight="1">
      <c r="A4" s="1"/>
      <c r="B4" s="517" t="s">
        <v>611</v>
      </c>
      <c r="C4" s="519"/>
      <c r="D4" s="1"/>
      <c r="E4" s="1"/>
      <c r="F4" s="1"/>
      <c r="G4" s="1"/>
      <c r="H4" s="1"/>
      <c r="I4" s="1"/>
      <c r="J4" s="1"/>
      <c r="K4" s="1"/>
      <c r="L4" s="1"/>
      <c r="M4" s="1"/>
      <c r="N4" s="1"/>
      <c r="O4" s="1"/>
      <c r="P4" s="1"/>
      <c r="Q4" s="1"/>
      <c r="R4" s="1"/>
      <c r="S4" s="1"/>
      <c r="T4" s="1"/>
      <c r="U4" s="1"/>
      <c r="V4" s="1"/>
      <c r="W4" s="1"/>
      <c r="X4" s="1"/>
      <c r="Y4" s="1"/>
      <c r="Z4" s="1"/>
    </row>
    <row r="5" ht="17.25" customHeight="1">
      <c r="A5" s="1"/>
      <c r="B5" s="1"/>
      <c r="C5" s="1"/>
      <c r="D5" s="1"/>
      <c r="E5" s="1"/>
      <c r="F5" s="1"/>
      <c r="G5" s="1"/>
      <c r="H5" s="1"/>
      <c r="I5" s="1"/>
      <c r="J5" s="1"/>
      <c r="K5" s="1"/>
      <c r="L5" s="1"/>
      <c r="M5" s="1"/>
      <c r="N5" s="1"/>
      <c r="O5" s="1"/>
      <c r="P5" s="1"/>
      <c r="Q5" s="1"/>
      <c r="R5" s="1"/>
      <c r="S5" s="1"/>
      <c r="T5" s="1"/>
      <c r="U5" s="1"/>
      <c r="V5" s="1"/>
      <c r="W5" s="1"/>
      <c r="X5" s="1"/>
      <c r="Y5" s="1"/>
      <c r="Z5" s="1"/>
    </row>
    <row r="6" ht="16.5" customHeight="1">
      <c r="A6" s="1"/>
      <c r="B6" s="1"/>
      <c r="C6" s="1"/>
      <c r="D6" s="1"/>
      <c r="E6" s="1"/>
      <c r="F6" s="1"/>
      <c r="G6" s="1"/>
      <c r="H6" s="1"/>
      <c r="I6" s="1"/>
      <c r="J6" s="1"/>
      <c r="K6" s="1"/>
      <c r="L6" s="1"/>
      <c r="M6" s="1"/>
      <c r="N6" s="1"/>
      <c r="O6" s="1"/>
      <c r="P6" s="1"/>
      <c r="Q6" s="1"/>
      <c r="R6" s="1"/>
      <c r="S6" s="1"/>
      <c r="T6" s="1"/>
      <c r="U6" s="1"/>
      <c r="V6" s="1"/>
      <c r="W6" s="1"/>
      <c r="X6" s="1"/>
      <c r="Y6" s="1"/>
      <c r="Z6" s="1"/>
    </row>
    <row r="7" ht="16.5" customHeight="1">
      <c r="A7" s="1"/>
      <c r="B7" s="1"/>
      <c r="C7" s="1"/>
      <c r="D7" s="1"/>
      <c r="E7" s="1"/>
      <c r="F7" s="1"/>
      <c r="G7" s="1"/>
      <c r="H7" s="1"/>
      <c r="I7" s="1"/>
      <c r="J7" s="1"/>
      <c r="K7" s="1"/>
      <c r="L7" s="1"/>
      <c r="M7" s="1"/>
      <c r="N7" s="1"/>
      <c r="O7" s="1"/>
      <c r="P7" s="1"/>
      <c r="Q7" s="1"/>
      <c r="R7" s="1"/>
      <c r="S7" s="1"/>
      <c r="T7" s="1"/>
      <c r="U7" s="1"/>
      <c r="V7" s="1"/>
      <c r="W7" s="1"/>
      <c r="X7" s="1"/>
      <c r="Y7" s="1"/>
      <c r="Z7" s="1"/>
    </row>
    <row r="8" ht="16.5" customHeight="1">
      <c r="A8" s="1"/>
      <c r="B8" s="1"/>
      <c r="C8" s="1"/>
      <c r="D8" s="1"/>
      <c r="E8" s="1"/>
      <c r="F8" s="1"/>
      <c r="G8" s="1"/>
      <c r="H8" s="1"/>
      <c r="I8" s="1"/>
      <c r="J8" s="1"/>
      <c r="K8" s="1"/>
      <c r="L8" s="1"/>
      <c r="M8" s="1"/>
      <c r="N8" s="1"/>
      <c r="O8" s="1"/>
      <c r="P8" s="1"/>
      <c r="Q8" s="1"/>
      <c r="R8" s="1"/>
      <c r="S8" s="1"/>
      <c r="T8" s="1"/>
      <c r="U8" s="1"/>
      <c r="V8" s="1"/>
      <c r="W8" s="1"/>
      <c r="X8" s="1"/>
      <c r="Y8" s="1"/>
      <c r="Z8" s="1"/>
    </row>
    <row r="9" ht="16.5" customHeight="1">
      <c r="A9" s="1"/>
      <c r="B9" s="1"/>
      <c r="C9" s="1"/>
      <c r="D9" s="1"/>
      <c r="E9" s="1"/>
      <c r="F9" s="1"/>
      <c r="G9" s="1"/>
      <c r="H9" s="1"/>
      <c r="I9" s="1"/>
      <c r="J9" s="1"/>
      <c r="K9" s="1"/>
      <c r="L9" s="1"/>
      <c r="M9" s="1"/>
      <c r="N9" s="1"/>
      <c r="O9" s="1"/>
      <c r="P9" s="1"/>
      <c r="Q9" s="1"/>
      <c r="R9" s="1"/>
      <c r="S9" s="1"/>
      <c r="T9" s="1"/>
      <c r="U9" s="1"/>
      <c r="V9" s="1"/>
      <c r="W9" s="1"/>
      <c r="X9" s="1"/>
      <c r="Y9" s="1"/>
      <c r="Z9" s="1"/>
    </row>
    <row r="10" ht="16.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6.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6.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6.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6.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6.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6.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6.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6.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6.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6.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6.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6.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6.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6.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6.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6.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6.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6.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6.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6.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6.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6.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6.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6.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6.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6.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6.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6.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6.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6.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6.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6.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6.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6.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6.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6.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6.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6.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6.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6.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6.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6.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6.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6.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6.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6.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6.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6.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6.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6.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6.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6.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6.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6.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6.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6.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6.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6.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6.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6.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6.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6.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6.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6.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6.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6.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6.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6.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6.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6.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6.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6.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6.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6.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6.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6.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6.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6.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6.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6.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6.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6.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6.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6.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6.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6.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6.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6.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6.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6.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6.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6.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6.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6.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6.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6.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6.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6.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6.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6.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6.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6.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6.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6.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6.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6.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6.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6.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6.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6.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6.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6.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6.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6.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6.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6.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6.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6.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6.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6.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6.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6.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6.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6.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6.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6.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6.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6.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6.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6.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6.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6.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6.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6.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6.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6.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6.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6.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6.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6.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6.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6.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6.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6.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6.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6.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6.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6.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6.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6.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6.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6.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6.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6.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6.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6.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6.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6.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6.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6.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6.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6.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6.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6.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6.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6.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6.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6.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6.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6.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6.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6.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6.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6.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6.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6.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6.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6.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6.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6.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6.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6.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6.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6.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6.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6.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6.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6.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6.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6.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6.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6.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6.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6.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6.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6.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6.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6.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6.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6.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6.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6.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6.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6.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6.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6.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6.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6.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6.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6.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6.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6.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6.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6.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6.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6.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6.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6.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6.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6.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6.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6.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6.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6.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6.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6.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6.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6.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6.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6.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6.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6.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6.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6.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6.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6.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6.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6.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6.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6.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6.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6.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6.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6.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6.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6.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6.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6.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6.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6.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6.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6.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6.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6.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6.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6.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6.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6.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6.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6.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6.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6.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6.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6.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6.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6.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6.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6.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6.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6.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6.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6.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6.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6.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6.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6.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6.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6.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6.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6.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6.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6.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6.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6.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6.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6.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6.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6.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6.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6.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6.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6.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6.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6.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6.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6.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6.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6.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6.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6.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6.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6.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6.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6.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6.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6.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6.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6.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6.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6.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6.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6.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6.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6.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6.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6.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6.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6.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6.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6.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6.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6.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6.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6.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6.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6.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6.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6.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6.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6.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6.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6.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6.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6.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6.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6.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6.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6.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6.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6.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6.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6.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6.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6.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6.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6.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6.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6.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6.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6.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6.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6.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6.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6.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6.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6.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6.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6.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6.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6.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6.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6.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6.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6.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6.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6.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6.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6.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6.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6.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6.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6.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6.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6.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6.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6.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6.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6.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6.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6.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6.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6.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6.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6.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6.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6.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6.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6.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6.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6.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6.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6.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6.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6.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6.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6.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6.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6.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6.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6.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6.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6.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6.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6.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6.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6.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6.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6.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6.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6.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6.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6.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6.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6.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6.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6.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6.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6.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6.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6.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6.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6.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6.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6.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6.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6.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6.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6.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6.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6.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6.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6.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6.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6.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6.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6.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6.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6.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6.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6.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6.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6.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6.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6.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6.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6.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6.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6.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6.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6.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6.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6.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6.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6.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6.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6.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6.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6.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6.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6.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6.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6.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6.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6.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6.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6.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6.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6.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6.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6.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6.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6.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6.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6.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6.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6.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6.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6.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6.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6.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6.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6.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6.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6.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6.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6.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6.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6.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6.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6.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6.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6.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6.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6.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6.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6.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6.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6.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6.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6.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6.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6.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6.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6.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6.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6.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6.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6.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6.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6.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6.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6.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6.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6.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6.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6.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6.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6.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6.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6.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6.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6.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6.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6.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6.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6.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6.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6.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6.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6.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6.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6.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6.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6.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6.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6.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6.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6.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6.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6.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6.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6.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6.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6.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6.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6.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6.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6.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6.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6.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6.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6.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6.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6.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6.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6.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6.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6.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6.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6.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6.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6.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6.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6.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6.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6.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6.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6.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6.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6.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6.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6.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6.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6.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6.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6.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6.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6.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6.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6.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6.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6.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6.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6.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6.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6.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6.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6.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6.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6.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6.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6.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6.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6.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6.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6.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6.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6.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6.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6.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6.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6.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6.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6.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6.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6.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6.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6.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6.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6.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6.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6.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6.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6.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6.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6.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6.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6.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6.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6.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6.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6.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6.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6.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6.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6.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6.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6.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6.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6.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6.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6.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6.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6.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6.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6.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6.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6.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6.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6.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6.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6.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6.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6.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6.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6.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6.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6.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6.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6.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6.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6.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6.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6.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6.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6.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6.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6.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6.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6.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6.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6.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6.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6.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6.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6.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6.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6.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6.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6.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6.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6.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6.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6.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6.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6.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6.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6.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6.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6.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6.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6.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6.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6.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6.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6.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6.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6.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6.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6.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6.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6.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6.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6.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6.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6.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6.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6.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6.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6.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6.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6.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6.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6.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6.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6.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6.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6.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6.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6.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6.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6.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6.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6.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6.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6.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6.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6.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6.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6.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6.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6.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6.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6.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6.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6.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6.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6.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6.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6.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6.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6.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6.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6.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6.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6.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6.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6.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6.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6.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6.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6.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6.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6.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6.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6.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6.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6.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6.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6.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6.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6.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6.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6.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6.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6.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6.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6.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6.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6.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6.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6.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6.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6.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6.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6.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6.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6.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6.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6.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6.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6.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6.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6.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6.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6.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6.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6.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6.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6.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6.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6.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6.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6.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6.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6.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6.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6.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6.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6.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
    <mergeCell ref="B2:C2"/>
  </mergeCells>
  <printOptions/>
  <pageMargins bottom="1.0" footer="0.0" header="0.0" left="0.75" right="0.75" top="1.0"/>
  <pageSetup orientation="landscape"/>
  <drawing r:id="rId1"/>
</worksheet>
</file>