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초안" sheetId="1" r:id="rId5"/>
    <sheet state="visible" name="초안의 사본" sheetId="2" r:id="rId6"/>
  </sheets>
  <definedNames/>
  <calcPr/>
</workbook>
</file>

<file path=xl/sharedStrings.xml><?xml version="1.0" encoding="utf-8"?>
<sst xmlns="http://schemas.openxmlformats.org/spreadsheetml/2006/main" count="215" uniqueCount="149">
  <si>
    <t>행사 예산안</t>
  </si>
  <si>
    <t>기획부</t>
  </si>
  <si>
    <t>총무부</t>
  </si>
  <si>
    <t>회장단</t>
  </si>
  <si>
    <t>행사명</t>
  </si>
  <si>
    <t>HI-Side Out</t>
  </si>
  <si>
    <t>구분</t>
  </si>
  <si>
    <r>
      <rPr>
        <rFont val="Arial"/>
        <color rgb="FFFF0000"/>
      </rPr>
      <t>필참</t>
    </r>
    <r>
      <rPr>
        <rFont val="Arial"/>
        <color theme="1"/>
      </rPr>
      <t>/자율</t>
    </r>
  </si>
  <si>
    <r>
      <rPr>
        <rFont val="Arial"/>
        <color rgb="FFFF0000"/>
      </rPr>
      <t>필참</t>
    </r>
    <r>
      <rPr>
        <rFont val="Arial"/>
        <color theme="1"/>
      </rPr>
      <t>/자율</t>
    </r>
  </si>
  <si>
    <t>행사 일자</t>
  </si>
  <si>
    <t>9/20(일)</t>
  </si>
  <si>
    <t>시간</t>
  </si>
  <si>
    <t>장소</t>
  </si>
  <si>
    <t>성균관대학교 자연과학캠퍼스 대운동장</t>
  </si>
  <si>
    <t>품목</t>
  </si>
  <si>
    <t>개수</t>
  </si>
  <si>
    <t>단일가격</t>
  </si>
  <si>
    <t>총 금액</t>
  </si>
  <si>
    <t>주문처</t>
  </si>
  <si>
    <t>비고</t>
  </si>
  <si>
    <t>점심(논비건) - 맘스터치 불고기버거 단품</t>
  </si>
  <si>
    <t>점심</t>
  </si>
  <si>
    <t>점심(논비건) - 맘스터치 불고기버거 단품 (하클)</t>
  </si>
  <si>
    <t xml:space="preserve">맘스터치 </t>
  </si>
  <si>
    <t>점심(비건) - 서브웨이 베지</t>
  </si>
  <si>
    <t>서브웨이</t>
  </si>
  <si>
    <t>맘스터치</t>
  </si>
  <si>
    <t>맘스터치 수원성균관대점</t>
  </si>
  <si>
    <t>국제처 지원</t>
  </si>
  <si>
    <t>점심(논비건) - 맘스터치 불고기버거 단품 (교환)</t>
  </si>
  <si>
    <t>(혼성 계주) 바통</t>
  </si>
  <si>
    <t>브룸</t>
  </si>
  <si>
    <t>(혼성 계주, 무궁화꽃, 피구, 줄다리기) 트랙 마킹 콘</t>
  </si>
  <si>
    <t>게임연구소</t>
  </si>
  <si>
    <t>(혼성 계주) 결승 테이프</t>
  </si>
  <si>
    <t>써브웨이 수원성균관대점</t>
  </si>
  <si>
    <t>(무궁화꽃) 인사이드아웃 복장 세트(간소화 가능)</t>
  </si>
  <si>
    <t>단체티</t>
  </si>
  <si>
    <t>가면으로 대체 가능?</t>
  </si>
  <si>
    <t>단체티 - 하이클럽</t>
  </si>
  <si>
    <t xml:space="preserve">(무궁화꽃) 뿅망치 </t>
  </si>
  <si>
    <t>2개 이상</t>
  </si>
  <si>
    <t>구매</t>
  </si>
  <si>
    <t>(무궁화꽃, 짝찾기게임) 마이크</t>
  </si>
  <si>
    <t>단티</t>
  </si>
  <si>
    <t xml:space="preserve"> </t>
  </si>
  <si>
    <t>https://www.dantee.co.kr/estimate/estimate_register.php?mode=update&amp;estimateNo=2608170901037278&amp;pwtoken=668a2ae597a601d877a24840626bb6e7</t>
  </si>
  <si>
    <t>(무궁화꽃) 스피커</t>
  </si>
  <si>
    <t xml:space="preserve">(제기차기) 제기 </t>
  </si>
  <si>
    <t>ㄴ</t>
  </si>
  <si>
    <t>(단체 줄넘기) 줄넘기용 긴 줄</t>
  </si>
  <si>
    <t>(판뒤집기, 짝찾기게임, 피구, 줄다리기) 호루라기</t>
  </si>
  <si>
    <t>확인 못함</t>
  </si>
  <si>
    <t>(판뒤집기) 양면 색깔 판</t>
  </si>
  <si>
    <t>단체티 - 교환학생</t>
  </si>
  <si>
    <t xml:space="preserve">(병뚜껑컬링) 과녁판 </t>
  </si>
  <si>
    <t>프린트 대체?</t>
  </si>
  <si>
    <t xml:space="preserve">(병뚜껑컬링) 병뚜껑 </t>
  </si>
  <si>
    <t>음료</t>
  </si>
  <si>
    <t>(물) 탐사수 무라벨 500ml*200개 (총 400개)</t>
  </si>
  <si>
    <t>물 활용</t>
  </si>
  <si>
    <t>(페트병세우기) 물이 일부 들어있는 페트병</t>
  </si>
  <si>
    <t>쿠팡</t>
  </si>
  <si>
    <t>https://www.coupang.com/vp/products/5625704601?itemId=19013170090&amp;vendorItemId=86137790576&amp;q=%EB%AC%BC+500ml&amp;searchId=0382ea52557456&amp;sourceType=search&amp;itemsCount=60&amp;searchRank=3&amp;rank=3&amp;traceId=mt2eofot</t>
  </si>
  <si>
    <t xml:space="preserve">(피구) 피구공 </t>
  </si>
  <si>
    <t>(피구, 줄다리기) 팀별 조끼</t>
  </si>
  <si>
    <t>단복을 입는데 조끼가 필요한가?</t>
  </si>
  <si>
    <t>(피구) 슬픔이 감정 캐릭터 머리띠</t>
  </si>
  <si>
    <t>머리띠 없음 가면으로 대체 가능?</t>
  </si>
  <si>
    <t>(피구, 줄다리기) 점수판</t>
  </si>
  <si>
    <t>화이트보드 대체?</t>
  </si>
  <si>
    <t>(음료) 게토레이 레몬 300ml*120개 (총 216개)</t>
  </si>
  <si>
    <t>(피구, 감정몸짓퀴즈) 타이머</t>
  </si>
  <si>
    <t>사야됨?</t>
  </si>
  <si>
    <t>https://www.coupang.com/vp/products/1650278?itemId=28712633479&amp;vendorItemId=95653362582&amp;q=%EA%B2%8C%ED%86%A0%EB%A0%9D&amp;searchId=2395745a1367533&amp;sourceType=search&amp;itemsCount=60&amp;searchRank=8&amp;rank=8&amp;traceId=mt2f5sxp</t>
  </si>
  <si>
    <t>(줄다리기) 줄다리기용 로프</t>
  </si>
  <si>
    <t>1~2</t>
  </si>
  <si>
    <t>(줄다리기) 중앙 깃발or감정 캐릭터 소품</t>
  </si>
  <si>
    <t>(줄다리기) 경기 진행용 타이머</t>
  </si>
  <si>
    <t>(줄다리기) 미끄럼 방지 장갑(안전용)</t>
  </si>
  <si>
    <t>(음료) 게토레이 레몬 300ml*48개</t>
  </si>
  <si>
    <t>(비어퐁) 비어퐁용 컵</t>
  </si>
  <si>
    <t>10개 이상</t>
  </si>
  <si>
    <t>구메</t>
  </si>
  <si>
    <t>(비어퐁) 탁구공</t>
  </si>
  <si>
    <t>5개 이상</t>
  </si>
  <si>
    <t>https://www.coupang.com/vp/products/1650278?itemId=28712633427&amp;vendorItemId=95653362488&amp;q=%EA%B2%8C%ED%86%A0%EB%A0%9D&amp;searchId=2395745a1367533&amp;sourceType=search&amp;itemsCount=60&amp;searchRank=2&amp;rank=2&amp;traceId=mt2f100r</t>
  </si>
  <si>
    <t>(비어퐁) 테이블</t>
  </si>
  <si>
    <t>(비어퐁) 인사이드아웃 캐릭터 도안 및 컵 장식용 스티커</t>
  </si>
  <si>
    <t>(비어퐁, 감정몸짓퀴즈) 도장</t>
  </si>
  <si>
    <t>간식</t>
  </si>
  <si>
    <t>(간식/비건) 소이조이 바나나 비건 단백질바 (총 12개)</t>
  </si>
  <si>
    <t>(비어퐁, 감정몸짓퀴즈) 스탬프 용지</t>
  </si>
  <si>
    <t>https://www.coupang.com/vp/products/8532976813?itemId=24699868616&amp;vendorItemId=91805941787&amp;q=%EC%86%8C%EC%9D%B4%EC%A1%B0%EC%9D%B4+%EB%B0%94%EB%82%98%EB%82%98&amp;searchId=8750072010036413&amp;sourceType=search&amp;itemsCount=60&amp;searchRank=0&amp;rank=0&amp;traceId=mt84v2zo</t>
  </si>
  <si>
    <t>(감정몸짓퀴즈) 감정 카드 - 기쁨/슬픔/분노/까칠/소심/불안/당황 등</t>
  </si>
  <si>
    <t>20장 이상</t>
  </si>
  <si>
    <t>우승 트로피</t>
  </si>
  <si>
    <t>우승 메달</t>
  </si>
  <si>
    <t>(간식/논비건) 닥터유 에너지바 468g*17개*3set (총 204개)</t>
  </si>
  <si>
    <t>https://www.coupang.com/vp/products/7673161101?itemId=24413510888&amp;vendorItemId=87875617274&amp;pickType=COU_PICK&amp;q=%EC%97%90%EB%84%88%EC%A7%80%EB%B0%94&amp;searchId=f1b9a167102846&amp;sourceType=search&amp;itemsCount=36&amp;searchRank=3&amp;rank=3&amp;traceId=mfe3bg0v</t>
  </si>
  <si>
    <t>(간식) 피크닉 제로 사과 200ml*72개 (총 216개)</t>
  </si>
  <si>
    <t>https://www.coupang.com/vp/products/8174361304?itemId=23357891959&amp;vendorItemId=90388433128&amp;q=%ED%94%BC%ED%81%AC%EB%8B%89+150&amp;searchId=1e979de82931692&amp;sourceType=search&amp;itemsCount=60&amp;searchRank=3&amp;rank=3&amp;traceId=mt2ktzn0</t>
  </si>
  <si>
    <t>미니게임 상품</t>
  </si>
  <si>
    <t>필름카메라 - 뽑기 1등</t>
  </si>
  <si>
    <t>https://www.coupang.com/vp/products/1229026000?itemId=2615169514&amp;vendorItemId=70219517467&amp;sourceType=srp_product_ads&amp;clickEventId=4d1c75f0-9fd4-11f1-968e-040cd98f927a&amp;korePlacement=15&amp;koreSubPlacement=1&amp;clickEventId=4d1c75f0-9fd4-11f1-968e-040cd98f927a&amp;korePlacement=15&amp;koreSubPlacement=1&amp;traceId=mt7f4w9f</t>
  </si>
  <si>
    <t xml:space="preserve">청자 컵받침 2개 set - 뽑기 2등 </t>
  </si>
  <si>
    <t>https://www.coupang.com/vp/products/9015327019?itemId=26386783090&amp;vendorItemId=93363171718&amp;src=1191000&amp;spec=10999999&amp;addtag=400&amp;ctag=9015327019&amp;lptag=CFM26106227&amp;itime=20260825190527&amp;pageType=PRODUCT&amp;pageValue=9015327019&amp;wPcid=17710817385244215922503&amp;wRef=www.google.com&amp;wTime=20260825190527&amp;redirect=landing&amp;abTestInfo=&amp;mcid=4d174f5ae4a941d68e5aab18c8029e0d&amp;sharesource=sharebutton&amp;style=&amp;isshortened=Y&amp;settlement=N</t>
  </si>
  <si>
    <t>한복 노리개 5개 set - 뽑기 3등</t>
  </si>
  <si>
    <t>https://www.coupang.com/vp/products/9126824833?itemId=26850949885&amp;vendorItemId=93820771518&amp;src=1191000&amp;spec=10999999&amp;addtag=400&amp;ctag=9126824833&amp;lptag=CFM26106227&amp;itime=20260825191218&amp;pageType=PRODUCT&amp;pageValue=9126824833&amp;wPcid=17710817385244215922503&amp;wRef=www.google.com&amp;wTime=20260825191218&amp;redirect=landing&amp;abTestInfo=&amp;mcid=e0e8f3045cea43b791325c066df94733&amp;sharesource=sharebutton&amp;style=&amp;isshortened=Y&amp;settlement=N</t>
  </si>
  <si>
    <t>서울여행엽서 40개 set - 뽑기 4등</t>
  </si>
  <si>
    <t>https://www.coupang.com/vp/products/8533344634?itemId=24701246961&amp;vendorItemId=91710894449&amp;src=1191000&amp;spec=10999999&amp;addtag=400&amp;ctag=8533344634&amp;lptag=CFM26106227&amp;itime=20260825190835&amp;pageType=PRODUCT&amp;pageValue=8533344634&amp;wPcid=17710817385244215922503&amp;wRef=www.google.com&amp;wTime=20260825190835&amp;redirect=landing&amp;abTestInfo=&amp;mcid=23b8afa5e20d4c3c873de9794f88a4d2&amp;sharesource=sharebutton&amp;style=&amp;isshortened=Y&amp;settlement=N</t>
  </si>
  <si>
    <t>한입꼬마약과 1kg (100개) - 뽑기 5등</t>
  </si>
  <si>
    <t>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</t>
  </si>
  <si>
    <t>게임 물품</t>
  </si>
  <si>
    <t>우승 메달 30개 set</t>
  </si>
  <si>
    <t>https://www.coupang.com/vp/products/8420848374?itemId=24356105256&amp;vendorItemId=91371489503&amp;q=%EA%B8%88%EB%A9%94%EB%8B%AC+30%EA%B0%9C&amp;searchId=f6e0d804196193&amp;sourceType=search&amp;itemsCount=60&amp;searchRank=0&amp;rank=0&amp;traceId=mt7e5biz</t>
  </si>
  <si>
    <t>부채 2개 set - 우승 상품</t>
  </si>
  <si>
    <t>https://www.coupang.com/vp/products/7318043254?itemId=27744620578&amp;vendorItemId=94705631183&amp;pickType=COU_PICK&amp;q=%EB%B6%80%EC%B1%84&amp;searchId=3fdd492d563136&amp;sourceType=search&amp;itemsCount=60&amp;searchRank=7&amp;rank=7&amp;traceId=mt80cdlv</t>
  </si>
  <si>
    <t>바톤*4개 (총 4개)</t>
  </si>
  <si>
    <t>https://www.coupang.com/vp/products/6936006396?itemId=16802797702&amp;vendorItemId=83983273143&amp;sourceType=srp_product_ads&amp;clickEventId=ed1621b0-9e57-11f1-b611-3c753723965f&amp;korePlacement=15&amp;koreSubPlacement=5&amp;clickEventId=ed1621b0-9e57-11f1-b611-3c753723965f&amp;korePlacement=15&amp;koreSubPlacement=5&amp;traceId=mt4pvptm</t>
  </si>
  <si>
    <t>인사이드아웃 5 캐릭터 가면 set</t>
  </si>
  <si>
    <t>https://www.coupang.com/vp/products/9614560538?itemId=28707151781&amp;vendorItemId=95648074349&amp;q=%EC%9D%B8%EC%82%AC%EC%9D%B4%EB%93%9C%EC%95%84%EC%9B%83+%EA%B0%80%EB%A9%B4&amp;searchId=fd2d6d5d11755075&amp;sourceType=search&amp;itemsCount=60&amp;searchRank=3&amp;rank=3&amp;traceId=mt7finpa</t>
  </si>
  <si>
    <t>미니 컬링 세트</t>
  </si>
  <si>
    <t>https://www.coupang.com/vp/products/9230577959?itemId=27285407279&amp;vendorItemId=94252048327&amp;sourceType=srp_product_ads&amp;clickEventId=9ad564d0-9fd6-11f1-ad9f-66b6aa976343&amp;korePlacement=15&amp;koreSubPlacement=1&amp;clickEventId=9ad564d0-9fd6-11f1-ad9f-66b6aa976343&amp;korePlacement=15&amp;koreSubPlacement=1</t>
  </si>
  <si>
    <t>점수판</t>
  </si>
  <si>
    <t>https://www.coupang.com/vp/products/115671004?itemId=346560737&amp;vendorItemId=70122412019&amp;pickType=COU_PICK&amp;q=%EC%A0%90%EC%88%98%ED%8C%90&amp;searchId=af26dc3220638601&amp;sourceType=search&amp;itemsCount=60&amp;searchRank=2&amp;rank=2&amp;traceId=mt7fvigl</t>
  </si>
  <si>
    <t>게임연구소 대여(배송비 착불)</t>
  </si>
  <si>
    <t xml:space="preserve">  아이스박스</t>
  </si>
  <si>
    <t>https://gamerental.kr/product/detail.html?product_no=78&amp;cate_no=28</t>
  </si>
  <si>
    <t>국제처 대여</t>
  </si>
  <si>
    <t xml:space="preserve">  접시콘 40개</t>
  </si>
  <si>
    <t>https://gamerental.kr/product/detail.html?product_no=202&amp;cate_no=25</t>
  </si>
  <si>
    <t xml:space="preserve">  의자</t>
  </si>
  <si>
    <t xml:space="preserve">  테이블</t>
  </si>
  <si>
    <t xml:space="preserve">  스피커</t>
  </si>
  <si>
    <t xml:space="preserve">  마이크</t>
  </si>
  <si>
    <t xml:space="preserve">  천막</t>
  </si>
  <si>
    <t>총 지출 금액</t>
  </si>
  <si>
    <t>행사 수입(예상) 15,000원*170명</t>
  </si>
  <si>
    <t>국제처 지원 금액</t>
  </si>
  <si>
    <t>하이클럽 점심 (47*5,200=244,400원), 단체티((47+170))*10,000=2,170,000원)</t>
  </si>
  <si>
    <t>계</t>
  </si>
  <si>
    <t>티셔츠 가격</t>
  </si>
  <si>
    <t>지원</t>
  </si>
  <si>
    <t>티켓비</t>
  </si>
  <si>
    <t>수익</t>
  </si>
  <si>
    <t>지출</t>
  </si>
  <si>
    <t>잔액</t>
  </si>
  <si>
    <t>티셔츠 미지원 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</si>
</sst>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₩&quot;#,##0"/>
    <numFmt numFmtId="165" formatCode="[$₩-412]#,##0"/>
  </numFmts>
  <fonts count="10">
    <font>
      <sz val="10.0"/>
      <color rgb="FF000000"/>
      <name val="Arial"/>
      <scheme val="minor"/>
    </font>
    <font>
      <sz val="17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4" fillId="0" fontId="3" numFmtId="0" xfId="0" applyAlignment="1" applyBorder="1" applyFont="1">
      <alignment horizontal="center" readingOrder="0"/>
    </xf>
    <xf borderId="11" fillId="2" fontId="3" numFmtId="0" xfId="0" applyAlignment="1" applyBorder="1" applyFill="1" applyFont="1">
      <alignment horizontal="center" readingOrder="0"/>
    </xf>
    <xf borderId="8" fillId="2" fontId="3" numFmtId="0" xfId="0" applyAlignment="1" applyBorder="1" applyFill="1" applyFont="1">
      <alignment horizontal="center" readingOrder="0"/>
    </xf>
    <xf borderId="1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1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horizontal="left" readingOrder="0"/>
    </xf>
    <xf borderId="12" fillId="0" fontId="3" numFmtId="164" xfId="0" applyAlignment="1" applyBorder="1" applyFont="1" applyNumberFormat="1">
      <alignment readingOrder="0"/>
    </xf>
    <xf borderId="11" fillId="3" fontId="3" numFmtId="0" xfId="0" applyAlignment="1" applyBorder="1" applyFill="1" applyFont="1">
      <alignment readingOrder="0"/>
    </xf>
    <xf borderId="1" fillId="0" fontId="3" numFmtId="0" xfId="0" applyBorder="1" applyFont="1"/>
    <xf borderId="1" fillId="3" fontId="3" numFmtId="165" xfId="0" applyAlignment="1" applyBorder="1" applyFill="1" applyFont="1" applyNumberFormat="1">
      <alignment readingOrder="0"/>
    </xf>
    <xf borderId="12" fillId="0" fontId="3" numFmtId="0" xfId="0" applyAlignment="1" applyBorder="1" applyFont="1">
      <alignment readingOrder="0"/>
    </xf>
    <xf borderId="11" fillId="3" fontId="3" numFmtId="165" xfId="0" applyAlignment="1" applyBorder="1" applyFill="1" applyFont="1" applyNumberFormat="1">
      <alignment readingOrder="0"/>
    </xf>
    <xf borderId="13" fillId="0" fontId="3" numFmtId="0" xfId="0" applyBorder="1" applyFont="1"/>
    <xf borderId="14" fillId="0" fontId="2" numFmtId="0" xfId="0" applyBorder="1" applyFont="1"/>
    <xf borderId="3" fillId="3" fontId="3" numFmtId="0" xfId="0" applyAlignment="1" applyBorder="1" applyFill="1" applyFont="1">
      <alignment readingOrder="0"/>
    </xf>
    <xf borderId="0" fillId="0" fontId="4" numFmtId="0" xfId="0" applyAlignment="1" applyFont="1">
      <alignment horizontal="center" readingOrder="0"/>
    </xf>
    <xf borderId="1" fillId="3" fontId="3" numFmtId="0" xfId="0" applyAlignment="1" applyBorder="1" applyFill="1" applyFont="1">
      <alignment readingOrder="0"/>
    </xf>
    <xf borderId="12" fillId="0" fontId="3" numFmtId="0" xfId="0" applyBorder="1" applyFont="1"/>
    <xf borderId="0" fillId="3" fontId="3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readingOrder="0" vertical="center"/>
    </xf>
    <xf borderId="13" fillId="0" fontId="3" numFmtId="165" xfId="0" applyAlignment="1" applyBorder="1" applyFont="1" applyNumberFormat="1">
      <alignment readingOrder="0"/>
    </xf>
    <xf borderId="12" fillId="0" fontId="3" numFmtId="165" xfId="0" applyAlignment="1" applyBorder="1" applyFont="1" applyNumberFormat="1">
      <alignment readingOrder="0"/>
    </xf>
    <xf borderId="14" fillId="0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12" fillId="3" fontId="3" numFmtId="0" xfId="0" applyAlignment="1" applyBorder="1" applyFill="1" applyFont="1">
      <alignment readingOrder="0"/>
    </xf>
    <xf borderId="13" fillId="3" fontId="3" numFmtId="165" xfId="0" applyAlignment="1" applyBorder="1" applyFill="1" applyFont="1" applyNumberFormat="1">
      <alignment readingOrder="0"/>
    </xf>
    <xf borderId="12" fillId="3" fontId="3" numFmtId="165" xfId="0" applyAlignment="1" applyBorder="1" applyFill="1" applyFont="1" applyNumberFormat="1">
      <alignment readingOrder="0"/>
    </xf>
    <xf borderId="14" fillId="3" fontId="3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3" numFmtId="0" xfId="0" applyAlignment="1" applyFont="1">
      <alignment horizontal="left" readingOrder="0" vertical="center"/>
    </xf>
    <xf borderId="1" fillId="3" fontId="6" numFmtId="0" xfId="0" applyAlignment="1" applyBorder="1" applyFill="1" applyFont="1">
      <alignment readingOrder="0"/>
    </xf>
    <xf borderId="0" fillId="0" fontId="3" numFmtId="0" xfId="0" applyAlignment="1" applyFont="1">
      <alignment horizontal="center" shrinkToFit="0" vertical="center" wrapText="1"/>
    </xf>
    <xf borderId="13" fillId="0" fontId="7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3" fillId="0" fontId="8" numFmtId="0" xfId="0" applyAlignment="1" applyBorder="1" applyFont="1">
      <alignment readingOrder="0"/>
    </xf>
    <xf borderId="15" fillId="0" fontId="3" numFmtId="0" xfId="0" applyBorder="1" applyFont="1"/>
    <xf borderId="5" fillId="0" fontId="3" numFmtId="0" xfId="0" applyBorder="1" applyFont="1"/>
    <xf borderId="14" fillId="0" fontId="9" numFmtId="0" xfId="0" applyAlignment="1" applyBorder="1" applyFont="1">
      <alignment readingOrder="0" vertical="bottom"/>
    </xf>
    <xf borderId="12" fillId="0" fontId="9" numFmtId="0" xfId="0" applyAlignment="1" applyBorder="1" applyFont="1">
      <alignment readingOrder="0" vertical="bottom"/>
    </xf>
    <xf borderId="13" fillId="0" fontId="9" numFmtId="165" xfId="0" applyAlignment="1" applyBorder="1" applyFont="1" applyNumberFormat="1">
      <alignment readingOrder="0" vertical="bottom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4" fillId="0" fontId="3" numFmtId="0" xfId="0" applyBorder="1" applyFont="1"/>
    <xf borderId="13" fillId="0" fontId="3" numFmtId="165" xfId="0" applyBorder="1" applyFont="1" applyNumberFormat="1"/>
    <xf borderId="12" fillId="3" fontId="3" numFmtId="0" xfId="0" applyBorder="1" applyFill="1" applyFont="1"/>
    <xf borderId="13" fillId="3" fontId="3" numFmtId="165" xfId="0" applyBorder="1" applyFill="1" applyFont="1" applyNumberFormat="1"/>
    <xf borderId="14" fillId="3" fontId="3" numFmtId="0" xfId="0" applyBorder="1" applyFill="1" applyFont="1"/>
    <xf borderId="13" fillId="3" fontId="3" numFmtId="0" xfId="0" applyBorder="1" applyFill="1" applyFont="1"/>
    <xf borderId="12" fillId="3" fontId="3" numFmtId="165" xfId="0" applyBorder="1" applyFill="1" applyFont="1" applyNumberFormat="1"/>
    <xf borderId="12" fillId="0" fontId="3" numFmtId="165" xfId="0" applyBorder="1" applyFont="1" applyNumberFormat="1"/>
    <xf borderId="15" fillId="0" fontId="3" numFmtId="0" xfId="0" applyAlignment="1" applyBorder="1" applyFont="1">
      <alignment readingOrder="0"/>
    </xf>
    <xf borderId="15" fillId="0" fontId="3" numFmtId="165" xfId="0" applyBorder="1" applyFont="1" applyNumberFormat="1"/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/>
    </xf>
    <xf borderId="0" fillId="0" fontId="3" numFmtId="165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amerental.kr/product/detail.html?product_no=78&amp;cate_no=28" TargetMode="External"/><Relationship Id="rId11" Type="http://schemas.openxmlformats.org/officeDocument/2006/relationships/hyperlink" Target="https://www.coupang.com/vp/products/9126824833?itemId=26850949885&amp;vendorItemId=93820771518&amp;src=1191000&amp;spec=10999999&amp;addtag=400&amp;ctag=9126824833&amp;lptag=CFM26106227&amp;itime=20260825191218&amp;pageType=PRODUCT&amp;pageValue=9126824833&amp;wPcid=17710817385244215922503&amp;wRef=www.google.com&amp;wTime=20260825191218&amp;redirect=landing&amp;abTestInfo=&amp;mcid=e0e8f3045cea43b791325c066df94733&amp;sharesource=sharebutton&amp;style=&amp;isshortened=Y&amp;settlement=N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coupang.com/vp/products/9015327019?itemId=26386783090&amp;vendorItemId=93363171718&amp;src=1191000&amp;spec=10999999&amp;addtag=400&amp;ctag=9015327019&amp;lptag=CFM26106227&amp;itime=20260825190527&amp;pageType=PRODUCT&amp;pageValue=9015327019&amp;wPcid=17710817385244215922503&amp;wRef=www.google.com&amp;wTime=20260825190527&amp;redirect=landing&amp;abTestInfo=&amp;mcid=4d174f5ae4a941d68e5aab18c8029e0d&amp;sharesource=sharebutton&amp;style=&amp;isshortened=Y&amp;settlement=N" TargetMode="External"/><Relationship Id="rId21" Type="http://schemas.openxmlformats.org/officeDocument/2006/relationships/hyperlink" Target="https://gamerental.kr/product/detail.html?product_no=202&amp;cate_no=25" TargetMode="External"/><Relationship Id="rId13" Type="http://schemas.openxmlformats.org/officeDocument/2006/relationships/hyperlink" Target="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" TargetMode="External"/><Relationship Id="rId12" Type="http://schemas.openxmlformats.org/officeDocument/2006/relationships/hyperlink" Target="https://www.coupang.com/vp/products/8533344634?itemId=24701246961&amp;vendorItemId=91710894449&amp;src=1191000&amp;spec=10999999&amp;addtag=400&amp;ctag=8533344634&amp;lptag=CFM26106227&amp;itime=20260825190835&amp;pageType=PRODUCT&amp;pageValue=8533344634&amp;wPcid=17710817385244215922503&amp;wRef=www.google.com&amp;wTime=20260825190835&amp;redirect=landing&amp;abTestInfo=&amp;mcid=23b8afa5e20d4c3c873de9794f88a4d2&amp;sharesource=sharebutton&amp;style=&amp;isshortened=Y&amp;settlement=N" TargetMode="External"/><Relationship Id="rId1" Type="http://schemas.openxmlformats.org/officeDocument/2006/relationships/hyperlink" Target="https://www.dantee.co.kr/estimate/estimate_register.php?mode=update&amp;estimateNo=2608170901037278&amp;pwtoken=668a2ae597a601d877a24840626bb6e7" TargetMode="External"/><Relationship Id="rId2" Type="http://schemas.openxmlformats.org/officeDocument/2006/relationships/hyperlink" Target="https://www.dantee.co.kr/estimate/estimate_register.php?mode=update&amp;estimateNo=2608170901037278&amp;pwtoken=668a2ae597a601d877a24840626bb6e7" TargetMode="External"/><Relationship Id="rId3" Type="http://schemas.openxmlformats.org/officeDocument/2006/relationships/hyperlink" Target="https://www.coupang.com/vp/products/5625704601?itemId=19013170090&amp;vendorItemId=86137790576&amp;q=%EB%AC%BC+500ml&amp;searchId=0382ea52557456&amp;sourceType=search&amp;itemsCount=60&amp;searchRank=3&amp;rank=3&amp;traceId=mt2eofot" TargetMode="External"/><Relationship Id="rId4" Type="http://schemas.openxmlformats.org/officeDocument/2006/relationships/hyperlink" Target="https://www.coupang.com/vp/products/1650278?itemId=28712633479&amp;vendorItemId=95653362582&amp;q=%EA%B2%8C%ED%86%A0%EB%A0%9D&amp;searchId=2395745a1367533&amp;sourceType=search&amp;itemsCount=60&amp;searchRank=8&amp;rank=8&amp;traceId=mt2f5sxp" TargetMode="External"/><Relationship Id="rId9" Type="http://schemas.openxmlformats.org/officeDocument/2006/relationships/hyperlink" Target="https://www.coupang.com/vp/products/1229026000?itemId=2615169514&amp;vendorItemId=70219517467&amp;sourceType=srp_product_ads&amp;clickEventId=4d1c75f0-9fd4-11f1-968e-040cd98f927a&amp;korePlacement=15&amp;koreSubPlacement=1&amp;clickEventId=4d1c75f0-9fd4-11f1-968e-040cd98f927a&amp;korePlacement=15&amp;koreSubPlacement=1&amp;traceId=mt7f4w9f" TargetMode="External"/><Relationship Id="rId15" Type="http://schemas.openxmlformats.org/officeDocument/2006/relationships/hyperlink" Target="https://www.coupang.com/vp/products/7318043254?itemId=27744620578&amp;vendorItemId=94705631183&amp;pickType=COU_PICK&amp;q=%EB%B6%80%EC%B1%84&amp;searchId=3fdd492d563136&amp;sourceType=search&amp;itemsCount=60&amp;searchRank=7&amp;rank=7&amp;traceId=mt80cdlv" TargetMode="External"/><Relationship Id="rId14" Type="http://schemas.openxmlformats.org/officeDocument/2006/relationships/hyperlink" Target="https://www.coupang.com/vp/products/8420848374?itemId=24356105256&amp;vendorItemId=91371489503&amp;q=%EA%B8%88%EB%A9%94%EB%8B%AC+30%EA%B0%9C&amp;searchId=f6e0d804196193&amp;sourceType=search&amp;itemsCount=60&amp;searchRank=0&amp;rank=0&amp;traceId=mt7e5biz" TargetMode="External"/><Relationship Id="rId17" Type="http://schemas.openxmlformats.org/officeDocument/2006/relationships/hyperlink" Target="https://www.coupang.com/vp/products/9614560538?itemId=28707151781&amp;vendorItemId=95648074349&amp;q=%EC%9D%B8%EC%82%AC%EC%9D%B4%EB%93%9C%EC%95%84%EC%9B%83+%EA%B0%80%EB%A9%B4&amp;searchId=fd2d6d5d11755075&amp;sourceType=search&amp;itemsCount=60&amp;searchRank=3&amp;rank=3&amp;traceId=mt7finpa" TargetMode="External"/><Relationship Id="rId16" Type="http://schemas.openxmlformats.org/officeDocument/2006/relationships/hyperlink" Target="https://www.coupang.com/vp/products/6936006396?itemId=16802797702&amp;vendorItemId=83983273143&amp;sourceType=srp_product_ads&amp;clickEventId=ed1621b0-9e57-11f1-b611-3c753723965f&amp;korePlacement=15&amp;koreSubPlacement=5&amp;clickEventId=ed1621b0-9e57-11f1-b611-3c753723965f&amp;korePlacement=15&amp;koreSubPlacement=5&amp;traceId=mt4pvptm" TargetMode="External"/><Relationship Id="rId5" Type="http://schemas.openxmlformats.org/officeDocument/2006/relationships/hyperlink" Target="https://www.coupang.com/vp/products/1650278?itemId=28712633427&amp;vendorItemId=95653362488&amp;q=%EA%B2%8C%ED%86%A0%EB%A0%9D&amp;searchId=2395745a1367533&amp;sourceType=search&amp;itemsCount=60&amp;searchRank=2&amp;rank=2&amp;traceId=mt2f100r" TargetMode="External"/><Relationship Id="rId19" Type="http://schemas.openxmlformats.org/officeDocument/2006/relationships/hyperlink" Target="https://www.coupang.com/vp/products/115671004?itemId=346560737&amp;vendorItemId=70122412019&amp;pickType=COU_PICK&amp;q=%EC%A0%90%EC%88%98%ED%8C%90&amp;searchId=af26dc3220638601&amp;sourceType=search&amp;itemsCount=60&amp;searchRank=2&amp;rank=2&amp;traceId=mt7fvigl" TargetMode="External"/><Relationship Id="rId6" Type="http://schemas.openxmlformats.org/officeDocument/2006/relationships/hyperlink" Target="https://www.coupang.com/vp/products/8532976813?itemId=24699868616&amp;vendorItemId=91805941787&amp;q=%EC%86%8C%EC%9D%B4%EC%A1%B0%EC%9D%B4+%EB%B0%94%EB%82%98%EB%82%98&amp;searchId=8750072010036413&amp;sourceType=search&amp;itemsCount=60&amp;searchRank=0&amp;rank=0&amp;traceId=mt84v2zo" TargetMode="External"/><Relationship Id="rId18" Type="http://schemas.openxmlformats.org/officeDocument/2006/relationships/hyperlink" Target="https://www.coupang.com/vp/products/9230577959?itemId=27285407279&amp;vendorItemId=94252048327&amp;sourceType=srp_product_ads&amp;clickEventId=9ad564d0-9fd6-11f1-ad9f-66b6aa976343&amp;korePlacement=15&amp;koreSubPlacement=1&amp;clickEventId=9ad564d0-9fd6-11f1-ad9f-66b6aa976343&amp;korePlacement=15&amp;koreSubPlacement=1" TargetMode="External"/><Relationship Id="rId7" Type="http://schemas.openxmlformats.org/officeDocument/2006/relationships/hyperlink" Target="https://www.coupang.com/vp/products/7673161101?itemId=24413510888&amp;vendorItemId=87875617274&amp;pickType=COU_PICK&amp;q=%EC%97%90%EB%84%88%EC%A7%80%EB%B0%94&amp;searchId=f1b9a167102846&amp;sourceType=search&amp;itemsCount=36&amp;searchRank=3&amp;rank=3&amp;traceId=mfe3bg0v" TargetMode="External"/><Relationship Id="rId8" Type="http://schemas.openxmlformats.org/officeDocument/2006/relationships/hyperlink" Target="https://www.coupang.com/vp/products/8174361304?itemId=23357891959&amp;vendorItemId=90388433128&amp;q=%ED%94%BC%ED%81%AC%EB%8B%89+150&amp;searchId=1e979de82931692&amp;sourceType=search&amp;itemsCount=60&amp;searchRank=3&amp;rank=3&amp;traceId=mt2ktzn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25"/>
    <col customWidth="1" min="8" max="8" width="46.5"/>
  </cols>
  <sheetData>
    <row r="2">
      <c r="B2" s="1" t="s">
        <v>0</v>
      </c>
      <c r="C2" s="2"/>
      <c r="D2" s="2"/>
      <c r="E2" s="3"/>
      <c r="F2" s="4" t="s">
        <v>1</v>
      </c>
      <c r="G2" s="4" t="s">
        <v>2</v>
      </c>
      <c r="H2" s="4" t="s">
        <v>3</v>
      </c>
    </row>
    <row r="3">
      <c r="B3" s="5"/>
      <c r="C3" s="6"/>
      <c r="D3" s="6"/>
      <c r="E3" s="7"/>
      <c r="F3" s="8"/>
      <c r="G3" s="8"/>
      <c r="H3" s="8"/>
    </row>
    <row r="4">
      <c r="B4" s="4" t="s">
        <v>4</v>
      </c>
      <c r="C4" s="9" t="s">
        <v>5</v>
      </c>
      <c r="D4" s="10"/>
      <c r="E4" s="11"/>
      <c r="F4" s="4" t="s">
        <v>6</v>
      </c>
      <c r="G4" s="9" t="s">
        <v>8</v>
      </c>
      <c r="H4" s="11"/>
    </row>
    <row r="5">
      <c r="B5" s="4" t="s">
        <v>9</v>
      </c>
      <c r="C5" s="12" t="s">
        <v>10</v>
      </c>
      <c r="D5" s="4" t="s">
        <v>11</v>
      </c>
      <c r="E5" s="8"/>
      <c r="F5" s="4" t="s">
        <v>12</v>
      </c>
      <c r="G5" s="9" t="s">
        <v>13</v>
      </c>
      <c r="H5" s="11"/>
    </row>
    <row r="6"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6" t="s">
        <v>19</v>
      </c>
      <c r="H6" s="3"/>
    </row>
    <row r="7">
      <c r="A7" s="18" t="s">
        <v>21</v>
      </c>
      <c r="B7" s="20" t="s">
        <v>22</v>
      </c>
      <c r="C7" s="20">
        <v>47.0</v>
      </c>
      <c r="D7" s="22">
        <v>5200.0</v>
      </c>
      <c r="E7" s="24">
        <f t="shared" ref="E7:E12" si="1">D7*C7</f>
        <v>244400</v>
      </c>
      <c r="F7" s="27" t="s">
        <v>26</v>
      </c>
      <c r="G7" s="29" t="s">
        <v>27</v>
      </c>
      <c r="H7" s="3"/>
      <c r="J7" s="31" t="s">
        <v>28</v>
      </c>
    </row>
    <row r="8">
      <c r="A8" s="32"/>
      <c r="B8" s="23" t="s">
        <v>29</v>
      </c>
      <c r="C8" s="23">
        <v>160.0</v>
      </c>
      <c r="D8" s="34">
        <v>5200.0</v>
      </c>
      <c r="E8" s="35">
        <f t="shared" si="1"/>
        <v>832000</v>
      </c>
      <c r="F8" s="36" t="s">
        <v>23</v>
      </c>
      <c r="G8" s="37" t="s">
        <v>27</v>
      </c>
      <c r="H8" s="26"/>
    </row>
    <row r="9">
      <c r="A9" s="32"/>
      <c r="B9" s="23" t="s">
        <v>24</v>
      </c>
      <c r="C9" s="23">
        <v>10.0</v>
      </c>
      <c r="D9" s="34">
        <v>5200.0</v>
      </c>
      <c r="E9" s="35">
        <f t="shared" si="1"/>
        <v>52000</v>
      </c>
      <c r="F9" s="36" t="s">
        <v>25</v>
      </c>
      <c r="G9" s="37" t="s">
        <v>35</v>
      </c>
      <c r="H9" s="26"/>
    </row>
    <row r="10">
      <c r="A10" s="18" t="s">
        <v>37</v>
      </c>
      <c r="B10" s="39" t="s">
        <v>39</v>
      </c>
      <c r="C10" s="39">
        <v>47.0</v>
      </c>
      <c r="D10" s="40">
        <v>15200.0</v>
      </c>
      <c r="E10" s="41">
        <f t="shared" si="1"/>
        <v>714400</v>
      </c>
      <c r="F10" s="42" t="s">
        <v>44</v>
      </c>
      <c r="G10" s="43" t="s">
        <v>46</v>
      </c>
      <c r="H10" s="3"/>
    </row>
    <row r="11">
      <c r="A11" s="44"/>
      <c r="B11" s="39" t="s">
        <v>54</v>
      </c>
      <c r="C11" s="39">
        <v>170.0</v>
      </c>
      <c r="D11" s="40">
        <v>15200.0</v>
      </c>
      <c r="E11" s="41">
        <f t="shared" si="1"/>
        <v>2584000</v>
      </c>
      <c r="F11" s="42" t="s">
        <v>44</v>
      </c>
      <c r="G11" s="45" t="s">
        <v>46</v>
      </c>
      <c r="H11" s="3"/>
    </row>
    <row r="12">
      <c r="A12" s="44" t="s">
        <v>58</v>
      </c>
      <c r="B12" s="23" t="s">
        <v>59</v>
      </c>
      <c r="C12" s="23">
        <v>2.0</v>
      </c>
      <c r="D12" s="34">
        <v>37490.0</v>
      </c>
      <c r="E12" s="35">
        <f t="shared" si="1"/>
        <v>74980</v>
      </c>
      <c r="F12" s="36" t="s">
        <v>62</v>
      </c>
      <c r="G12" s="47" t="s">
        <v>63</v>
      </c>
      <c r="H12" s="26"/>
    </row>
    <row r="13">
      <c r="A13" s="44"/>
      <c r="B13" s="23" t="s">
        <v>71</v>
      </c>
      <c r="C13" s="23">
        <v>1.0</v>
      </c>
      <c r="D13" s="34">
        <v>75700.0</v>
      </c>
      <c r="E13" s="35">
        <v>75700.0</v>
      </c>
      <c r="F13" s="36" t="s">
        <v>62</v>
      </c>
      <c r="G13" s="47" t="s">
        <v>74</v>
      </c>
      <c r="H13" s="26"/>
    </row>
    <row r="14">
      <c r="A14" s="44"/>
      <c r="B14" s="23" t="s">
        <v>80</v>
      </c>
      <c r="C14" s="23">
        <v>2.0</v>
      </c>
      <c r="D14" s="34">
        <v>30280.0</v>
      </c>
      <c r="E14" s="35">
        <f t="shared" ref="E14:E28" si="2">D14*C14</f>
        <v>60560</v>
      </c>
      <c r="F14" s="36" t="s">
        <v>62</v>
      </c>
      <c r="G14" s="47" t="s">
        <v>86</v>
      </c>
      <c r="H14" s="26"/>
    </row>
    <row r="15">
      <c r="A15" s="44" t="s">
        <v>90</v>
      </c>
      <c r="B15" s="23" t="s">
        <v>91</v>
      </c>
      <c r="C15" s="23">
        <v>1.0</v>
      </c>
      <c r="D15" s="34">
        <v>17100.0</v>
      </c>
      <c r="E15" s="35">
        <f t="shared" si="2"/>
        <v>17100</v>
      </c>
      <c r="F15" s="36" t="s">
        <v>62</v>
      </c>
      <c r="G15" s="49" t="s">
        <v>93</v>
      </c>
      <c r="H15" s="26"/>
    </row>
    <row r="16">
      <c r="A16" s="44"/>
      <c r="B16" s="23" t="s">
        <v>98</v>
      </c>
      <c r="C16" s="23">
        <v>4.0</v>
      </c>
      <c r="D16" s="34">
        <v>35760.0</v>
      </c>
      <c r="E16" s="35">
        <f t="shared" si="2"/>
        <v>143040</v>
      </c>
      <c r="F16" s="36" t="s">
        <v>62</v>
      </c>
      <c r="G16" s="49" t="s">
        <v>99</v>
      </c>
      <c r="H16" s="26"/>
    </row>
    <row r="17">
      <c r="A17" s="44"/>
      <c r="B17" s="23" t="s">
        <v>100</v>
      </c>
      <c r="C17" s="23">
        <v>3.0</v>
      </c>
      <c r="D17" s="34">
        <v>28350.0</v>
      </c>
      <c r="E17" s="35">
        <f t="shared" si="2"/>
        <v>85050</v>
      </c>
      <c r="F17" s="36" t="s">
        <v>62</v>
      </c>
      <c r="G17" s="49" t="s">
        <v>101</v>
      </c>
      <c r="H17" s="26"/>
    </row>
    <row r="18">
      <c r="A18" s="44" t="s">
        <v>102</v>
      </c>
      <c r="B18" s="23" t="s">
        <v>103</v>
      </c>
      <c r="C18" s="23">
        <v>1.0</v>
      </c>
      <c r="D18" s="34">
        <v>26200.0</v>
      </c>
      <c r="E18" s="35">
        <f t="shared" si="2"/>
        <v>26200</v>
      </c>
      <c r="F18" s="36" t="s">
        <v>62</v>
      </c>
      <c r="G18" s="47" t="s">
        <v>104</v>
      </c>
      <c r="H18" s="26"/>
    </row>
    <row r="19">
      <c r="A19" s="44"/>
      <c r="B19" s="23" t="s">
        <v>105</v>
      </c>
      <c r="C19" s="23">
        <v>3.0</v>
      </c>
      <c r="D19" s="34">
        <v>9000.0</v>
      </c>
      <c r="E19" s="35">
        <f t="shared" si="2"/>
        <v>27000</v>
      </c>
      <c r="F19" s="36" t="s">
        <v>62</v>
      </c>
      <c r="G19" s="49" t="s">
        <v>106</v>
      </c>
      <c r="H19" s="26"/>
    </row>
    <row r="20">
      <c r="A20" s="44"/>
      <c r="B20" s="23" t="s">
        <v>107</v>
      </c>
      <c r="C20" s="23">
        <v>1.0</v>
      </c>
      <c r="D20" s="34">
        <v>5900.0</v>
      </c>
      <c r="E20" s="35">
        <f t="shared" si="2"/>
        <v>5900</v>
      </c>
      <c r="F20" s="36" t="s">
        <v>62</v>
      </c>
      <c r="G20" s="47" t="s">
        <v>108</v>
      </c>
      <c r="H20" s="26"/>
    </row>
    <row r="21">
      <c r="A21" s="44"/>
      <c r="B21" s="23" t="s">
        <v>109</v>
      </c>
      <c r="C21" s="23">
        <v>1.0</v>
      </c>
      <c r="D21" s="34">
        <v>9820.0</v>
      </c>
      <c r="E21" s="35">
        <f t="shared" si="2"/>
        <v>9820</v>
      </c>
      <c r="F21" s="52" t="s">
        <v>62</v>
      </c>
      <c r="G21" s="49" t="s">
        <v>110</v>
      </c>
      <c r="H21" s="26"/>
    </row>
    <row r="22">
      <c r="A22" s="44"/>
      <c r="B22" s="53" t="s">
        <v>111</v>
      </c>
      <c r="C22" s="53">
        <v>1.0</v>
      </c>
      <c r="D22" s="54">
        <v>11900.0</v>
      </c>
      <c r="E22" s="35">
        <f t="shared" si="2"/>
        <v>11900</v>
      </c>
      <c r="F22" s="52" t="s">
        <v>62</v>
      </c>
      <c r="G22" s="49" t="s">
        <v>112</v>
      </c>
      <c r="H22" s="26"/>
    </row>
    <row r="23">
      <c r="A23" s="44" t="s">
        <v>113</v>
      </c>
      <c r="B23" s="23" t="s">
        <v>114</v>
      </c>
      <c r="C23" s="23">
        <v>1.0</v>
      </c>
      <c r="D23" s="34">
        <v>21000.0</v>
      </c>
      <c r="E23" s="35">
        <f t="shared" si="2"/>
        <v>21000</v>
      </c>
      <c r="F23" s="36" t="s">
        <v>62</v>
      </c>
      <c r="G23" s="49" t="s">
        <v>115</v>
      </c>
      <c r="H23" s="26"/>
    </row>
    <row r="24">
      <c r="A24" s="44"/>
      <c r="B24" s="23" t="s">
        <v>116</v>
      </c>
      <c r="C24" s="23">
        <v>13.0</v>
      </c>
      <c r="D24" s="34">
        <v>7600.0</v>
      </c>
      <c r="E24" s="35">
        <f t="shared" si="2"/>
        <v>98800</v>
      </c>
      <c r="F24" s="36" t="s">
        <v>62</v>
      </c>
      <c r="G24" s="49" t="s">
        <v>117</v>
      </c>
      <c r="H24" s="26"/>
    </row>
    <row r="25">
      <c r="A25" s="55"/>
      <c r="B25" s="23" t="s">
        <v>118</v>
      </c>
      <c r="C25" s="23">
        <v>1.0</v>
      </c>
      <c r="D25" s="34">
        <v>3100.0</v>
      </c>
      <c r="E25" s="35">
        <f t="shared" si="2"/>
        <v>3100</v>
      </c>
      <c r="F25" s="36" t="s">
        <v>62</v>
      </c>
      <c r="G25" s="49" t="s">
        <v>119</v>
      </c>
      <c r="H25" s="26"/>
    </row>
    <row r="26">
      <c r="A26" s="56"/>
      <c r="B26" s="23" t="s">
        <v>120</v>
      </c>
      <c r="C26" s="23">
        <v>1.0</v>
      </c>
      <c r="D26" s="34">
        <v>9900.0</v>
      </c>
      <c r="E26" s="35">
        <f t="shared" si="2"/>
        <v>9900</v>
      </c>
      <c r="F26" s="36" t="s">
        <v>62</v>
      </c>
      <c r="G26" s="49" t="s">
        <v>121</v>
      </c>
      <c r="H26" s="26"/>
    </row>
    <row r="27">
      <c r="A27" s="56"/>
      <c r="B27" s="23" t="s">
        <v>122</v>
      </c>
      <c r="C27" s="23">
        <v>1.0</v>
      </c>
      <c r="D27" s="34">
        <v>14200.0</v>
      </c>
      <c r="E27" s="35">
        <f t="shared" si="2"/>
        <v>14200</v>
      </c>
      <c r="F27" s="36" t="s">
        <v>62</v>
      </c>
      <c r="G27" s="49" t="s">
        <v>123</v>
      </c>
      <c r="H27" s="26"/>
    </row>
    <row r="28">
      <c r="A28" s="56"/>
      <c r="B28" s="23" t="s">
        <v>124</v>
      </c>
      <c r="C28" s="23">
        <v>1.0</v>
      </c>
      <c r="D28" s="34">
        <v>10430.0</v>
      </c>
      <c r="E28" s="35">
        <f t="shared" si="2"/>
        <v>10430</v>
      </c>
      <c r="F28" s="57"/>
      <c r="G28" s="49" t="s">
        <v>125</v>
      </c>
      <c r="H28" s="26"/>
    </row>
    <row r="29">
      <c r="A29" s="56"/>
      <c r="B29" s="23" t="s">
        <v>126</v>
      </c>
      <c r="C29" s="30"/>
      <c r="D29" s="58"/>
      <c r="E29" s="35"/>
      <c r="F29" s="36"/>
      <c r="G29" s="25"/>
      <c r="H29" s="26"/>
    </row>
    <row r="30">
      <c r="A30" s="56"/>
      <c r="B30" s="23" t="s">
        <v>127</v>
      </c>
      <c r="C30" s="23">
        <v>4.0</v>
      </c>
      <c r="D30" s="34">
        <v>12000.0</v>
      </c>
      <c r="E30" s="35">
        <f t="shared" ref="E30:E37" si="3">D30*C30</f>
        <v>48000</v>
      </c>
      <c r="F30" s="36" t="s">
        <v>33</v>
      </c>
      <c r="G30" s="49" t="s">
        <v>128</v>
      </c>
      <c r="H30" s="26"/>
    </row>
    <row r="31">
      <c r="A31" s="55" t="s">
        <v>129</v>
      </c>
      <c r="B31" s="23" t="s">
        <v>130</v>
      </c>
      <c r="C31" s="23">
        <v>1.0</v>
      </c>
      <c r="D31" s="34">
        <v>5000.0</v>
      </c>
      <c r="E31" s="35">
        <f t="shared" si="3"/>
        <v>5000</v>
      </c>
      <c r="F31" s="36" t="s">
        <v>33</v>
      </c>
      <c r="G31" s="49" t="s">
        <v>131</v>
      </c>
      <c r="H31" s="26"/>
    </row>
    <row r="32">
      <c r="A32" s="56"/>
      <c r="B32" s="39" t="s">
        <v>129</v>
      </c>
      <c r="C32" s="59"/>
      <c r="D32" s="60"/>
      <c r="E32" s="41">
        <f t="shared" si="3"/>
        <v>0</v>
      </c>
      <c r="F32" s="61"/>
      <c r="G32" s="62"/>
      <c r="H32" s="26"/>
    </row>
    <row r="33">
      <c r="A33" s="56"/>
      <c r="B33" s="39" t="s">
        <v>132</v>
      </c>
      <c r="C33" s="59"/>
      <c r="D33" s="63"/>
      <c r="E33" s="41">
        <f t="shared" si="3"/>
        <v>0</v>
      </c>
      <c r="F33" s="59"/>
      <c r="G33" s="62"/>
      <c r="H33" s="26"/>
    </row>
    <row r="34">
      <c r="A34" s="56"/>
      <c r="B34" s="39" t="s">
        <v>133</v>
      </c>
      <c r="C34" s="59"/>
      <c r="D34" s="63"/>
      <c r="E34" s="41">
        <f t="shared" si="3"/>
        <v>0</v>
      </c>
      <c r="F34" s="59"/>
      <c r="G34" s="62"/>
      <c r="H34" s="26"/>
    </row>
    <row r="35">
      <c r="A35" s="56"/>
      <c r="B35" s="39" t="s">
        <v>134</v>
      </c>
      <c r="C35" s="59"/>
      <c r="D35" s="63"/>
      <c r="E35" s="41">
        <f t="shared" si="3"/>
        <v>0</v>
      </c>
      <c r="F35" s="59"/>
      <c r="G35" s="62"/>
      <c r="H35" s="26"/>
    </row>
    <row r="36">
      <c r="A36" s="55"/>
      <c r="B36" s="39" t="s">
        <v>135</v>
      </c>
      <c r="C36" s="59"/>
      <c r="D36" s="63"/>
      <c r="E36" s="41">
        <f t="shared" si="3"/>
        <v>0</v>
      </c>
      <c r="F36" s="59"/>
      <c r="G36" s="62"/>
      <c r="H36" s="26"/>
    </row>
    <row r="37">
      <c r="A37" s="56"/>
      <c r="B37" s="39" t="s">
        <v>136</v>
      </c>
      <c r="C37" s="59"/>
      <c r="D37" s="63"/>
      <c r="E37" s="41">
        <f t="shared" si="3"/>
        <v>0</v>
      </c>
      <c r="F37" s="59"/>
      <c r="G37" s="62"/>
      <c r="H37" s="26"/>
    </row>
    <row r="38">
      <c r="A38" s="56"/>
      <c r="B38" s="30"/>
      <c r="C38" s="30"/>
      <c r="D38" s="30"/>
      <c r="E38" s="30"/>
      <c r="F38" s="30"/>
      <c r="G38" s="25"/>
      <c r="H38" s="26"/>
    </row>
    <row r="39">
      <c r="A39" s="56"/>
      <c r="B39" s="23" t="s">
        <v>137</v>
      </c>
      <c r="C39" s="30"/>
      <c r="D39" s="64"/>
      <c r="E39" s="64">
        <f>-SUM(E7:E37)</f>
        <v>-5174480</v>
      </c>
      <c r="F39" s="30"/>
      <c r="G39" s="25"/>
      <c r="H39" s="26"/>
    </row>
    <row r="40">
      <c r="A40" s="56"/>
      <c r="B40" s="23" t="s">
        <v>138</v>
      </c>
      <c r="C40" s="30"/>
      <c r="D40" s="64"/>
      <c r="E40" s="35">
        <f>15000*170</f>
        <v>2550000</v>
      </c>
      <c r="F40" s="30"/>
      <c r="G40" s="25"/>
      <c r="H40" s="26"/>
    </row>
    <row r="41">
      <c r="A41" s="56"/>
      <c r="B41" s="23" t="s">
        <v>139</v>
      </c>
      <c r="C41" s="30"/>
      <c r="D41" s="64"/>
      <c r="E41" s="35">
        <f>47*5200+217*10000</f>
        <v>2414400</v>
      </c>
      <c r="F41" s="30"/>
      <c r="G41" s="37" t="s">
        <v>140</v>
      </c>
      <c r="H41" s="26"/>
    </row>
    <row r="42">
      <c r="A42" s="56"/>
      <c r="B42" s="65" t="s">
        <v>141</v>
      </c>
      <c r="C42" s="50"/>
      <c r="D42" s="50"/>
      <c r="E42" s="66">
        <f>E39+E40+E41</f>
        <v>-210080</v>
      </c>
      <c r="F42" s="50"/>
      <c r="G42" s="51"/>
      <c r="H42" s="7"/>
    </row>
    <row r="43">
      <c r="A43" s="56"/>
      <c r="B43" s="48"/>
      <c r="D43" s="67"/>
      <c r="E43" s="68"/>
      <c r="G43" s="48"/>
    </row>
    <row r="44">
      <c r="A44" s="56"/>
      <c r="B44" s="48"/>
    </row>
    <row r="45">
      <c r="A45" s="56"/>
      <c r="B45" s="48"/>
    </row>
    <row r="46">
      <c r="A46" s="56"/>
      <c r="B46" s="48"/>
      <c r="D46" s="67"/>
      <c r="E46" s="68"/>
      <c r="G46" s="48"/>
    </row>
    <row r="47">
      <c r="A47" s="56"/>
      <c r="B47" s="48"/>
    </row>
    <row r="48">
      <c r="A48" s="56"/>
      <c r="B48" s="48"/>
      <c r="G48" s="48"/>
    </row>
    <row r="49">
      <c r="A49" s="56"/>
      <c r="B49" s="69" t="s">
        <v>142</v>
      </c>
      <c r="C49" s="70">
        <v>14756.0</v>
      </c>
      <c r="D49" s="70">
        <v>15200.0</v>
      </c>
      <c r="E49" s="70">
        <v>20099.0</v>
      </c>
      <c r="F49" s="70">
        <v>9500.0</v>
      </c>
      <c r="G49" s="48"/>
    </row>
    <row r="50">
      <c r="A50" s="56"/>
      <c r="B50" s="71" t="s">
        <v>143</v>
      </c>
      <c r="C50" s="71">
        <f t="shared" ref="C50:F50" si="4">47*5200+217*10000</f>
        <v>2414400</v>
      </c>
      <c r="D50" s="71">
        <f t="shared" si="4"/>
        <v>2414400</v>
      </c>
      <c r="E50" s="71">
        <f t="shared" si="4"/>
        <v>2414400</v>
      </c>
      <c r="F50" s="71">
        <f t="shared" si="4"/>
        <v>2414400</v>
      </c>
    </row>
    <row r="51">
      <c r="A51" s="32"/>
      <c r="B51" s="71" t="s">
        <v>144</v>
      </c>
      <c r="C51" s="72">
        <f t="shared" ref="C51:F51" si="5">15000*170</f>
        <v>2550000</v>
      </c>
      <c r="D51" s="72">
        <f t="shared" si="5"/>
        <v>2550000</v>
      </c>
      <c r="E51" s="72">
        <f t="shared" si="5"/>
        <v>2550000</v>
      </c>
      <c r="F51" s="72">
        <f t="shared" si="5"/>
        <v>2550000</v>
      </c>
      <c r="G51" s="48"/>
    </row>
    <row r="52">
      <c r="A52" s="32"/>
      <c r="B52" s="71" t="s">
        <v>145</v>
      </c>
      <c r="C52" s="72">
        <f t="shared" ref="C52:F52" si="6">C50+C51</f>
        <v>4964400</v>
      </c>
      <c r="D52" s="72">
        <f t="shared" si="6"/>
        <v>4964400</v>
      </c>
      <c r="E52" s="72">
        <f t="shared" si="6"/>
        <v>4964400</v>
      </c>
      <c r="F52" s="72">
        <f t="shared" si="6"/>
        <v>4964400</v>
      </c>
      <c r="G52" s="48"/>
    </row>
    <row r="53">
      <c r="B53" s="71" t="s">
        <v>146</v>
      </c>
      <c r="C53" s="68">
        <f t="shared" ref="C53:F53" si="7">sum($E$7:$E$9,$E$12:$E$38)+217*C49</f>
        <v>5078132</v>
      </c>
      <c r="D53" s="68">
        <f t="shared" si="7"/>
        <v>5174480</v>
      </c>
      <c r="E53" s="68">
        <f t="shared" si="7"/>
        <v>6237563</v>
      </c>
      <c r="F53" s="68">
        <f t="shared" si="7"/>
        <v>3937580</v>
      </c>
    </row>
    <row r="54">
      <c r="B54" s="71" t="s">
        <v>147</v>
      </c>
      <c r="C54" s="67">
        <f>C52-C53</f>
        <v>-113732</v>
      </c>
      <c r="D54" s="67">
        <f>C52-D53</f>
        <v>-210080</v>
      </c>
      <c r="E54" s="67">
        <f t="shared" ref="E54:F54" si="8">E52-E53</f>
        <v>-1273163</v>
      </c>
      <c r="F54" s="67">
        <f t="shared" si="8"/>
        <v>1026820</v>
      </c>
      <c r="G54" s="48"/>
    </row>
    <row r="55">
      <c r="B55" s="48"/>
      <c r="D55" s="67"/>
      <c r="E55" s="68"/>
      <c r="G55" s="48"/>
    </row>
    <row r="56">
      <c r="B56" s="69" t="s">
        <v>148</v>
      </c>
      <c r="C56" s="67">
        <f t="shared" ref="C56:F56" si="9">C51-C53</f>
        <v>-2528132</v>
      </c>
      <c r="D56" s="67">
        <f t="shared" si="9"/>
        <v>-2624480</v>
      </c>
      <c r="E56" s="67">
        <f t="shared" si="9"/>
        <v>-3687563</v>
      </c>
      <c r="F56" s="67">
        <f t="shared" si="9"/>
        <v>-1387580</v>
      </c>
    </row>
    <row r="57">
      <c r="B57" s="48"/>
      <c r="D57" s="67"/>
      <c r="E57" s="68"/>
      <c r="G57" s="48"/>
    </row>
    <row r="58">
      <c r="B58" s="48"/>
      <c r="D58" s="67"/>
      <c r="E58" s="68"/>
      <c r="G58" s="48"/>
    </row>
    <row r="59">
      <c r="B59" s="48"/>
      <c r="D59" s="67"/>
      <c r="E59" s="68"/>
    </row>
    <row r="60">
      <c r="B60" s="48"/>
      <c r="D60" s="67"/>
      <c r="E60" s="68"/>
      <c r="G60" s="48"/>
    </row>
    <row r="61">
      <c r="B61" s="48"/>
      <c r="D61" s="67"/>
      <c r="E61" s="68"/>
      <c r="G61" s="48"/>
    </row>
  </sheetData>
  <mergeCells count="60">
    <mergeCell ref="G58:H58"/>
    <mergeCell ref="G59:H59"/>
    <mergeCell ref="G60:H60"/>
    <mergeCell ref="G61:H61"/>
    <mergeCell ref="G51:H51"/>
    <mergeCell ref="G52:H52"/>
    <mergeCell ref="G53:H53"/>
    <mergeCell ref="G54:H54"/>
    <mergeCell ref="G55:H55"/>
    <mergeCell ref="G56:H56"/>
    <mergeCell ref="G57:H57"/>
    <mergeCell ref="B2:E3"/>
    <mergeCell ref="C4:E4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</mergeCells>
  <hyperlinks>
    <hyperlink r:id="rId1" ref="G10"/>
    <hyperlink r:id="rId2" ref="G11"/>
    <hyperlink r:id="rId3" ref="G12"/>
    <hyperlink r:id="rId4" ref="G13"/>
    <hyperlink r:id="rId5" ref="G14"/>
    <hyperlink r:id="rId6" ref="G15"/>
    <hyperlink r:id="rId7" ref="G16"/>
    <hyperlink r:id="rId8" ref="G17"/>
    <hyperlink r:id="rId9" ref="G18"/>
    <hyperlink r:id="rId10" ref="G19"/>
    <hyperlink r:id="rId11" ref="G20"/>
    <hyperlink r:id="rId12" ref="G21"/>
    <hyperlink r:id="rId13" ref="G22"/>
    <hyperlink r:id="rId14" ref="G23"/>
    <hyperlink r:id="rId15" ref="G24"/>
    <hyperlink r:id="rId16" ref="G25"/>
    <hyperlink r:id="rId17" ref="G26"/>
    <hyperlink r:id="rId18" ref="G27"/>
    <hyperlink r:id="rId19" ref="G28"/>
    <hyperlink r:id="rId20" ref="G30"/>
    <hyperlink r:id="rId21" ref="G31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25"/>
    <col customWidth="1" min="8" max="8" width="46.5"/>
  </cols>
  <sheetData>
    <row r="2">
      <c r="B2" s="1" t="s">
        <v>0</v>
      </c>
      <c r="C2" s="2"/>
      <c r="D2" s="2"/>
      <c r="E2" s="3"/>
      <c r="F2" s="4" t="s">
        <v>1</v>
      </c>
      <c r="G2" s="4" t="s">
        <v>2</v>
      </c>
      <c r="H2" s="4" t="s">
        <v>3</v>
      </c>
    </row>
    <row r="3">
      <c r="B3" s="5"/>
      <c r="C3" s="6"/>
      <c r="D3" s="6"/>
      <c r="E3" s="7"/>
      <c r="F3" s="8"/>
      <c r="G3" s="8"/>
      <c r="H3" s="8"/>
    </row>
    <row r="4">
      <c r="B4" s="4" t="s">
        <v>4</v>
      </c>
      <c r="C4" s="9" t="s">
        <v>5</v>
      </c>
      <c r="D4" s="10"/>
      <c r="E4" s="11"/>
      <c r="F4" s="4" t="s">
        <v>6</v>
      </c>
      <c r="G4" s="9" t="s">
        <v>7</v>
      </c>
      <c r="H4" s="11"/>
    </row>
    <row r="5">
      <c r="B5" s="4" t="s">
        <v>9</v>
      </c>
      <c r="C5" s="12" t="s">
        <v>10</v>
      </c>
      <c r="D5" s="4" t="s">
        <v>11</v>
      </c>
      <c r="E5" s="8"/>
      <c r="F5" s="4" t="s">
        <v>12</v>
      </c>
      <c r="G5" s="9" t="s">
        <v>13</v>
      </c>
      <c r="H5" s="11"/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14" t="s">
        <v>19</v>
      </c>
      <c r="H6" s="11"/>
    </row>
    <row r="7">
      <c r="B7" s="15" t="s">
        <v>20</v>
      </c>
      <c r="C7" s="15">
        <v>180.0</v>
      </c>
      <c r="D7" s="17">
        <v>5200.0</v>
      </c>
      <c r="E7" s="19">
        <v>936000.0</v>
      </c>
      <c r="F7" s="15" t="s">
        <v>23</v>
      </c>
      <c r="G7" s="21"/>
      <c r="H7" s="3"/>
    </row>
    <row r="8">
      <c r="B8" s="23" t="s">
        <v>24</v>
      </c>
      <c r="C8" s="23">
        <v>23.0</v>
      </c>
      <c r="D8" s="19">
        <v>5200.0</v>
      </c>
      <c r="E8" s="19">
        <v>119600.0</v>
      </c>
      <c r="F8" s="23" t="s">
        <v>25</v>
      </c>
      <c r="G8" s="25"/>
      <c r="H8" s="26"/>
    </row>
    <row r="9">
      <c r="A9" s="28"/>
      <c r="B9" s="30"/>
      <c r="C9" s="30"/>
      <c r="D9" s="30"/>
      <c r="E9" s="30"/>
      <c r="F9" s="30"/>
      <c r="G9" s="25"/>
      <c r="H9" s="26"/>
    </row>
    <row r="10">
      <c r="A10" s="33"/>
      <c r="B10" s="23" t="s">
        <v>30</v>
      </c>
      <c r="C10" s="23">
        <v>7.0</v>
      </c>
      <c r="D10" s="30"/>
      <c r="E10" s="23"/>
      <c r="F10" s="23" t="s">
        <v>31</v>
      </c>
      <c r="G10" s="25"/>
      <c r="H10" s="26"/>
    </row>
    <row r="11">
      <c r="B11" s="23" t="s">
        <v>32</v>
      </c>
      <c r="C11" s="23">
        <v>30.0</v>
      </c>
      <c r="D11" s="30"/>
      <c r="E11" s="23"/>
      <c r="F11" s="23" t="s">
        <v>33</v>
      </c>
      <c r="G11" s="25"/>
      <c r="H11" s="26"/>
    </row>
    <row r="12">
      <c r="B12" s="23" t="s">
        <v>34</v>
      </c>
      <c r="C12" s="23">
        <v>1.0</v>
      </c>
      <c r="D12" s="30"/>
      <c r="E12" s="30"/>
      <c r="F12" s="23" t="s">
        <v>31</v>
      </c>
      <c r="G12" s="37"/>
      <c r="H12" s="26"/>
    </row>
    <row r="13">
      <c r="A13" s="38"/>
      <c r="B13" s="23" t="s">
        <v>36</v>
      </c>
      <c r="C13" s="23">
        <v>1.0</v>
      </c>
      <c r="D13" s="30"/>
      <c r="E13" s="30"/>
      <c r="F13" s="23"/>
      <c r="G13" s="37" t="s">
        <v>38</v>
      </c>
      <c r="H13" s="26"/>
    </row>
    <row r="14">
      <c r="B14" s="23" t="s">
        <v>40</v>
      </c>
      <c r="C14" s="23" t="s">
        <v>41</v>
      </c>
      <c r="D14" s="23"/>
      <c r="E14" s="23"/>
      <c r="F14" s="23" t="s">
        <v>42</v>
      </c>
      <c r="G14" s="37"/>
      <c r="H14" s="26"/>
    </row>
    <row r="15">
      <c r="B15" s="23" t="s">
        <v>43</v>
      </c>
      <c r="C15" s="23" t="s">
        <v>45</v>
      </c>
      <c r="D15" s="30"/>
      <c r="E15" s="30"/>
      <c r="F15" s="23" t="s">
        <v>28</v>
      </c>
      <c r="G15" s="37"/>
      <c r="H15" s="26"/>
    </row>
    <row r="16">
      <c r="B16" s="23" t="s">
        <v>47</v>
      </c>
      <c r="C16" s="30"/>
      <c r="D16" s="30"/>
      <c r="E16" s="30"/>
      <c r="F16" s="23" t="s">
        <v>28</v>
      </c>
      <c r="G16" s="37"/>
      <c r="H16" s="26"/>
    </row>
    <row r="17">
      <c r="B17" s="23" t="s">
        <v>48</v>
      </c>
      <c r="C17" s="23" t="s">
        <v>41</v>
      </c>
      <c r="D17" s="23" t="s">
        <v>49</v>
      </c>
      <c r="E17" s="30"/>
      <c r="F17" s="23" t="s">
        <v>31</v>
      </c>
      <c r="G17" s="25"/>
      <c r="H17" s="26"/>
    </row>
    <row r="18">
      <c r="A18" s="38"/>
      <c r="B18" s="23" t="s">
        <v>50</v>
      </c>
      <c r="C18" s="23">
        <v>1.0</v>
      </c>
      <c r="D18" s="30"/>
      <c r="E18" s="23"/>
      <c r="F18" s="23" t="s">
        <v>31</v>
      </c>
      <c r="G18" s="25"/>
      <c r="H18" s="26"/>
    </row>
    <row r="19">
      <c r="A19" s="38"/>
      <c r="B19" s="23" t="s">
        <v>51</v>
      </c>
      <c r="C19" s="30"/>
      <c r="D19" s="30"/>
      <c r="E19" s="30"/>
      <c r="F19" s="23"/>
      <c r="G19" s="37" t="s">
        <v>52</v>
      </c>
      <c r="H19" s="26"/>
    </row>
    <row r="20">
      <c r="A20" s="38"/>
      <c r="B20" s="23" t="s">
        <v>53</v>
      </c>
      <c r="C20" s="23">
        <v>35.0</v>
      </c>
      <c r="D20" s="23"/>
      <c r="E20" s="23"/>
      <c r="F20" s="23" t="s">
        <v>31</v>
      </c>
      <c r="G20" s="25"/>
      <c r="H20" s="26"/>
    </row>
    <row r="21">
      <c r="B21" s="23" t="s">
        <v>55</v>
      </c>
      <c r="C21" s="23">
        <v>1.0</v>
      </c>
      <c r="D21" s="30"/>
      <c r="E21" s="30"/>
      <c r="F21" s="23"/>
      <c r="G21" s="37" t="s">
        <v>56</v>
      </c>
      <c r="H21" s="26"/>
    </row>
    <row r="22">
      <c r="A22" s="38"/>
      <c r="B22" s="23" t="s">
        <v>57</v>
      </c>
      <c r="C22" s="23">
        <v>3.0</v>
      </c>
      <c r="D22" s="30"/>
      <c r="E22" s="23"/>
      <c r="F22" s="23" t="s">
        <v>60</v>
      </c>
      <c r="G22" s="25"/>
      <c r="H22" s="26"/>
    </row>
    <row r="23">
      <c r="B23" s="23" t="s">
        <v>61</v>
      </c>
      <c r="C23" s="30"/>
      <c r="D23" s="30"/>
      <c r="E23" s="23"/>
      <c r="F23" s="23" t="s">
        <v>60</v>
      </c>
      <c r="G23" s="25"/>
      <c r="H23" s="26"/>
    </row>
    <row r="24">
      <c r="A24" s="38"/>
      <c r="B24" s="23" t="s">
        <v>64</v>
      </c>
      <c r="C24" s="23">
        <v>2.0</v>
      </c>
      <c r="D24" s="30"/>
      <c r="E24" s="23"/>
      <c r="F24" s="23" t="s">
        <v>31</v>
      </c>
      <c r="G24" s="25"/>
      <c r="H24" s="26"/>
    </row>
    <row r="25">
      <c r="A25" s="46"/>
      <c r="B25" s="23" t="s">
        <v>65</v>
      </c>
      <c r="C25" s="30"/>
      <c r="D25" s="30"/>
      <c r="E25" s="30"/>
      <c r="F25" s="30"/>
      <c r="G25" s="37" t="s">
        <v>66</v>
      </c>
      <c r="H25" s="26"/>
    </row>
    <row r="26">
      <c r="A26" s="46"/>
      <c r="B26" s="23" t="s">
        <v>67</v>
      </c>
      <c r="C26" s="30"/>
      <c r="D26" s="30"/>
      <c r="E26" s="30"/>
      <c r="F26" s="30"/>
      <c r="G26" s="37" t="s">
        <v>68</v>
      </c>
      <c r="H26" s="26"/>
    </row>
    <row r="27">
      <c r="A27" s="46"/>
      <c r="B27" s="23" t="s">
        <v>69</v>
      </c>
      <c r="C27" s="30"/>
      <c r="D27" s="30"/>
      <c r="E27" s="30"/>
      <c r="G27" s="37" t="s">
        <v>70</v>
      </c>
      <c r="H27" s="26"/>
    </row>
    <row r="28">
      <c r="A28" s="46"/>
      <c r="B28" s="23" t="s">
        <v>72</v>
      </c>
      <c r="C28" s="23">
        <v>2.0</v>
      </c>
      <c r="D28" s="30"/>
      <c r="E28" s="30"/>
      <c r="F28" s="30"/>
      <c r="G28" s="37" t="s">
        <v>73</v>
      </c>
      <c r="H28" s="26"/>
    </row>
    <row r="29">
      <c r="A29" s="46"/>
      <c r="B29" s="23" t="s">
        <v>75</v>
      </c>
      <c r="C29" s="23" t="s">
        <v>76</v>
      </c>
      <c r="D29" s="30"/>
      <c r="E29" s="23"/>
      <c r="F29" s="23" t="s">
        <v>33</v>
      </c>
      <c r="G29" s="25"/>
      <c r="H29" s="26"/>
    </row>
    <row r="30">
      <c r="A30" s="46"/>
      <c r="B30" s="23" t="s">
        <v>77</v>
      </c>
      <c r="C30" s="30"/>
      <c r="D30" s="30"/>
      <c r="E30" s="30"/>
      <c r="F30" s="30"/>
      <c r="G30" s="37" t="s">
        <v>56</v>
      </c>
      <c r="H30" s="26"/>
    </row>
    <row r="31">
      <c r="A31" s="46"/>
      <c r="B31" s="23" t="s">
        <v>78</v>
      </c>
      <c r="C31" s="30"/>
      <c r="D31" s="30"/>
      <c r="E31" s="30"/>
      <c r="F31" s="30"/>
      <c r="G31" s="37" t="s">
        <v>73</v>
      </c>
      <c r="H31" s="26"/>
    </row>
    <row r="32">
      <c r="A32" s="46"/>
      <c r="B32" s="23" t="s">
        <v>79</v>
      </c>
      <c r="C32" s="30"/>
      <c r="D32" s="30"/>
      <c r="E32" s="23"/>
      <c r="F32" s="23" t="s">
        <v>31</v>
      </c>
      <c r="G32" s="25"/>
      <c r="H32" s="26"/>
    </row>
    <row r="33">
      <c r="A33" s="46"/>
      <c r="B33" s="23" t="s">
        <v>81</v>
      </c>
      <c r="C33" s="23" t="s">
        <v>82</v>
      </c>
      <c r="D33" s="30"/>
      <c r="E33" s="23"/>
      <c r="F33" s="23" t="s">
        <v>83</v>
      </c>
      <c r="G33" s="25"/>
      <c r="H33" s="26"/>
    </row>
    <row r="34">
      <c r="A34" s="46"/>
      <c r="B34" s="23" t="s">
        <v>84</v>
      </c>
      <c r="C34" s="23" t="s">
        <v>85</v>
      </c>
      <c r="D34" s="30"/>
      <c r="E34" s="23"/>
      <c r="F34" s="48" t="s">
        <v>42</v>
      </c>
      <c r="G34" s="25"/>
      <c r="H34" s="26"/>
    </row>
    <row r="35">
      <c r="A35" s="46"/>
      <c r="B35" s="23" t="s">
        <v>87</v>
      </c>
      <c r="C35" s="23">
        <v>2.0</v>
      </c>
      <c r="D35" s="30"/>
      <c r="E35" s="30"/>
      <c r="F35" s="23" t="s">
        <v>28</v>
      </c>
      <c r="G35" s="37"/>
      <c r="H35" s="26"/>
    </row>
    <row r="36">
      <c r="A36" s="46"/>
      <c r="B36" s="23" t="s">
        <v>88</v>
      </c>
      <c r="C36" s="30"/>
      <c r="D36" s="23" t="s">
        <v>49</v>
      </c>
      <c r="E36" s="30"/>
      <c r="F36" s="30"/>
      <c r="G36" s="37" t="s">
        <v>56</v>
      </c>
      <c r="H36" s="26"/>
    </row>
    <row r="37">
      <c r="A37" s="46"/>
      <c r="B37" s="23" t="s">
        <v>89</v>
      </c>
      <c r="C37" s="30"/>
      <c r="D37" s="23"/>
      <c r="E37" s="30"/>
      <c r="F37" s="23" t="s">
        <v>31</v>
      </c>
      <c r="G37" s="25"/>
      <c r="H37" s="26"/>
    </row>
    <row r="38">
      <c r="A38" s="46"/>
      <c r="B38" s="23" t="s">
        <v>92</v>
      </c>
      <c r="C38" s="30"/>
      <c r="D38" s="23" t="s">
        <v>49</v>
      </c>
      <c r="E38" s="30"/>
      <c r="F38" s="30"/>
      <c r="G38" s="37" t="s">
        <v>56</v>
      </c>
      <c r="H38" s="26"/>
    </row>
    <row r="39">
      <c r="A39" s="46"/>
      <c r="B39" s="23" t="s">
        <v>94</v>
      </c>
      <c r="C39" s="23" t="s">
        <v>95</v>
      </c>
      <c r="D39" s="23" t="s">
        <v>49</v>
      </c>
      <c r="E39" s="30"/>
      <c r="F39" s="30"/>
      <c r="G39" s="37" t="s">
        <v>56</v>
      </c>
      <c r="H39" s="26"/>
    </row>
    <row r="40">
      <c r="A40" s="46"/>
      <c r="B40" s="30"/>
      <c r="C40" s="30"/>
      <c r="D40" s="30"/>
      <c r="E40" s="30"/>
      <c r="F40" s="30"/>
      <c r="G40" s="25"/>
      <c r="H40" s="26"/>
    </row>
    <row r="41">
      <c r="A41" s="46"/>
      <c r="B41" s="23" t="s">
        <v>96</v>
      </c>
      <c r="C41" s="30"/>
      <c r="D41" s="30"/>
      <c r="E41" s="30"/>
      <c r="F41" s="23" t="s">
        <v>31</v>
      </c>
      <c r="G41" s="25"/>
      <c r="H41" s="26"/>
    </row>
    <row r="42">
      <c r="A42" s="46"/>
      <c r="B42" s="23" t="s">
        <v>97</v>
      </c>
      <c r="C42" s="30"/>
      <c r="D42" s="30"/>
      <c r="E42" s="30"/>
      <c r="F42" s="23" t="s">
        <v>31</v>
      </c>
      <c r="G42" s="25"/>
      <c r="H42" s="26"/>
    </row>
    <row r="43">
      <c r="A43" s="46"/>
      <c r="B43" s="30"/>
      <c r="C43" s="30"/>
      <c r="D43" s="30"/>
      <c r="E43" s="30"/>
      <c r="F43" s="30"/>
      <c r="G43" s="25"/>
      <c r="H43" s="26"/>
    </row>
    <row r="44">
      <c r="A44" s="46"/>
      <c r="B44" s="30"/>
      <c r="C44" s="30"/>
      <c r="D44" s="30"/>
      <c r="E44" s="30"/>
      <c r="F44" s="30"/>
      <c r="G44" s="25"/>
      <c r="H44" s="26"/>
    </row>
    <row r="45">
      <c r="A45" s="46"/>
      <c r="B45" s="30"/>
      <c r="C45" s="30"/>
      <c r="D45" s="30"/>
      <c r="E45" s="30"/>
      <c r="F45" s="30"/>
      <c r="G45" s="25"/>
      <c r="H45" s="26"/>
    </row>
    <row r="46">
      <c r="A46" s="46"/>
      <c r="B46" s="30"/>
      <c r="C46" s="30"/>
      <c r="D46" s="30"/>
      <c r="E46" s="30"/>
      <c r="F46" s="30"/>
      <c r="G46" s="25"/>
      <c r="H46" s="26"/>
    </row>
    <row r="47">
      <c r="A47" s="46"/>
      <c r="B47" s="50"/>
      <c r="C47" s="50"/>
      <c r="D47" s="50"/>
      <c r="E47" s="50"/>
      <c r="F47" s="50"/>
      <c r="G47" s="51"/>
      <c r="H47" s="7"/>
    </row>
  </sheetData>
  <mergeCells count="50">
    <mergeCell ref="G46:H46"/>
    <mergeCell ref="G47:H47"/>
    <mergeCell ref="G39:H39"/>
    <mergeCell ref="G40:H40"/>
    <mergeCell ref="G41:H41"/>
    <mergeCell ref="G42:H42"/>
    <mergeCell ref="G43:H43"/>
    <mergeCell ref="G44:H44"/>
    <mergeCell ref="G45:H45"/>
    <mergeCell ref="B2:E3"/>
    <mergeCell ref="C4:E4"/>
    <mergeCell ref="G4:H4"/>
    <mergeCell ref="G5:H5"/>
    <mergeCell ref="G6:H6"/>
    <mergeCell ref="G7:H7"/>
    <mergeCell ref="G8:H8"/>
    <mergeCell ref="G14:H14"/>
    <mergeCell ref="G15:H15"/>
    <mergeCell ref="G16:H16"/>
    <mergeCell ref="G17:H17"/>
    <mergeCell ref="G18:H18"/>
    <mergeCell ref="G19:H19"/>
    <mergeCell ref="G9:H9"/>
    <mergeCell ref="A10:A12"/>
    <mergeCell ref="G10:H10"/>
    <mergeCell ref="G11:H11"/>
    <mergeCell ref="G12:H12"/>
    <mergeCell ref="A13:A17"/>
    <mergeCell ref="G13:H13"/>
    <mergeCell ref="A20:A21"/>
    <mergeCell ref="G20:H20"/>
    <mergeCell ref="G21:H21"/>
    <mergeCell ref="A22:A23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</mergeCells>
  <drawing r:id="rId1"/>
</worksheet>
</file>