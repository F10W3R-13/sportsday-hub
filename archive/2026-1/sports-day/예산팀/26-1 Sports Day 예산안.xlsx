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  <sheet state="visible" name="수정1" sheetId="2" r:id="rId6"/>
    <sheet state="visible" name="수정1_1" sheetId="3" r:id="rId7"/>
    <sheet state="visible" name="수정2" sheetId="4" r:id="rId8"/>
    <sheet state="visible" name="수정2_1" sheetId="5" r:id="rId9"/>
    <sheet state="visible" name="수정1(30명)" sheetId="6" r:id="rId10"/>
  </sheets>
  <definedNames/>
  <calcPr/>
</workbook>
</file>

<file path=xl/sharedStrings.xml><?xml version="1.0" encoding="utf-8"?>
<sst xmlns="http://schemas.openxmlformats.org/spreadsheetml/2006/main" count="939" uniqueCount="153">
  <si>
    <t>행사 예산안</t>
  </si>
  <si>
    <t>50명 기준</t>
  </si>
  <si>
    <t>기획부</t>
  </si>
  <si>
    <t>총무부</t>
  </si>
  <si>
    <t>회장단</t>
  </si>
  <si>
    <t>행사명</t>
  </si>
  <si>
    <t>Super 'HI'-rio Party</t>
  </si>
  <si>
    <t>구분</t>
  </si>
  <si>
    <r>
      <rPr>
        <rFont val="휴먼명조"/>
        <color rgb="FFFF0000"/>
        <sz val="11.0"/>
      </rPr>
      <t>필참</t>
    </r>
    <r>
      <rPr>
        <rFont val="휴먼명조"/>
        <color theme="1"/>
        <sz val="11.0"/>
      </rPr>
      <t>/자율</t>
    </r>
  </si>
  <si>
    <r>
      <rPr>
        <rFont val="휴먼명조"/>
        <color rgb="FFFF0000"/>
        <sz val="11.0"/>
      </rPr>
      <t>필참</t>
    </r>
    <r>
      <rPr>
        <rFont val="휴먼명조"/>
        <color theme="1"/>
        <sz val="11.0"/>
      </rPr>
      <t>/자율</t>
    </r>
  </si>
  <si>
    <r>
      <rPr>
        <rFont val="휴먼명조"/>
        <color rgb="FFFF0000"/>
        <sz val="11.0"/>
      </rPr>
      <t>필참</t>
    </r>
    <r>
      <rPr>
        <rFont val="휴먼명조"/>
        <color theme="1"/>
        <sz val="11.0"/>
      </rPr>
      <t>/자율</t>
    </r>
  </si>
  <si>
    <r>
      <rPr>
        <rFont val="휴먼명조"/>
        <color rgb="FFFF0000"/>
        <sz val="11.0"/>
      </rPr>
      <t>필참</t>
    </r>
    <r>
      <rPr>
        <rFont val="휴먼명조"/>
        <color theme="1"/>
        <sz val="11.0"/>
      </rPr>
      <t>/자율</t>
    </r>
  </si>
  <si>
    <t>행사 일자</t>
  </si>
  <si>
    <t>시간</t>
  </si>
  <si>
    <t>10:00~19:00</t>
  </si>
  <si>
    <t>장소</t>
  </si>
  <si>
    <t>자연과학캠퍼스 대운동장</t>
  </si>
  <si>
    <t>품목</t>
  </si>
  <si>
    <t>개수</t>
  </si>
  <si>
    <t>단일가격</t>
  </si>
  <si>
    <t>총 금액</t>
  </si>
  <si>
    <t>주문처</t>
  </si>
  <si>
    <t>비고</t>
  </si>
  <si>
    <t>점심 - 돈가스 도련님 도시락 (하클)</t>
  </si>
  <si>
    <t>한솥도시락</t>
  </si>
  <si>
    <t xml:space="preserve">점심 -  돈가스 도련님 도시락 </t>
  </si>
  <si>
    <t>점심 - 돈가스 도련님 도시락 (교환)</t>
  </si>
  <si>
    <t>점심 - 포케(비건)</t>
  </si>
  <si>
    <t>poke all day</t>
  </si>
  <si>
    <t>*국제처 필요한 품목 셀 색상 변경하기</t>
  </si>
  <si>
    <t>양면 색깔 판 세트(10개입)</t>
  </si>
  <si>
    <t>네이버</t>
  </si>
  <si>
    <t>https://smartstore.naver.com/youneedun_official/products/8560408431?nl-query=%EC%83%89%EA%B9%94+%ED%8C%90&amp;nl-ts-pid=jOPywsqXKZGssP6a5Ls-465428&amp;NaPm=ct%3Dmnrjxwg8%7Cci%3Debea21b8e8a77bc7f702f18692ecdc7e03d11e8c%7Ctr%3Dsls%7Csn%3D6042554%7Chk%3D7753a7bc3d74ed81d34f15eec6ad702f7633b9b0</t>
  </si>
  <si>
    <t>박스테이프 5개</t>
  </si>
  <si>
    <t>쿠팡</t>
  </si>
  <si>
    <t>https://www.coupang.com/vp/products/6671696651?itemId=15352091516&amp;vendorItemId=82572322173&amp;pickType=COU_PICK&amp;q=%ED%88%AC%EB%AA%85%ED%85%8C%EC%9D%B4%ED%94%84&amp;searchId=522433253669670&amp;sourceType=search&amp;itemsCount=36&amp;searchRank=2&amp;rank=2&amp;traceId=mnrmpect</t>
  </si>
  <si>
    <t>(물) 탐사수 무라벨 * 500ml * 200개</t>
  </si>
  <si>
    <t>(물) 탐사수 무라벨 * 500ml * 2set (총 400개)</t>
  </si>
  <si>
    <t>https://www.coupang.com/vp/products/5625704601?itemId=9133866797&amp;vendorItemId=86137790576&amp;pickType=COU_PICK&amp;q=%EB%AC%BC+%EB%AC%B4%EB%9D%BC%EB%B2%A8+500ml&amp;itemsCount=36&amp;searchId=60dcdd0a2337972&amp;rank=0&amp;searchRank=0&amp;isAddedCart=</t>
  </si>
  <si>
    <t>(음료) 토레타 무라벨 *340ml * 40개</t>
  </si>
  <si>
    <t>(음료) 토레타 무라벨 *340ml * 4set (총 160개)</t>
  </si>
  <si>
    <r>
      <rPr>
        <rFont val="Arial"/>
        <color rgb="FF1155CC"/>
        <sz val="11.0"/>
        <u/>
      </rPr>
      <t>토레타 무라벨 이온음료, 340ml, 40개 - 기타탄산음료 | 쿠팡</t>
    </r>
  </si>
  <si>
    <r>
      <rPr>
        <rFont val="Arial"/>
        <color rgb="FF1155CC"/>
        <sz val="11.0"/>
        <u/>
      </rPr>
      <t>토레타 무라벨 이온음료, 340ml, 40개 - 기타탄산음료 | 쿠팡</t>
    </r>
  </si>
  <si>
    <t>(음료) 포카리 무라벨*340ml * 4set (총 160개)</t>
  </si>
  <si>
    <t>https://www.coupang.com/vp/products/8544933292?itemId=548226098&amp;vendorItemId=85072693047&amp;pickType=COU_PICK&amp;q=%EC%9D%B4%EC%98%A8%EC%9D%8C%EB%A3%8C+%EB%AC%B4%EB%9D%BC%EB%B2%A8&amp;itemsCount=36&amp;searchId=a190830e542358&amp;rank=1&amp;searchRank=1&amp;isAddedCart=</t>
  </si>
  <si>
    <r>
      <rPr>
        <rFont val="Arial"/>
        <color rgb="FF1155CC"/>
        <sz val="11.0"/>
        <u/>
      </rPr>
      <t>토레타 무라벨 이온음료, 340ml, 40개 - 기타탄산음료 | 쿠팡</t>
    </r>
  </si>
  <si>
    <t>달고나 - 뽑기 2등</t>
  </si>
  <si>
    <t>https://www.coupang.com/vp/products/7230296106?itemId=18344875277&amp;vendorItemId=86150796269&amp;q=%EB%8B%AC%EA%B3%A0%EB%82%98+2%EA%B0%9C&amp;itemsCount=36&amp;searchId=508832dc940381&amp;rank=53&amp;searchRank=17&amp;isAddedCart=</t>
  </si>
  <si>
    <t>발포비타민 - 뽑기 2등</t>
  </si>
  <si>
    <t>(음료) 포카리 무라벨*340ml * 40개</t>
  </si>
  <si>
    <t>https://www.coupang.com/vp/products/6155420054?itemId=19239199829&amp;vendorItemId=71503717362&amp;pickType=COU_PICK&amp;q=%EB%B0%9C%ED%8F%AC%EB%B9%84%ED%83%80%EB%AF%BC&amp;itemsCount=36&amp;searchId=7ee987d45174216&amp;rank=0&amp;searchRank=0&amp;isAddedCart=</t>
  </si>
  <si>
    <t>별뽀빠이 12개입 - 뽑기 3등</t>
  </si>
  <si>
    <t>https://www.coupang.com/vp/products/8128986977?itemId=10810139370&amp;vendorItemId=86607945075&amp;q=%EB%B3%84%EB%BD%80%EB%B9%A0%EC%9D%B4&amp;itemsCount=36&amp;searchId=3e20ba69376330&amp;rank=0&amp;searchRank=0&amp;isAddedCart=</t>
  </si>
  <si>
    <t>한입꼬마약과 1kg - 뽑기 3등</t>
  </si>
  <si>
    <t>https://www.coupang.com/vp/products/7203904313?itemId=21668114878&amp;vendorItemId=91452418243&amp;sourceType=srp_product_ads&amp;clickEventId=547e4f60-342e-11f1-a918-8f098ceba0fb&amp;korePlacement=15&amp;koreSubPlacement=1&amp;clickEventId=547e4f60-342e-11f1-a918-8f098ceba0fb&amp;korePlacement=15&amp;koreSubPlacement=1&amp;traceId=mnro9y77</t>
  </si>
  <si>
    <t>별뽀빠이 12개입 - 뽑기 3등 (유통기한 지나서 사야함)</t>
  </si>
  <si>
    <r>
      <rPr>
        <rFont val="Arial"/>
        <color rgb="FF1155CC"/>
        <sz val="11.0"/>
        <u/>
      </rPr>
      <t>토레타 무라벨 이온음료, 340ml, 40개 - 기타탄산음료 | 쿠팡</t>
    </r>
  </si>
  <si>
    <t>신쫄이 40개입 - 뽑기 4등</t>
  </si>
  <si>
    <t>https://www.coupang.com/vp/products/8244758625?itemId=294418082&amp;vendorItemId=85500815024&amp;q=%EC%8B%A0%EC%AB%84%EC%9D%B4&amp;itemsCount=36&amp;searchId=241446ce1230593&amp;rank=3&amp;searchRank=3&amp;isAddedCart=</t>
  </si>
  <si>
    <t>한입꼬마약과 1kg - 뽑기 3등 (유통기한 지나서 사야함)</t>
  </si>
  <si>
    <t>포도당사탕 100개*2set(총 200개) - 뽑기 5등</t>
  </si>
  <si>
    <t>https://www.coupang.com/vp/products/7665332800?itemId=20432605572&amp;vendorItemId=79820084798&amp;q=%EC%9A%B4%EB%8F%99+%ED%9B%84+%EC%82%AC%ED%83%95&amp;itemsCount=36&amp;searchId=1b7db0bf1074766&amp;rank=1&amp;searchRank=1&amp;isAddedCart=</t>
  </si>
  <si>
    <t>스포츠데이 진행용품 대여</t>
  </si>
  <si>
    <t>신쫄이 20개입 - 뽑기 4등 (소진해서 사야함)</t>
  </si>
  <si>
    <t>게임연구소</t>
  </si>
  <si>
    <t>https://gamerental.kr/product/detail.html?product_no=47&amp;cate_no=25&amp;display_group=1</t>
  </si>
  <si>
    <t>결승선 1, 줄다리기 줄 20m 1, 반환점(중형) 10, 접시콘 1, 공 2</t>
  </si>
  <si>
    <t>림보 세트</t>
  </si>
  <si>
    <t>https://www.coupang.com/vp/products/1440533247?itemId=2484309738&amp;vendorItemId=70477602597&amp;q=%EB%A6%BC%EB%B3%B4+%EC%84%B8%ED%8A%B8&amp;searchId=a27a4de25303530&amp;sourceType=search&amp;itemsCount=60&amp;searchRank=2&amp;rank=2&amp;traceId=mok5dwc2</t>
  </si>
  <si>
    <t>아이스박스 대여</t>
  </si>
  <si>
    <t>https://gamerental.kr/product/detail.html?product_no=78&amp;cate_no=28&amp;display_group=1</t>
  </si>
  <si>
    <t>슈퍼마리오 쿠파 코스튬(가면+발톱)</t>
  </si>
  <si>
    <t>https://www.coupang.com/vp/products/8364298166?itemId=24166242362&amp;vendorItemId=91184631395&amp;src=1191000&amp;spec=10999999&amp;addtag=400&amp;ctag=8364298166&amp;lptag=CFM34803762&amp;itime=20260410004803&amp;pageType=PRODUCT&amp;pageValue=8364298166&amp;wPcid=17737232905412231578312&amp;wRef=&amp;wTime=20260410004803&amp;redirect=landing&amp;abTestInfo=100412_group_C%2F%3Fstyle%3Dkakao_existing_ui&amp;mcid=fb357bcbb0f04b7595b080c36aa9dab9&amp;sharesource=sharebutton&amp;style=&amp;isshortened=Y&amp;settlement=N</t>
  </si>
  <si>
    <t>마리오 스티커 50장</t>
  </si>
  <si>
    <t>https://www.coupang.com/vp/products/5482292808?itemId=8460726831&amp;vendorItemId=75748300488&amp;q=%EB%A7%88%EB%A6%AC%EC%98%A4+%EC%8A%A4%ED%8B%B0%EC%BB%A4&amp;searchId=fedb21e93794966&amp;sourceType=search&amp;itemsCount=36&amp;searchRank=4&amp;rank=4&amp;traceId=mnrllifq</t>
  </si>
  <si>
    <t>물총 2개 한 세트</t>
  </si>
  <si>
    <t>https://www.coupang.com/vp/products/1516047654?itemId=2601916996&amp;vendorItemId=70593079872&amp;sourceType=SDW_TOP_SELLING_WIDGET_V2&amp;searchId=f4b8bbd23698221&amp;q=%EB%AC%BC%EC%B4%9D</t>
  </si>
  <si>
    <t>슈퍼 마리오 캐릭터 모자(빨강 모자)</t>
  </si>
  <si>
    <t>https://www.coupang.com/vp/products/8399821648?itemId=24280944915&amp;vendorItemId=91297278941&amp;q=%EB%A7%88%EB%A6%AC%EC%98%A4+%EB%AA%A8%EC%9E%90&amp;searchId=e123b0403925425&amp;sourceType=search&amp;itemsCount=36&amp;searchRank=2&amp;rank=2&amp;traceId=mnrly7tm</t>
  </si>
  <si>
    <t>슈퍼 마리오 캐릭터 모자(초록 모자)</t>
  </si>
  <si>
    <t>https://www.coupang.com/vp/products/8399821648?itemId=24280944916&amp;vendorItemId=91297278939&amp;q=%EB%A7%88%EB%A6%AC%EC%98%A4+%EB%AA%A8%EC%9E%90&amp;searchId=e123b0403925425&amp;sourceType=search&amp;itemsCount=36&amp;searchRank=2&amp;rank=2&amp;traceId=mnrly7tm</t>
  </si>
  <si>
    <t>슈퍼 마리오 타투스티커 20개 1세트</t>
  </si>
  <si>
    <t>https://www.coupang.com/vp/products/9491510937?itemId=28242057080&amp;vendorItemId=95155930630&amp;q=%EB%A7%88%EB%A6%AC%EC%98%A4+%ED%83%80%ED%88%AC%EC%8A%A4%ED%8B%B0%EC%BB%A4&amp;searchId=c73e3e2d7639083&amp;sourceType=search&amp;itemsCount=60&amp;searchRank=13&amp;rank=13&amp;traceId=mnx9grop</t>
  </si>
  <si>
    <t>분리배출 봉투*50L*60개</t>
  </si>
  <si>
    <t>https://www.coupang.com/vp/products/7849796436?itemId=21392878497&amp;vendorItemId=88449574662&amp;q=%EB%B6%84%EB%A6%AC%EC%88%98%EA%B1%B0+%EB%B4%89%ED%88%AC&amp;itemsCount=36&amp;searchId=52429e5e2185856&amp;rank=7&amp;searchRank=7&amp;isAddedCart=</t>
  </si>
  <si>
    <t>슈퍼 마리오 타투스티커 20개 1세트 (품절)</t>
  </si>
  <si>
    <t>https://www.coupang.com/vp/products/7650692407?itemId=20355651141&amp;vendorItemId=75312938150&amp;q=%EB%8B%A8%EC%B2%B4%EC%A4%84%EB%84%98%EA%B8%B0&amp;searchId=e7624f9b5311644&amp;sourceType=search&amp;itemsCount=60&amp;searchRank=4&amp;rank=4&amp;traceId=mok53yl1</t>
  </si>
  <si>
    <t>반다나-빨간색</t>
  </si>
  <si>
    <t>https://www.coupang.com/vp/products/29533974?itemId=112898936&amp;vendorItemId=3213724573&amp;sourceType=srp_product_ads&amp;clickEventId=8f7cf8d0-3741-11f1-b3dc-c7f9dd45f425&amp;korePlacement=15&amp;koreSubPlacement=1&amp;clickEventId=8f7cf8d0-3741-11f1-b3dc-c7f9dd45f425&amp;korePlacement=15&amp;koreSubPlacement=1&amp;traceId=mnx9le6k</t>
  </si>
  <si>
    <t>반다나-초록색</t>
  </si>
  <si>
    <t>https://www.coupang.com/vp/products/29533974?itemId=112898943&amp;vendorItemId=3214073142&amp;sourceType=srp_product_ads&amp;clickEventId=8f7cf8d0-3741-11f1-b3dc-c7f9dd45f425&amp;korePlacement=15&amp;koreSubPlacement=1&amp;clickEventId=8f7cf8d0-3741-11f1-b3dc-c7f9dd45f425&amp;korePlacement=15&amp;koreSubPlacement=1&amp;traceId=mnx9le6k</t>
  </si>
  <si>
    <t>반다나-보라색</t>
  </si>
  <si>
    <t>https://www.coupang.com/vp/products/29533974?itemId=112898940&amp;vendorItemId=3213929525&amp;sourceType=srp_product_ads&amp;clickEventId=8f7cf8d0-3741-11f1-b3dc-c7f9dd45f425&amp;korePlacement=15&amp;koreSubPlacement=1&amp;clickEventId=8f7cf8d0-3741-11f1-b3dc-c7f9dd45f425&amp;korePlacement=15&amp;koreSubPlacement=1&amp;traceId=mnx9le6k</t>
  </si>
  <si>
    <t>반다나-하얀색</t>
  </si>
  <si>
    <t>https://www.coupang.com/vp/products/29533974?itemId=112898942&amp;vendorItemId=3213936121&amp;sourceType=srp_product_ads&amp;clickEventId=8f7cf8d0-3741-11f1-b3dc-c7f9dd45f425&amp;korePlacement=15&amp;koreSubPlacement=1&amp;clickEventId=8f7cf8d0-3741-11f1-b3dc-c7f9dd45f425&amp;korePlacement=15&amp;koreSubPlacement=1&amp;traceId=mnx9le6k</t>
  </si>
  <si>
    <t>반다나-노란색</t>
  </si>
  <si>
    <t>https://www.coupang.com/vp/products/29533974?itemId=112898941&amp;vendorItemId=3214524157&amp;sourceType=srp_product_ads&amp;clickEventId=8f7cf8d0-3741-11f1-b3dc-c7f9dd45f425&amp;korePlacement=15&amp;koreSubPlacement=1&amp;clickEventId=8f7cf8d0-3741-11f1-b3dc-c7f9dd45f425&amp;korePlacement=15&amp;koreSubPlacement=1&amp;traceId=mnx9le6k</t>
  </si>
  <si>
    <t>단체 티 - 하이클럽(추가주문)</t>
  </si>
  <si>
    <t>탑앤탑</t>
  </si>
  <si>
    <t>단체티 - 교환학생(추가주문)</t>
  </si>
  <si>
    <t>https://www.topntop.co.kr/shop/goods/goods_view.php?goodsno=14493&amp;category=001</t>
  </si>
  <si>
    <t>단체 티 - 하이클럽</t>
  </si>
  <si>
    <t>간식 - 비건 고구마 스틱 10개</t>
  </si>
  <si>
    <t>단체티 - 교환학생</t>
  </si>
  <si>
    <r>
      <rPr>
        <rFont val="Arial"/>
        <color rgb="FF1155CC"/>
        <sz val="11.0"/>
        <u/>
      </rPr>
      <t>한울 촉촉 고구마 스틱, 20g, 10개 - 고구마말랭이 | 쿠팡</t>
    </r>
  </si>
  <si>
    <r>
      <rPr>
        <rFont val="Arial"/>
        <color rgb="FF1155CC"/>
        <sz val="11.0"/>
        <u/>
      </rPr>
      <t>한울 촉촉 고구마 스틱, 20g, 10개 - 고구마말랭이 | 쿠팡</t>
    </r>
  </si>
  <si>
    <t>간식 - 에너지바 17개입 * 3set * 3개</t>
  </si>
  <si>
    <r>
      <rPr>
        <rFont val="Arial"/>
        <color rgb="FF1155CC"/>
        <sz val="11.0"/>
        <u/>
      </rPr>
      <t>닥터유 에너지바 투바이트, 468g, 1개 - | 쿠팡</t>
    </r>
  </si>
  <si>
    <t>간식 - 에너지바 17개입 * 3set</t>
  </si>
  <si>
    <t>간식 - 피크닉 제로 사과 72개입</t>
  </si>
  <si>
    <r>
      <rPr>
        <rFont val="Arial"/>
        <color rgb="FF1155CC"/>
        <sz val="11.0"/>
        <u/>
      </rPr>
      <t>한울 촉촉 고구마 스틱, 20g, 10개 - 고구마말랭이 | 쿠팡</t>
    </r>
  </si>
  <si>
    <t>https://www.coupang.com/vp/products/8174361304?itemId=23357867452&amp;vendorItemId=90388433128&amp;q=%EC%BF%A0%ED%82%A4%EB%9E%91+%EB%A8%B9%EC%9D%84+%EC%A3%BC%EC%8A%A4&amp;itemsCount=36&amp;searchId=ca07d92817950&amp;rank=0&amp;searchRank=0&amp;isAddedCart=</t>
  </si>
  <si>
    <r>
      <rPr>
        <rFont val="Arial"/>
        <color rgb="FF1155CC"/>
        <sz val="11.0"/>
        <u/>
      </rPr>
      <t>닥터유 에너지바 투바이트, 468g, 1개 - | 쿠팡</t>
    </r>
  </si>
  <si>
    <t>우승 메달 30개 set</t>
  </si>
  <si>
    <r>
      <rPr>
        <rFont val="Arial"/>
        <color rgb="FF1155CC"/>
        <sz val="11.0"/>
        <u/>
      </rPr>
      <t>닥터유 에너지바 투바이트, 468g, 1개 - | 쿠팡</t>
    </r>
  </si>
  <si>
    <t>https://www.coupang.com/vp/products/6261699447?itemId=12753822094&amp;vendorItemId=80020102996&amp;q=%EA%B8%88%EB%A9%94%EB%8B%AC+20%EA%B0%9C&amp;itemsCount=36&amp;searchId=46f2af8c2299075&amp;rank=1&amp;searchRank=1&amp;isAddedCart=</t>
  </si>
  <si>
    <t>우승 트로피</t>
  </si>
  <si>
    <t>https://www.coupang.com/vp/products/1477801942?itemId=2539080661&amp;vendorItemId=70531854415&amp;q=%EC%9A%B4%EB%8F%99%ED%9A%8C+%EC%9A%B0%EC%8A%B9+%ED%8A%B8%EB%A1%9C%ED%94%BC&amp;itemsCount=36&amp;searchId=da5299942324653&amp;rank=0&amp;searchRank=0&amp;isAddedCart=</t>
  </si>
  <si>
    <t>부채 - 우승상품</t>
  </si>
  <si>
    <t>https://www.coupang.com/vp/products/7318043254?itemId=18763275561&amp;vendorItemId=85895086210&amp;pickType=COU_PICK&amp;q=%EB%B6%80%EC%B1%84&amp;itemsCount=36&amp;searchId=b00dcb541257132&amp;rank=1&amp;searchRank=1&amp;isAddedCart=</t>
  </si>
  <si>
    <r>
      <rPr>
        <rFont val="Arial"/>
        <color rgb="FF1155CC"/>
        <sz val="11.0"/>
        <u/>
      </rPr>
      <t>한울 촉촉 고구마 스틱, 20g, 10개 - 고구마말랭이 | 쿠팡</t>
    </r>
  </si>
  <si>
    <t>현수막 거치대 접이식</t>
  </si>
  <si>
    <t>https://www.coupang.com/vp/products/8960657461?vendorItemId=94930569006&amp;sourceType=SDP_ALSO_VIEWED</t>
  </si>
  <si>
    <r>
      <rPr>
        <rFont val="Arial"/>
        <color rgb="FF1155CC"/>
        <sz val="11.0"/>
        <u/>
      </rPr>
      <t>닥터유 에너지바 투바이트, 468g, 1개 - | 쿠팡</t>
    </r>
  </si>
  <si>
    <t>슈퍼마리오 테마 현수막</t>
  </si>
  <si>
    <t>https://www.coupang.com/vp/products/7640375378?itemId=20299196824&amp;vendorItemId=87385204260&amp;q=%EC%8A%88%ED%8D%BC+%EB%A7%88%EB%A6%AC%EC%98%A4+%EB%B0%B0%EA%B2%BD&amp;searchId=91e9eb5c1176213&amp;sourceType=search&amp;itemsCount=60&amp;searchRank=22&amp;rank=22&amp;traceId=mnyn6kjd</t>
  </si>
  <si>
    <t>슈퍼마리오 파티용품 세트</t>
  </si>
  <si>
    <t>https://www.coupang.com/vp/products/7685887140?itemId=20539738506&amp;vendorItemId=92233756252&amp;sourceType=srp_product_ads&amp;clickEventId=ef6c8540-3803-11f1-988d-91104679256f&amp;korePlacement=15&amp;koreSubPlacement=1&amp;clickEventId=ef6c8540-3803-11f1-988d-91104679256f&amp;korePlacement=15&amp;koreSubPlacement=1&amp;traceId=mnyn8y10</t>
  </si>
  <si>
    <t>마리오 코스프레 - 마리오</t>
  </si>
  <si>
    <t>https://www.coupang.com/vp/products/7996171515?itemId=22245300606&amp;vendorItemId=89291116626&amp;q=%EB%A7%88%EB%A6%AC%EC%98%A4+%EB%AA%A8%EC%9E%90&amp;searchId=3ded64171968575&amp;sourceType=search&amp;itemsCount=60&amp;searchRank=14&amp;rank=14&amp;traceId=mnynj4x3</t>
  </si>
  <si>
    <t>루이지 코스프레 - 루이지</t>
  </si>
  <si>
    <t>https://www.coupang.com/vp/products/7996171515?itemId=22245300605&amp;vendorItemId=89291116631&amp;q=%EB%A7%88%EB%A6%AC%EC%98%A4+%EB%AA%A8%EC%9E%90&amp;searchId=3ded64171968575&amp;sourceType=search&amp;itemsCount=60&amp;searchRank=14&amp;rank=14&amp;traceId=mnynj4x3</t>
  </si>
  <si>
    <t>개구쟁이 프로펠러모자</t>
  </si>
  <si>
    <t>https://www.coupang.com/vp/products/8719918331?itemId=25328549440&amp;vendorItemId=92323392297&amp;sourceType=srp_product_ads&amp;clickEventId=a80be5e0-3805-11f1-9be4-3567864d250e&amp;korePlacement=15&amp;koreSubPlacement=22&amp;clickEventId=a80be5e0-3805-11f1-9be4-3567864d250e&amp;korePlacement=15&amp;koreSubPlacement=22&amp;traceId=mnynp930</t>
  </si>
  <si>
    <t>자유사이즈 현수막</t>
  </si>
  <si>
    <t>bizhows</t>
  </si>
  <si>
    <t>https://www.bizhows.com/ko/v/option?code1=4000&amp;code2=200&amp;code3=1001&amp;mock=4000_200_1001_6&amp;priorityKeywordCategory=&amp;defaultKeyword=</t>
  </si>
  <si>
    <t>총 지출 금액</t>
  </si>
  <si>
    <t>국제처 지원요청 금액</t>
  </si>
  <si>
    <t>행사 수입(예상)</t>
  </si>
  <si>
    <t>계</t>
  </si>
  <si>
    <t>*기타 국제처 요청사항</t>
  </si>
  <si>
    <t>앰뷸런스</t>
  </si>
  <si>
    <t>하클 재원</t>
  </si>
  <si>
    <r>
      <rPr>
        <rFont val="휴먼명조"/>
        <color rgb="FFFF0000"/>
        <sz val="11.0"/>
      </rPr>
      <t>필참</t>
    </r>
    <r>
      <rPr>
        <rFont val="휴먼명조"/>
        <color theme="1"/>
        <sz val="11.0"/>
      </rPr>
      <t>/자율</t>
    </r>
  </si>
  <si>
    <t>30명 기준</t>
  </si>
  <si>
    <r>
      <rPr>
        <rFont val="휴먼명조"/>
        <color rgb="FFFF0000"/>
        <sz val="11.0"/>
      </rPr>
      <t>필참</t>
    </r>
    <r>
      <rPr>
        <rFont val="휴먼명조"/>
        <color theme="1"/>
        <sz val="11.0"/>
      </rPr>
      <t>/자율</t>
    </r>
  </si>
  <si>
    <r>
      <rPr>
        <rFont val="Arial"/>
        <color rgb="FF1155CC"/>
        <sz val="11.0"/>
        <u/>
      </rPr>
      <t>토레타 무라벨 이온음료, 340ml, 40개 - 기타탄산음료 | 쿠팡</t>
    </r>
  </si>
  <si>
    <r>
      <rPr>
        <rFont val="Arial"/>
        <color rgb="FF1155CC"/>
        <sz val="11.0"/>
        <u/>
      </rPr>
      <t>토레타 무라벨 이온음료, 340ml, 40개 - 기타탄산음료 | 쿠팡</t>
    </r>
  </si>
  <si>
    <r>
      <rPr>
        <rFont val="Arial"/>
        <color rgb="FF1155CC"/>
        <sz val="11.0"/>
        <u/>
      </rPr>
      <t>한울 촉촉 고구마 스틱, 20g, 10개 - 고구마말랭이 | 쿠팡</t>
    </r>
  </si>
  <si>
    <r>
      <rPr>
        <rFont val="Arial"/>
        <color rgb="FF1155CC"/>
        <sz val="11.0"/>
        <u/>
      </rPr>
      <t>닥터유 에너지바 투바이트, 468g, 1개 - | 쿠팡</t>
    </r>
  </si>
  <si>
    <r>
      <rPr>
        <rFont val="Arial"/>
        <color rgb="FF1155CC"/>
        <sz val="11.0"/>
        <u/>
      </rPr>
      <t>한울 촉촉 고구마 스틱, 20g, 10개 - 고구마말랭이 | 쿠팡</t>
    </r>
  </si>
  <si>
    <r>
      <rPr>
        <rFont val="Arial"/>
        <color rgb="FF1155CC"/>
        <sz val="11.0"/>
        <u/>
      </rPr>
      <t>닥터유 에너지바 투바이트, 468g, 1개 - | 쿠팡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</si>
</sst>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[$₩-412]#,##0"/>
  </numFmts>
  <fonts count="19">
    <font>
      <sz val="10.0"/>
      <color rgb="FF000000"/>
      <name val="Arial"/>
      <scheme val="minor"/>
    </font>
    <font>
      <color theme="1"/>
      <name val="Arial"/>
      <scheme val="minor"/>
    </font>
    <font>
      <sz val="20.0"/>
      <color theme="1"/>
      <name val="Arial"/>
    </font>
    <font/>
    <font>
      <sz val="11.0"/>
      <color theme="1"/>
      <name val="Arial"/>
    </font>
    <font>
      <color theme="1"/>
      <name val="Arial"/>
    </font>
    <font>
      <color rgb="FFFF0000"/>
      <name val="Arial"/>
    </font>
    <font>
      <u/>
      <sz val="11.0"/>
      <color rgb="FF0000FF"/>
      <name val="Arial"/>
    </font>
    <font>
      <u/>
      <sz val="12.0"/>
      <color rgb="FF0000FF"/>
      <name val="Malgun Gothic"/>
    </font>
    <font>
      <u/>
      <sz val="11.0"/>
      <color rgb="FF1155CC"/>
      <name val="Arial"/>
    </font>
    <font>
      <u/>
      <sz val="11.0"/>
      <color rgb="FF1155CC"/>
      <name val="Arial"/>
    </font>
    <font>
      <u/>
      <sz val="11.0"/>
      <color rgb="FF1155CC"/>
      <name val="Arial"/>
    </font>
    <font>
      <u/>
      <sz val="11.0"/>
      <color rgb="FF0000FF"/>
      <name val="Arial"/>
    </font>
    <font>
      <sz val="11.0"/>
      <color rgb="FF1155CC"/>
    </font>
    <font>
      <u/>
      <sz val="11.0"/>
      <color rgb="FF1155CC"/>
      <name val="Arial"/>
    </font>
    <font>
      <u/>
      <color rgb="FF0000FF"/>
    </font>
    <font>
      <u/>
      <sz val="11.0"/>
      <color rgb="FF0000FF"/>
      <name val="Arial"/>
    </font>
    <font>
      <u/>
      <sz val="11.0"/>
      <color rgb="FF0000FF"/>
      <name val="Arial"/>
    </font>
    <font>
      <u/>
      <sz val="11.0"/>
      <color rgb="FF0000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E2EFD9"/>
        <bgColor rgb="FFE2EFD9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33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right style="thin">
        <color rgb="FF000000"/>
      </right>
    </border>
    <border>
      <right style="medium">
        <color rgb="FF000000"/>
      </right>
    </border>
    <border>
      <left style="medium">
        <color rgb="FF000000"/>
      </left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vertical="bottom"/>
    </xf>
    <xf borderId="2" fillId="0" fontId="3" numFmtId="0" xfId="0" applyBorder="1" applyFont="1"/>
    <xf borderId="3" fillId="0" fontId="3" numFmtId="0" xfId="0" applyBorder="1" applyFont="1"/>
    <xf borderId="4" fillId="2" fontId="4" numFmtId="0" xfId="0" applyAlignment="1" applyBorder="1" applyFont="1">
      <alignment horizontal="center" shrinkToFit="0" vertical="bottom" wrapText="1"/>
    </xf>
    <xf borderId="5" fillId="2" fontId="4" numFmtId="0" xfId="0" applyAlignment="1" applyBorder="1" applyFont="1">
      <alignment horizontal="center" shrinkToFit="0" vertical="bottom" wrapText="1"/>
    </xf>
    <xf borderId="6" fillId="2" fontId="4" numFmtId="0" xfId="0" applyAlignment="1" applyBorder="1" applyFont="1">
      <alignment horizontal="center" vertical="bottom"/>
    </xf>
    <xf borderId="0" fillId="0" fontId="5" numFmtId="0" xfId="0" applyAlignment="1" applyFont="1">
      <alignment vertical="bottom"/>
    </xf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5" numFmtId="0" xfId="0" applyAlignment="1" applyBorder="1" applyFont="1">
      <alignment vertical="bottom"/>
    </xf>
    <xf borderId="11" fillId="0" fontId="5" numFmtId="0" xfId="0" applyAlignment="1" applyBorder="1" applyFont="1">
      <alignment vertical="bottom"/>
    </xf>
    <xf borderId="12" fillId="0" fontId="5" numFmtId="0" xfId="0" applyAlignment="1" applyBorder="1" applyFont="1">
      <alignment vertical="bottom"/>
    </xf>
    <xf borderId="13" fillId="2" fontId="4" numFmtId="0" xfId="0" applyAlignment="1" applyBorder="1" applyFont="1">
      <alignment horizontal="center" vertical="bottom"/>
    </xf>
    <xf borderId="14" fillId="0" fontId="4" numFmtId="0" xfId="0" applyAlignment="1" applyBorder="1" applyFont="1">
      <alignment horizontal="center" vertical="bottom"/>
    </xf>
    <xf borderId="15" fillId="0" fontId="3" numFmtId="0" xfId="0" applyBorder="1" applyFont="1"/>
    <xf borderId="4" fillId="0" fontId="3" numFmtId="0" xfId="0" applyBorder="1" applyFont="1"/>
    <xf borderId="2" fillId="2" fontId="4" numFmtId="0" xfId="0" applyAlignment="1" applyBorder="1" applyFont="1">
      <alignment horizontal="center" vertical="bottom"/>
    </xf>
    <xf borderId="16" fillId="0" fontId="4" numFmtId="0" xfId="0" applyAlignment="1" applyBorder="1" applyFont="1">
      <alignment horizontal="center" shrinkToFit="0" vertical="bottom" wrapText="1"/>
    </xf>
    <xf borderId="17" fillId="0" fontId="3" numFmtId="0" xfId="0" applyBorder="1" applyFont="1"/>
    <xf borderId="18" fillId="0" fontId="4" numFmtId="164" xfId="0" applyAlignment="1" applyBorder="1" applyFont="1" applyNumberFormat="1">
      <alignment horizontal="center" vertical="bottom"/>
    </xf>
    <xf borderId="18" fillId="2" fontId="4" numFmtId="0" xfId="0" applyAlignment="1" applyBorder="1" applyFont="1">
      <alignment horizontal="center" vertical="bottom"/>
    </xf>
    <xf borderId="18" fillId="0" fontId="4" numFmtId="0" xfId="0" applyAlignment="1" applyBorder="1" applyFont="1">
      <alignment horizontal="center" vertical="bottom"/>
    </xf>
    <xf borderId="19" fillId="0" fontId="3" numFmtId="0" xfId="0" applyBorder="1" applyFont="1"/>
    <xf borderId="20" fillId="0" fontId="3" numFmtId="0" xfId="0" applyBorder="1" applyFont="1"/>
    <xf borderId="21" fillId="0" fontId="3" numFmtId="0" xfId="0" applyBorder="1" applyFont="1"/>
    <xf borderId="22" fillId="0" fontId="3" numFmtId="0" xfId="0" applyBorder="1" applyFont="1"/>
    <xf borderId="23" fillId="2" fontId="4" numFmtId="0" xfId="0" applyAlignment="1" applyBorder="1" applyFont="1">
      <alignment horizontal="center" vertical="bottom"/>
    </xf>
    <xf borderId="24" fillId="2" fontId="4" numFmtId="0" xfId="0" applyAlignment="1" applyBorder="1" applyFont="1">
      <alignment horizontal="center" vertical="bottom"/>
    </xf>
    <xf borderId="25" fillId="2" fontId="4" numFmtId="0" xfId="0" applyAlignment="1" applyBorder="1" applyFont="1">
      <alignment horizontal="center" vertical="bottom"/>
    </xf>
    <xf borderId="26" fillId="2" fontId="4" numFmtId="0" xfId="0" applyAlignment="1" applyBorder="1" applyFont="1">
      <alignment horizontal="center" vertical="bottom"/>
    </xf>
    <xf borderId="27" fillId="2" fontId="4" numFmtId="0" xfId="0" applyAlignment="1" applyBorder="1" applyFont="1">
      <alignment horizontal="center" vertical="bottom"/>
    </xf>
    <xf borderId="28" fillId="0" fontId="3" numFmtId="0" xfId="0" applyBorder="1" applyFont="1"/>
    <xf borderId="29" fillId="3" fontId="4" numFmtId="0" xfId="0" applyAlignment="1" applyBorder="1" applyFill="1" applyFont="1">
      <alignment readingOrder="0" vertical="bottom"/>
    </xf>
    <xf borderId="30" fillId="3" fontId="4" numFmtId="0" xfId="0" applyAlignment="1" applyBorder="1" applyFont="1">
      <alignment readingOrder="0" vertical="bottom"/>
    </xf>
    <xf borderId="30" fillId="3" fontId="4" numFmtId="165" xfId="0" applyAlignment="1" applyBorder="1" applyFont="1" applyNumberFormat="1">
      <alignment horizontal="right" vertical="bottom"/>
    </xf>
    <xf borderId="30" fillId="3" fontId="4" numFmtId="0" xfId="0" applyAlignment="1" applyBorder="1" applyFont="1">
      <alignment vertical="bottom"/>
    </xf>
    <xf borderId="0" fillId="3" fontId="5" numFmtId="0" xfId="0" applyAlignment="1" applyFont="1">
      <alignment vertical="bottom"/>
    </xf>
    <xf borderId="29" fillId="3" fontId="4" numFmtId="0" xfId="0" applyAlignment="1" applyBorder="1" applyFont="1">
      <alignment vertical="bottom"/>
    </xf>
    <xf borderId="31" fillId="0" fontId="3" numFmtId="0" xfId="0" applyBorder="1" applyFont="1"/>
    <xf borderId="30" fillId="3" fontId="4" numFmtId="165" xfId="0" applyAlignment="1" applyBorder="1" applyFont="1" applyNumberFormat="1">
      <alignment horizontal="right" readingOrder="0" vertical="bottom"/>
    </xf>
    <xf borderId="29" fillId="4" fontId="4" numFmtId="0" xfId="0" applyAlignment="1" applyBorder="1" applyFill="1" applyFont="1">
      <alignment readingOrder="0" vertical="bottom"/>
    </xf>
    <xf borderId="30" fillId="4" fontId="4" numFmtId="0" xfId="0" applyAlignment="1" applyBorder="1" applyFont="1">
      <alignment readingOrder="0" vertical="bottom"/>
    </xf>
    <xf borderId="30" fillId="4" fontId="4" numFmtId="165" xfId="0" applyAlignment="1" applyBorder="1" applyFont="1" applyNumberFormat="1">
      <alignment horizontal="right" readingOrder="0" vertical="bottom"/>
    </xf>
    <xf borderId="0" fillId="0" fontId="6" numFmtId="0" xfId="0" applyAlignment="1" applyFont="1">
      <alignment vertical="bottom"/>
    </xf>
    <xf borderId="29" fillId="5" fontId="4" numFmtId="0" xfId="0" applyAlignment="1" applyBorder="1" applyFill="1" applyFont="1">
      <alignment vertical="bottom"/>
    </xf>
    <xf borderId="30" fillId="4" fontId="4" numFmtId="165" xfId="0" applyAlignment="1" applyBorder="1" applyFont="1" applyNumberFormat="1">
      <alignment horizontal="right" vertical="bottom"/>
    </xf>
    <xf borderId="0" fillId="4" fontId="5" numFmtId="0" xfId="0" applyAlignment="1" applyFont="1">
      <alignment vertical="bottom"/>
    </xf>
    <xf borderId="29" fillId="4" fontId="4" numFmtId="0" xfId="0" applyAlignment="1" applyBorder="1" applyFont="1">
      <alignment vertical="bottom"/>
    </xf>
    <xf borderId="30" fillId="0" fontId="4" numFmtId="0" xfId="0" applyAlignment="1" applyBorder="1" applyFont="1">
      <alignment vertical="bottom"/>
    </xf>
    <xf borderId="30" fillId="4" fontId="4" numFmtId="0" xfId="0" applyAlignment="1" applyBorder="1" applyFont="1">
      <alignment vertical="bottom"/>
    </xf>
    <xf borderId="0" fillId="0" fontId="7" numFmtId="0" xfId="0" applyAlignment="1" applyFont="1">
      <alignment readingOrder="0" vertical="bottom"/>
    </xf>
    <xf borderId="0" fillId="4" fontId="8" numFmtId="0" xfId="0" applyAlignment="1" applyFont="1">
      <alignment readingOrder="0" vertical="bottom"/>
    </xf>
    <xf borderId="0" fillId="4" fontId="9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4" fontId="11" numFmtId="3" xfId="0" applyAlignment="1" applyFont="1" applyNumberFormat="1">
      <alignment vertical="bottom"/>
    </xf>
    <xf borderId="0" fillId="4" fontId="12" numFmtId="0" xfId="0" applyAlignment="1" applyFont="1">
      <alignment readingOrder="0" vertical="bottom"/>
    </xf>
    <xf borderId="30" fillId="4" fontId="5" numFmtId="0" xfId="0" applyAlignment="1" applyBorder="1" applyFont="1">
      <alignment readingOrder="0" vertical="bottom"/>
    </xf>
    <xf borderId="0" fillId="4" fontId="13" numFmtId="0" xfId="0" applyAlignment="1" applyFont="1">
      <alignment readingOrder="0" vertical="bottom"/>
    </xf>
    <xf borderId="30" fillId="4" fontId="5" numFmtId="0" xfId="0" applyAlignment="1" applyBorder="1" applyFont="1">
      <alignment vertical="bottom"/>
    </xf>
    <xf borderId="30" fillId="4" fontId="5" numFmtId="165" xfId="0" applyAlignment="1" applyBorder="1" applyFont="1" applyNumberFormat="1">
      <alignment vertical="bottom"/>
    </xf>
    <xf borderId="31" fillId="4" fontId="14" numFmtId="0" xfId="0" applyAlignment="1" applyBorder="1" applyFont="1">
      <alignment vertical="bottom"/>
    </xf>
    <xf borderId="29" fillId="5" fontId="4" numFmtId="0" xfId="0" applyAlignment="1" applyBorder="1" applyFont="1">
      <alignment readingOrder="0" vertical="bottom"/>
    </xf>
    <xf borderId="30" fillId="0" fontId="4" numFmtId="0" xfId="0" applyAlignment="1" applyBorder="1" applyFont="1">
      <alignment readingOrder="0" vertical="bottom"/>
    </xf>
    <xf borderId="0" fillId="0" fontId="15" numFmtId="0" xfId="0" applyAlignment="1" applyFont="1">
      <alignment readingOrder="0"/>
    </xf>
    <xf borderId="29" fillId="5" fontId="4" numFmtId="0" xfId="0" applyAlignment="1" applyBorder="1" applyFont="1">
      <alignment readingOrder="0"/>
    </xf>
    <xf borderId="30" fillId="4" fontId="4" numFmtId="0" xfId="0" applyAlignment="1" applyBorder="1" applyFont="1">
      <alignment readingOrder="0"/>
    </xf>
    <xf borderId="30" fillId="4" fontId="4" numFmtId="165" xfId="0" applyAlignment="1" applyBorder="1" applyFont="1" applyNumberFormat="1">
      <alignment horizontal="right" readingOrder="0"/>
    </xf>
    <xf borderId="30" fillId="0" fontId="4" numFmtId="0" xfId="0" applyAlignment="1" applyBorder="1" applyFont="1">
      <alignment readingOrder="0"/>
    </xf>
    <xf borderId="29" fillId="4" fontId="4" numFmtId="0" xfId="0" applyAlignment="1" applyBorder="1" applyFont="1">
      <alignment readingOrder="0"/>
    </xf>
    <xf borderId="0" fillId="4" fontId="16" numFmtId="0" xfId="0" applyAlignment="1" applyFont="1">
      <alignment readingOrder="0"/>
    </xf>
    <xf borderId="30" fillId="4" fontId="4" numFmtId="0" xfId="0" applyBorder="1" applyFont="1"/>
    <xf borderId="30" fillId="4" fontId="4" numFmtId="165" xfId="0" applyAlignment="1" applyBorder="1" applyFont="1" applyNumberFormat="1">
      <alignment horizontal="right"/>
    </xf>
    <xf borderId="30" fillId="0" fontId="4" numFmtId="0" xfId="0" applyBorder="1" applyFont="1"/>
    <xf borderId="0" fillId="4" fontId="4" numFmtId="0" xfId="0" applyFont="1"/>
    <xf borderId="30" fillId="3" fontId="4" numFmtId="0" xfId="0" applyAlignment="1" applyBorder="1" applyFont="1">
      <alignment readingOrder="0"/>
    </xf>
    <xf borderId="30" fillId="3" fontId="4" numFmtId="165" xfId="0" applyAlignment="1" applyBorder="1" applyFont="1" applyNumberFormat="1">
      <alignment horizontal="right"/>
    </xf>
    <xf borderId="30" fillId="3" fontId="4" numFmtId="165" xfId="0" applyAlignment="1" applyBorder="1" applyFont="1" applyNumberFormat="1">
      <alignment horizontal="right" readingOrder="0"/>
    </xf>
    <xf borderId="30" fillId="3" fontId="4" numFmtId="0" xfId="0" applyBorder="1" applyFont="1"/>
    <xf borderId="0" fillId="3" fontId="17" numFmtId="0" xfId="0" applyFont="1"/>
    <xf borderId="30" fillId="4" fontId="4" numFmtId="0" xfId="0" applyBorder="1" applyFont="1"/>
    <xf borderId="0" fillId="4" fontId="18" numFmtId="0" xfId="0" applyFont="1"/>
    <xf borderId="29" fillId="0" fontId="4" numFmtId="0" xfId="0" applyAlignment="1" applyBorder="1" applyFont="1">
      <alignment vertical="bottom"/>
    </xf>
    <xf borderId="30" fillId="0" fontId="5" numFmtId="0" xfId="0" applyAlignment="1" applyBorder="1" applyFont="1">
      <alignment vertical="bottom"/>
    </xf>
    <xf borderId="30" fillId="0" fontId="4" numFmtId="165" xfId="0" applyAlignment="1" applyBorder="1" applyFont="1" applyNumberFormat="1">
      <alignment horizontal="right" vertical="bottom"/>
    </xf>
    <xf borderId="30" fillId="0" fontId="4" numFmtId="165" xfId="0" applyAlignment="1" applyBorder="1" applyFont="1" applyNumberFormat="1">
      <alignment horizontal="right" readingOrder="0" vertical="bottom"/>
    </xf>
    <xf borderId="29" fillId="0" fontId="5" numFmtId="0" xfId="0" applyAlignment="1" applyBorder="1" applyFont="1">
      <alignment vertical="bottom"/>
    </xf>
    <xf borderId="32" fillId="3" fontId="4" numFmtId="0" xfId="0" applyAlignment="1" applyBorder="1" applyFont="1">
      <alignment horizontal="center" vertical="bottom"/>
    </xf>
    <xf borderId="30" fillId="0" fontId="3" numFmtId="0" xfId="0" applyBorder="1" applyFont="1"/>
    <xf borderId="29" fillId="0" fontId="4" numFmtId="0" xfId="0" applyAlignment="1" applyBorder="1" applyFont="1">
      <alignment readingOrder="0" vertical="bottom"/>
    </xf>
    <xf borderId="19" fillId="0" fontId="5" numFmtId="0" xfId="0" applyAlignment="1" applyBorder="1" applyFont="1">
      <alignment vertical="bottom"/>
    </xf>
    <xf borderId="9" fillId="0" fontId="5" numFmtId="0" xfId="0" applyAlignment="1" applyBorder="1" applyFont="1">
      <alignment vertical="bottom"/>
    </xf>
    <xf borderId="8" fillId="0" fontId="5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coupang.com/vp/products/8719918331?itemId=25328549440&amp;vendorItemId=92323392297&amp;sourceType=srp_product_ads&amp;clickEventId=a80be5e0-3805-11f1-9be4-3567864d250e&amp;korePlacement=15&amp;koreSubPlacement=22&amp;clickEventId=a80be5e0-3805-11f1-9be4-3567864d250e&amp;korePlacement=15&amp;koreSubPlacement=22&amp;traceId=mnynp930" TargetMode="External"/><Relationship Id="rId20" Type="http://schemas.openxmlformats.org/officeDocument/2006/relationships/hyperlink" Target="https://www.coupang.com/vp/products/9491510937?itemId=28242057080&amp;vendorItemId=95155930630&amp;q=%EB%A7%88%EB%A6%AC%EC%98%A4+%ED%83%80%ED%88%AC%EC%8A%A4%ED%8B%B0%EC%BB%A4&amp;searchId=c73e3e2d7639083&amp;sourceType=search&amp;itemsCount=60&amp;searchRank=13&amp;rank=13&amp;traceId=mnx9grop" TargetMode="External"/><Relationship Id="rId42" Type="http://schemas.openxmlformats.org/officeDocument/2006/relationships/drawing" Target="../drawings/drawing1.xml"/><Relationship Id="rId41" Type="http://schemas.openxmlformats.org/officeDocument/2006/relationships/hyperlink" Target="https://www.bizhows.com/ko/v/option?code1=4000&amp;code2=200&amp;code3=1001&amp;mock=4000_200_1001_6&amp;priorityKeywordCategory=&amp;defaultKeyword=" TargetMode="External"/><Relationship Id="rId22" Type="http://schemas.openxmlformats.org/officeDocument/2006/relationships/hyperlink" Target="https://www.coupang.com/vp/products/7650692407?itemId=20355651141&amp;vendorItemId=75312938150&amp;q=%EB%8B%A8%EC%B2%B4%EC%A4%84%EB%84%98%EA%B8%B0&amp;searchId=e7624f9b5311644&amp;sourceType=search&amp;itemsCount=60&amp;searchRank=4&amp;rank=4&amp;traceId=mok53yl1" TargetMode="External"/><Relationship Id="rId21" Type="http://schemas.openxmlformats.org/officeDocument/2006/relationships/hyperlink" Target="https://www.coupang.com/vp/products/7849796436?itemId=21392878497&amp;vendorItemId=88449574662&amp;q=%EB%B6%84%EB%A6%AC%EC%88%98%EA%B1%B0+%EB%B4%89%ED%88%AC&amp;itemsCount=36&amp;searchId=52429e5e2185856&amp;rank=7&amp;searchRank=7&amp;isAddedCart=" TargetMode="External"/><Relationship Id="rId24" Type="http://schemas.openxmlformats.org/officeDocument/2006/relationships/hyperlink" Target="https://www.coupang.com/vp/products/29533974?itemId=112898943&amp;vendorItemId=3214073142&amp;sourceType=srp_product_ads&amp;clickEventId=8f7cf8d0-3741-11f1-b3dc-c7f9dd45f425&amp;korePlacement=15&amp;koreSubPlacement=1&amp;clickEventId=8f7cf8d0-3741-11f1-b3dc-c7f9dd45f425&amp;korePlacement=15&amp;koreSubPlacement=1&amp;traceId=mnx9le6k" TargetMode="External"/><Relationship Id="rId23" Type="http://schemas.openxmlformats.org/officeDocument/2006/relationships/hyperlink" Target="https://www.coupang.com/vp/products/29533974?itemId=112898936&amp;vendorItemId=3213724573&amp;sourceType=srp_product_ads&amp;clickEventId=8f7cf8d0-3741-11f1-b3dc-c7f9dd45f425&amp;korePlacement=15&amp;koreSubPlacement=1&amp;clickEventId=8f7cf8d0-3741-11f1-b3dc-c7f9dd45f425&amp;korePlacement=15&amp;koreSubPlacement=1&amp;traceId=mnx9le6k" TargetMode="External"/><Relationship Id="rId1" Type="http://schemas.openxmlformats.org/officeDocument/2006/relationships/hyperlink" Target="https://smartstore.naver.com/youneedun_official/products/8560408431?nl-query=%EC%83%89%EA%B9%94+%ED%8C%90&amp;nl-ts-pid=jOPywsqXKZGssP6a5Ls-465428&amp;NaPm=ct%3Dmnrjxwg8%7Cci%3Debea21b8e8a77bc7f702f18692ecdc7e03d11e8c%7Ctr%3Dsls%7Csn%3D6042554%7Chk%3D7753a7bc3d74ed81d34f15eec6ad702f7633b9b0" TargetMode="External"/><Relationship Id="rId2" Type="http://schemas.openxmlformats.org/officeDocument/2006/relationships/hyperlink" Target="https://www.coupang.com/vp/products/6671696651?itemId=15352091516&amp;vendorItemId=82572322173&amp;pickType=COU_PICK&amp;q=%ED%88%AC%EB%AA%85%ED%85%8C%EC%9D%B4%ED%94%84&amp;searchId=522433253669670&amp;sourceType=search&amp;itemsCount=36&amp;searchRank=2&amp;rank=2&amp;traceId=mnrmpect" TargetMode="External"/><Relationship Id="rId3" Type="http://schemas.openxmlformats.org/officeDocument/2006/relationships/hyperlink" Target="https://www.coupang.com/vp/products/5625704601?itemId=9133866797&amp;vendorItemId=86137790576&amp;pickType=COU_PICK&amp;q=%EB%AC%BC+%EB%AC%B4%EB%9D%BC%EB%B2%A8+500ml&amp;itemsCount=36&amp;searchId=60dcdd0a2337972&amp;rank=0&amp;searchRank=0&amp;isAddedCart=" TargetMode="External"/><Relationship Id="rId4" Type="http://schemas.openxmlformats.org/officeDocument/2006/relationships/hyperlink" Target="https://www.coupang.com/vp/products/6959793257?itemId=18136852977&amp;vendorItemId=88378499202&amp;q=%EC%9D%B4%EC%98%A8%EC%9D%8C%EB%A3%8C&amp;searchId=3a6fe17513961&amp;sourceType=search&amp;itemsCount=36&amp;searchRank=2&amp;rank=2&amp;traceId=mfe2hvc3" TargetMode="External"/><Relationship Id="rId9" Type="http://schemas.openxmlformats.org/officeDocument/2006/relationships/hyperlink" Target="https://www.coupang.com/vp/products/7203904313?itemId=21668114878&amp;vendorItemId=91452418243&amp;sourceType=srp_product_ads&amp;clickEventId=547e4f60-342e-11f1-a918-8f098ceba0fb&amp;korePlacement=15&amp;koreSubPlacement=1&amp;clickEventId=547e4f60-342e-11f1-a918-8f098ceba0fb&amp;korePlacement=15&amp;koreSubPlacement=1&amp;traceId=mnro9y77" TargetMode="External"/><Relationship Id="rId26" Type="http://schemas.openxmlformats.org/officeDocument/2006/relationships/hyperlink" Target="https://www.coupang.com/vp/products/29533974?itemId=112898942&amp;vendorItemId=3213936121&amp;sourceType=srp_product_ads&amp;clickEventId=8f7cf8d0-3741-11f1-b3dc-c7f9dd45f425&amp;korePlacement=15&amp;koreSubPlacement=1&amp;clickEventId=8f7cf8d0-3741-11f1-b3dc-c7f9dd45f425&amp;korePlacement=15&amp;koreSubPlacement=1&amp;traceId=mnx9le6k" TargetMode="External"/><Relationship Id="rId25" Type="http://schemas.openxmlformats.org/officeDocument/2006/relationships/hyperlink" Target="https://www.coupang.com/vp/products/29533974?itemId=112898940&amp;vendorItemId=3213929525&amp;sourceType=srp_product_ads&amp;clickEventId=8f7cf8d0-3741-11f1-b3dc-c7f9dd45f425&amp;korePlacement=15&amp;koreSubPlacement=1&amp;clickEventId=8f7cf8d0-3741-11f1-b3dc-c7f9dd45f425&amp;korePlacement=15&amp;koreSubPlacement=1&amp;traceId=mnx9le6k" TargetMode="External"/><Relationship Id="rId28" Type="http://schemas.openxmlformats.org/officeDocument/2006/relationships/hyperlink" Target="https://www.topntop.co.kr/shop/goods/goods_view.php?goodsno=14493&amp;category=001" TargetMode="External"/><Relationship Id="rId27" Type="http://schemas.openxmlformats.org/officeDocument/2006/relationships/hyperlink" Target="https://www.coupang.com/vp/products/29533974?itemId=112898941&amp;vendorItemId=3214524157&amp;sourceType=srp_product_ads&amp;clickEventId=8f7cf8d0-3741-11f1-b3dc-c7f9dd45f425&amp;korePlacement=15&amp;koreSubPlacement=1&amp;clickEventId=8f7cf8d0-3741-11f1-b3dc-c7f9dd45f425&amp;korePlacement=15&amp;koreSubPlacement=1&amp;traceId=mnx9le6k" TargetMode="External"/><Relationship Id="rId5" Type="http://schemas.openxmlformats.org/officeDocument/2006/relationships/hyperlink" Target="https://www.coupang.com/vp/products/8544933292?itemId=548226098&amp;vendorItemId=85072693047&amp;pickType=COU_PICK&amp;q=%EC%9D%B4%EC%98%A8%EC%9D%8C%EB%A3%8C+%EB%AC%B4%EB%9D%BC%EB%B2%A8&amp;itemsCount=36&amp;searchId=a190830e542358&amp;rank=1&amp;searchRank=1&amp;isAddedCart=" TargetMode="External"/><Relationship Id="rId6" Type="http://schemas.openxmlformats.org/officeDocument/2006/relationships/hyperlink" Target="https://www.coupang.com/vp/products/7230296106?itemId=18344875277&amp;vendorItemId=86150796269&amp;q=%EB%8B%AC%EA%B3%A0%EB%82%98+2%EA%B0%9C&amp;itemsCount=36&amp;searchId=508832dc940381&amp;rank=53&amp;searchRank=17&amp;isAddedCart=" TargetMode="External"/><Relationship Id="rId29" Type="http://schemas.openxmlformats.org/officeDocument/2006/relationships/hyperlink" Target="https://www.coupang.com/vp/products/1082876317?itemId=16257413452&amp;vendorItemId=90418599363&amp;pickType=COU_PICK&amp;q=%EA%B3%A0%EA%B5%AC%EB%A7%88%EC%8A%A4%ED%8B%B1&amp;searchId=ac5cb5691999417&amp;sourceType=search&amp;itemsCount=36&amp;searchRank=0&amp;rank=0&amp;traceId=mfe515x8" TargetMode="External"/><Relationship Id="rId7" Type="http://schemas.openxmlformats.org/officeDocument/2006/relationships/hyperlink" Target="https://www.coupang.com/vp/products/6155420054?itemId=19239199829&amp;vendorItemId=71503717362&amp;pickType=COU_PICK&amp;q=%EB%B0%9C%ED%8F%AC%EB%B9%84%ED%83%80%EB%AF%BC&amp;itemsCount=36&amp;searchId=7ee987d45174216&amp;rank=0&amp;searchRank=0&amp;isAddedCart=" TargetMode="External"/><Relationship Id="rId8" Type="http://schemas.openxmlformats.org/officeDocument/2006/relationships/hyperlink" Target="https://www.coupang.com/vp/products/8128986977?itemId=10810139370&amp;vendorItemId=86607945075&amp;q=%EB%B3%84%EB%BD%80%EB%B9%A0%EC%9D%B4&amp;itemsCount=36&amp;searchId=3e20ba69376330&amp;rank=0&amp;searchRank=0&amp;isAddedCart=" TargetMode="External"/><Relationship Id="rId31" Type="http://schemas.openxmlformats.org/officeDocument/2006/relationships/hyperlink" Target="https://www.coupang.com/vp/products/8174361304?itemId=23357867452&amp;vendorItemId=90388433128&amp;q=%EC%BF%A0%ED%82%A4%EB%9E%91+%EB%A8%B9%EC%9D%84+%EC%A3%BC%EC%8A%A4&amp;itemsCount=36&amp;searchId=ca07d92817950&amp;rank=0&amp;searchRank=0&amp;isAddedCart=" TargetMode="External"/><Relationship Id="rId30" Type="http://schemas.openxmlformats.org/officeDocument/2006/relationships/hyperlink" Target="https://www.coupang.com/vp/products/7673161101?itemId=24413510888&amp;vendorItemId=87875617274&amp;pickType=COU_PICK&amp;q=%EC%97%90%EB%84%88%EC%A7%80%EB%B0%94&amp;searchId=f1b9a167102846&amp;sourceType=search&amp;itemsCount=36&amp;searchRank=3&amp;rank=3&amp;traceId=mfe3bg0v" TargetMode="External"/><Relationship Id="rId11" Type="http://schemas.openxmlformats.org/officeDocument/2006/relationships/hyperlink" Target="https://www.coupang.com/vp/products/7665332800?itemId=20432605572&amp;vendorItemId=79820084798&amp;q=%EC%9A%B4%EB%8F%99+%ED%9B%84+%EC%82%AC%ED%83%95&amp;itemsCount=36&amp;searchId=1b7db0bf1074766&amp;rank=1&amp;searchRank=1&amp;isAddedCart=" TargetMode="External"/><Relationship Id="rId33" Type="http://schemas.openxmlformats.org/officeDocument/2006/relationships/hyperlink" Target="https://www.coupang.com/vp/products/1477801942?itemId=2539080661&amp;vendorItemId=70531854415&amp;q=%EC%9A%B4%EB%8F%99%ED%9A%8C+%EC%9A%B0%EC%8A%B9+%ED%8A%B8%EB%A1%9C%ED%94%BC&amp;itemsCount=36&amp;searchId=da5299942324653&amp;rank=0&amp;searchRank=0&amp;isAddedCart=" TargetMode="External"/><Relationship Id="rId10" Type="http://schemas.openxmlformats.org/officeDocument/2006/relationships/hyperlink" Target="https://www.coupang.com/vp/products/8244758625?itemId=294418082&amp;vendorItemId=85500815024&amp;q=%EC%8B%A0%EC%AB%84%EC%9D%B4&amp;itemsCount=36&amp;searchId=241446ce1230593&amp;rank=3&amp;searchRank=3&amp;isAddedCart=" TargetMode="External"/><Relationship Id="rId32" Type="http://schemas.openxmlformats.org/officeDocument/2006/relationships/hyperlink" Target="https://www.coupang.com/vp/products/6261699447?itemId=12753822094&amp;vendorItemId=80020102996&amp;q=%EA%B8%88%EB%A9%94%EB%8B%AC+20%EA%B0%9C&amp;itemsCount=36&amp;searchId=46f2af8c2299075&amp;rank=1&amp;searchRank=1&amp;isAddedCart=" TargetMode="External"/><Relationship Id="rId13" Type="http://schemas.openxmlformats.org/officeDocument/2006/relationships/hyperlink" Target="https://www.coupang.com/vp/products/1440533247?itemId=2484309738&amp;vendorItemId=70477602597&amp;q=%EB%A6%BC%EB%B3%B4+%EC%84%B8%ED%8A%B8&amp;searchId=a27a4de25303530&amp;sourceType=search&amp;itemsCount=60&amp;searchRank=2&amp;rank=2&amp;traceId=mok5dwc2" TargetMode="External"/><Relationship Id="rId35" Type="http://schemas.openxmlformats.org/officeDocument/2006/relationships/hyperlink" Target="https://www.coupang.com/vp/products/8960657461?vendorItemId=94930569006&amp;sourceType=SDP_ALSO_VIEWED" TargetMode="External"/><Relationship Id="rId12" Type="http://schemas.openxmlformats.org/officeDocument/2006/relationships/hyperlink" Target="https://gamerental.kr/product/detail.html?product_no=47&amp;cate_no=25&amp;display_group=1" TargetMode="External"/><Relationship Id="rId34" Type="http://schemas.openxmlformats.org/officeDocument/2006/relationships/hyperlink" Target="https://www.coupang.com/vp/products/7318043254?itemId=18763275561&amp;vendorItemId=85895086210&amp;pickType=COU_PICK&amp;q=%EB%B6%80%EC%B1%84&amp;itemsCount=36&amp;searchId=b00dcb541257132&amp;rank=1&amp;searchRank=1&amp;isAddedCart=" TargetMode="External"/><Relationship Id="rId15" Type="http://schemas.openxmlformats.org/officeDocument/2006/relationships/hyperlink" Target="https://www.coupang.com/vp/products/8364298166?itemId=24166242362&amp;vendorItemId=91184631395&amp;src=1191000&amp;spec=10999999&amp;addtag=400&amp;ctag=8364298166&amp;lptag=CFM34803762&amp;itime=20260410004803&amp;pageType=PRODUCT&amp;pageValue=8364298166&amp;wPcid=17737232905412231578312&amp;wRef=&amp;wTime=20260410004803&amp;redirect=landing&amp;abTestInfo=100412_group_C%2F%3Fstyle%3Dkakao_existing_ui&amp;mcid=fb357bcbb0f04b7595b080c36aa9dab9&amp;sharesource=sharebutton&amp;style=&amp;isshortened=Y&amp;settlement=N" TargetMode="External"/><Relationship Id="rId37" Type="http://schemas.openxmlformats.org/officeDocument/2006/relationships/hyperlink" Target="https://www.coupang.com/vp/products/7685887140?itemId=20539738506&amp;vendorItemId=92233756252&amp;sourceType=srp_product_ads&amp;clickEventId=ef6c8540-3803-11f1-988d-91104679256f&amp;korePlacement=15&amp;koreSubPlacement=1&amp;clickEventId=ef6c8540-3803-11f1-988d-91104679256f&amp;korePlacement=15&amp;koreSubPlacement=1&amp;traceId=mnyn8y10" TargetMode="External"/><Relationship Id="rId14" Type="http://schemas.openxmlformats.org/officeDocument/2006/relationships/hyperlink" Target="https://gamerental.kr/product/detail.html?product_no=78&amp;cate_no=28&amp;display_group=1" TargetMode="External"/><Relationship Id="rId36" Type="http://schemas.openxmlformats.org/officeDocument/2006/relationships/hyperlink" Target="https://www.coupang.com/vp/products/7640375378?itemId=20299196824&amp;vendorItemId=87385204260&amp;q=%EC%8A%88%ED%8D%BC+%EB%A7%88%EB%A6%AC%EC%98%A4+%EB%B0%B0%EA%B2%BD&amp;searchId=91e9eb5c1176213&amp;sourceType=search&amp;itemsCount=60&amp;searchRank=22&amp;rank=22&amp;traceId=mnyn6kjd" TargetMode="External"/><Relationship Id="rId17" Type="http://schemas.openxmlformats.org/officeDocument/2006/relationships/hyperlink" Target="https://www.coupang.com/vp/products/1516047654?itemId=2601916996&amp;vendorItemId=70593079872&amp;sourceType=SDW_TOP_SELLING_WIDGET_V2&amp;searchId=f4b8bbd23698221&amp;q=%EB%AC%BC%EC%B4%9D" TargetMode="External"/><Relationship Id="rId39" Type="http://schemas.openxmlformats.org/officeDocument/2006/relationships/hyperlink" Target="https://www.coupang.com/vp/products/7996171515?itemId=22245300605&amp;vendorItemId=89291116631&amp;q=%EB%A7%88%EB%A6%AC%EC%98%A4+%EB%AA%A8%EC%9E%90&amp;searchId=3ded64171968575&amp;sourceType=search&amp;itemsCount=60&amp;searchRank=14&amp;rank=14&amp;traceId=mnynj4x3" TargetMode="External"/><Relationship Id="rId16" Type="http://schemas.openxmlformats.org/officeDocument/2006/relationships/hyperlink" Target="https://www.coupang.com/vp/products/5482292808?itemId=8460726831&amp;vendorItemId=75748300488&amp;q=%EB%A7%88%EB%A6%AC%EC%98%A4+%EC%8A%A4%ED%8B%B0%EC%BB%A4&amp;searchId=fedb21e93794966&amp;sourceType=search&amp;itemsCount=36&amp;searchRank=4&amp;rank=4&amp;traceId=mnrllifq" TargetMode="External"/><Relationship Id="rId38" Type="http://schemas.openxmlformats.org/officeDocument/2006/relationships/hyperlink" Target="https://www.coupang.com/vp/products/7996171515?itemId=22245300606&amp;vendorItemId=89291116626&amp;q=%EB%A7%88%EB%A6%AC%EC%98%A4+%EB%AA%A8%EC%9E%90&amp;searchId=3ded64171968575&amp;sourceType=search&amp;itemsCount=60&amp;searchRank=14&amp;rank=14&amp;traceId=mnynj4x3" TargetMode="External"/><Relationship Id="rId19" Type="http://schemas.openxmlformats.org/officeDocument/2006/relationships/hyperlink" Target="https://www.coupang.com/vp/products/8399821648?itemId=24280944916&amp;vendorItemId=91297278939&amp;q=%EB%A7%88%EB%A6%AC%EC%98%A4+%EB%AA%A8%EC%9E%90&amp;searchId=e123b0403925425&amp;sourceType=search&amp;itemsCount=36&amp;searchRank=2&amp;rank=2&amp;traceId=mnrly7tm" TargetMode="External"/><Relationship Id="rId18" Type="http://schemas.openxmlformats.org/officeDocument/2006/relationships/hyperlink" Target="https://www.coupang.com/vp/products/8399821648?itemId=24280944915&amp;vendorItemId=91297278941&amp;q=%EB%A7%88%EB%A6%AC%EC%98%A4+%EB%AA%A8%EC%9E%90&amp;searchId=e123b0403925425&amp;sourceType=search&amp;itemsCount=36&amp;searchRank=2&amp;rank=2&amp;traceId=mnrly7tm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coupang.com/vp/products/8719918331?itemId=25328549440&amp;vendorItemId=92323392297&amp;sourceType=srp_product_ads&amp;clickEventId=a80be5e0-3805-11f1-9be4-3567864d250e&amp;korePlacement=15&amp;koreSubPlacement=22&amp;clickEventId=a80be5e0-3805-11f1-9be4-3567864d250e&amp;korePlacement=15&amp;koreSubPlacement=22&amp;traceId=mnynp930" TargetMode="External"/><Relationship Id="rId20" Type="http://schemas.openxmlformats.org/officeDocument/2006/relationships/hyperlink" Target="https://www.coupang.com/vp/products/9491510937?itemId=28242057080&amp;vendorItemId=95155930630&amp;q=%EB%A7%88%EB%A6%AC%EC%98%A4+%ED%83%80%ED%88%AC%EC%8A%A4%ED%8B%B0%EC%BB%A4&amp;searchId=c73e3e2d7639083&amp;sourceType=search&amp;itemsCount=60&amp;searchRank=13&amp;rank=13&amp;traceId=mnx9grop" TargetMode="External"/><Relationship Id="rId42" Type="http://schemas.openxmlformats.org/officeDocument/2006/relationships/drawing" Target="../drawings/drawing2.xml"/><Relationship Id="rId41" Type="http://schemas.openxmlformats.org/officeDocument/2006/relationships/hyperlink" Target="https://www.bizhows.com/ko/v/option?code1=4000&amp;code2=200&amp;code3=1001&amp;mock=4000_200_1001_6&amp;priorityKeywordCategory=&amp;defaultKeyword=" TargetMode="External"/><Relationship Id="rId22" Type="http://schemas.openxmlformats.org/officeDocument/2006/relationships/hyperlink" Target="https://www.coupang.com/vp/products/7650692407?itemId=20355651141&amp;vendorItemId=75312938150&amp;q=%EB%8B%A8%EC%B2%B4%EC%A4%84%EB%84%98%EA%B8%B0&amp;searchId=e7624f9b5311644&amp;sourceType=search&amp;itemsCount=60&amp;searchRank=4&amp;rank=4&amp;traceId=mok53yl1" TargetMode="External"/><Relationship Id="rId21" Type="http://schemas.openxmlformats.org/officeDocument/2006/relationships/hyperlink" Target="https://www.coupang.com/vp/products/7849796436?itemId=21392878497&amp;vendorItemId=88449574662&amp;q=%EB%B6%84%EB%A6%AC%EC%88%98%EA%B1%B0+%EB%B4%89%ED%88%AC&amp;itemsCount=36&amp;searchId=52429e5e2185856&amp;rank=7&amp;searchRank=7&amp;isAddedCart=" TargetMode="External"/><Relationship Id="rId24" Type="http://schemas.openxmlformats.org/officeDocument/2006/relationships/hyperlink" Target="https://www.coupang.com/vp/products/29533974?itemId=112898943&amp;vendorItemId=3214073142&amp;sourceType=srp_product_ads&amp;clickEventId=8f7cf8d0-3741-11f1-b3dc-c7f9dd45f425&amp;korePlacement=15&amp;koreSubPlacement=1&amp;clickEventId=8f7cf8d0-3741-11f1-b3dc-c7f9dd45f425&amp;korePlacement=15&amp;koreSubPlacement=1&amp;traceId=mnx9le6k" TargetMode="External"/><Relationship Id="rId23" Type="http://schemas.openxmlformats.org/officeDocument/2006/relationships/hyperlink" Target="https://www.coupang.com/vp/products/29533974?itemId=112898936&amp;vendorItemId=3213724573&amp;sourceType=srp_product_ads&amp;clickEventId=8f7cf8d0-3741-11f1-b3dc-c7f9dd45f425&amp;korePlacement=15&amp;koreSubPlacement=1&amp;clickEventId=8f7cf8d0-3741-11f1-b3dc-c7f9dd45f425&amp;korePlacement=15&amp;koreSubPlacement=1&amp;traceId=mnx9le6k" TargetMode="External"/><Relationship Id="rId1" Type="http://schemas.openxmlformats.org/officeDocument/2006/relationships/hyperlink" Target="https://smartstore.naver.com/youneedun_official/products/8560408431?nl-query=%EC%83%89%EA%B9%94+%ED%8C%90&amp;nl-ts-pid=jOPywsqXKZGssP6a5Ls-465428&amp;NaPm=ct%3Dmnrjxwg8%7Cci%3Debea21b8e8a77bc7f702f18692ecdc7e03d11e8c%7Ctr%3Dsls%7Csn%3D6042554%7Chk%3D7753a7bc3d74ed81d34f15eec6ad702f7633b9b0" TargetMode="External"/><Relationship Id="rId2" Type="http://schemas.openxmlformats.org/officeDocument/2006/relationships/hyperlink" Target="https://www.coupang.com/vp/products/6671696651?itemId=15352091516&amp;vendorItemId=82572322173&amp;pickType=COU_PICK&amp;q=%ED%88%AC%EB%AA%85%ED%85%8C%EC%9D%B4%ED%94%84&amp;searchId=522433253669670&amp;sourceType=search&amp;itemsCount=36&amp;searchRank=2&amp;rank=2&amp;traceId=mnrmpect" TargetMode="External"/><Relationship Id="rId3" Type="http://schemas.openxmlformats.org/officeDocument/2006/relationships/hyperlink" Target="https://www.coupang.com/vp/products/5625704601?itemId=9133866797&amp;vendorItemId=86137790576&amp;pickType=COU_PICK&amp;q=%EB%AC%BC+%EB%AC%B4%EB%9D%BC%EB%B2%A8+500ml&amp;itemsCount=36&amp;searchId=60dcdd0a2337972&amp;rank=0&amp;searchRank=0&amp;isAddedCart=" TargetMode="External"/><Relationship Id="rId4" Type="http://schemas.openxmlformats.org/officeDocument/2006/relationships/hyperlink" Target="https://www.coupang.com/vp/products/6959793257?itemId=18136852977&amp;vendorItemId=88378499202&amp;q=%EC%9D%B4%EC%98%A8%EC%9D%8C%EB%A3%8C&amp;searchId=3a6fe17513961&amp;sourceType=search&amp;itemsCount=36&amp;searchRank=2&amp;rank=2&amp;traceId=mfe2hvc3" TargetMode="External"/><Relationship Id="rId9" Type="http://schemas.openxmlformats.org/officeDocument/2006/relationships/hyperlink" Target="https://www.coupang.com/vp/products/7203904313?itemId=21668114878&amp;vendorItemId=91452418243&amp;sourceType=srp_product_ads&amp;clickEventId=547e4f60-342e-11f1-a918-8f098ceba0fb&amp;korePlacement=15&amp;koreSubPlacement=1&amp;clickEventId=547e4f60-342e-11f1-a918-8f098ceba0fb&amp;korePlacement=15&amp;koreSubPlacement=1&amp;traceId=mnro9y77" TargetMode="External"/><Relationship Id="rId26" Type="http://schemas.openxmlformats.org/officeDocument/2006/relationships/hyperlink" Target="https://www.coupang.com/vp/products/29533974?itemId=112898942&amp;vendorItemId=3213936121&amp;sourceType=srp_product_ads&amp;clickEventId=8f7cf8d0-3741-11f1-b3dc-c7f9dd45f425&amp;korePlacement=15&amp;koreSubPlacement=1&amp;clickEventId=8f7cf8d0-3741-11f1-b3dc-c7f9dd45f425&amp;korePlacement=15&amp;koreSubPlacement=1&amp;traceId=mnx9le6k" TargetMode="External"/><Relationship Id="rId25" Type="http://schemas.openxmlformats.org/officeDocument/2006/relationships/hyperlink" Target="https://www.coupang.com/vp/products/29533974?itemId=112898940&amp;vendorItemId=3213929525&amp;sourceType=srp_product_ads&amp;clickEventId=8f7cf8d0-3741-11f1-b3dc-c7f9dd45f425&amp;korePlacement=15&amp;koreSubPlacement=1&amp;clickEventId=8f7cf8d0-3741-11f1-b3dc-c7f9dd45f425&amp;korePlacement=15&amp;koreSubPlacement=1&amp;traceId=mnx9le6k" TargetMode="External"/><Relationship Id="rId28" Type="http://schemas.openxmlformats.org/officeDocument/2006/relationships/hyperlink" Target="https://www.topntop.co.kr/shop/goods/goods_view.php?goodsno=14493&amp;category=001" TargetMode="External"/><Relationship Id="rId27" Type="http://schemas.openxmlformats.org/officeDocument/2006/relationships/hyperlink" Target="https://www.coupang.com/vp/products/29533974?itemId=112898941&amp;vendorItemId=3214524157&amp;sourceType=srp_product_ads&amp;clickEventId=8f7cf8d0-3741-11f1-b3dc-c7f9dd45f425&amp;korePlacement=15&amp;koreSubPlacement=1&amp;clickEventId=8f7cf8d0-3741-11f1-b3dc-c7f9dd45f425&amp;korePlacement=15&amp;koreSubPlacement=1&amp;traceId=mnx9le6k" TargetMode="External"/><Relationship Id="rId5" Type="http://schemas.openxmlformats.org/officeDocument/2006/relationships/hyperlink" Target="https://www.coupang.com/vp/products/8544933292?itemId=548226098&amp;vendorItemId=85072693047&amp;pickType=COU_PICK&amp;q=%EC%9D%B4%EC%98%A8%EC%9D%8C%EB%A3%8C+%EB%AC%B4%EB%9D%BC%EB%B2%A8&amp;itemsCount=36&amp;searchId=a190830e542358&amp;rank=1&amp;searchRank=1&amp;isAddedCart=" TargetMode="External"/><Relationship Id="rId6" Type="http://schemas.openxmlformats.org/officeDocument/2006/relationships/hyperlink" Target="https://www.coupang.com/vp/products/7230296106?itemId=18344875277&amp;vendorItemId=86150796269&amp;q=%EB%8B%AC%EA%B3%A0%EB%82%98+2%EA%B0%9C&amp;itemsCount=36&amp;searchId=508832dc940381&amp;rank=53&amp;searchRank=17&amp;isAddedCart=" TargetMode="External"/><Relationship Id="rId29" Type="http://schemas.openxmlformats.org/officeDocument/2006/relationships/hyperlink" Target="https://www.coupang.com/vp/products/1082876317?itemId=16257413452&amp;vendorItemId=90418599363&amp;pickType=COU_PICK&amp;q=%EA%B3%A0%EA%B5%AC%EB%A7%88%EC%8A%A4%ED%8B%B1&amp;searchId=ac5cb5691999417&amp;sourceType=search&amp;itemsCount=36&amp;searchRank=0&amp;rank=0&amp;traceId=mfe515x8" TargetMode="External"/><Relationship Id="rId7" Type="http://schemas.openxmlformats.org/officeDocument/2006/relationships/hyperlink" Target="https://www.coupang.com/vp/products/6155420054?itemId=19239199829&amp;vendorItemId=71503717362&amp;pickType=COU_PICK&amp;q=%EB%B0%9C%ED%8F%AC%EB%B9%84%ED%83%80%EB%AF%BC&amp;itemsCount=36&amp;searchId=7ee987d45174216&amp;rank=0&amp;searchRank=0&amp;isAddedCart=" TargetMode="External"/><Relationship Id="rId8" Type="http://schemas.openxmlformats.org/officeDocument/2006/relationships/hyperlink" Target="https://www.coupang.com/vp/products/8128986977?itemId=10810139370&amp;vendorItemId=86607945075&amp;q=%EB%B3%84%EB%BD%80%EB%B9%A0%EC%9D%B4&amp;itemsCount=36&amp;searchId=3e20ba69376330&amp;rank=0&amp;searchRank=0&amp;isAddedCart=" TargetMode="External"/><Relationship Id="rId31" Type="http://schemas.openxmlformats.org/officeDocument/2006/relationships/hyperlink" Target="https://www.coupang.com/vp/products/8174361304?itemId=23357867452&amp;vendorItemId=90388433128&amp;q=%EC%BF%A0%ED%82%A4%EB%9E%91+%EB%A8%B9%EC%9D%84+%EC%A3%BC%EC%8A%A4&amp;itemsCount=36&amp;searchId=ca07d92817950&amp;rank=0&amp;searchRank=0&amp;isAddedCart=" TargetMode="External"/><Relationship Id="rId30" Type="http://schemas.openxmlformats.org/officeDocument/2006/relationships/hyperlink" Target="https://www.coupang.com/vp/products/7673161101?itemId=24413510888&amp;vendorItemId=87875617274&amp;pickType=COU_PICK&amp;q=%EC%97%90%EB%84%88%EC%A7%80%EB%B0%94&amp;searchId=f1b9a167102846&amp;sourceType=search&amp;itemsCount=36&amp;searchRank=3&amp;rank=3&amp;traceId=mfe3bg0v" TargetMode="External"/><Relationship Id="rId11" Type="http://schemas.openxmlformats.org/officeDocument/2006/relationships/hyperlink" Target="https://www.coupang.com/vp/products/7665332800?itemId=20432605572&amp;vendorItemId=79820084798&amp;q=%EC%9A%B4%EB%8F%99+%ED%9B%84+%EC%82%AC%ED%83%95&amp;itemsCount=36&amp;searchId=1b7db0bf1074766&amp;rank=1&amp;searchRank=1&amp;isAddedCart=" TargetMode="External"/><Relationship Id="rId33" Type="http://schemas.openxmlformats.org/officeDocument/2006/relationships/hyperlink" Target="https://www.coupang.com/vp/products/1477801942?itemId=2539080661&amp;vendorItemId=70531854415&amp;q=%EC%9A%B4%EB%8F%99%ED%9A%8C+%EC%9A%B0%EC%8A%B9+%ED%8A%B8%EB%A1%9C%ED%94%BC&amp;itemsCount=36&amp;searchId=da5299942324653&amp;rank=0&amp;searchRank=0&amp;isAddedCart=" TargetMode="External"/><Relationship Id="rId10" Type="http://schemas.openxmlformats.org/officeDocument/2006/relationships/hyperlink" Target="https://www.coupang.com/vp/products/8244758625?itemId=294418082&amp;vendorItemId=85500815024&amp;q=%EC%8B%A0%EC%AB%84%EC%9D%B4&amp;itemsCount=36&amp;searchId=241446ce1230593&amp;rank=3&amp;searchRank=3&amp;isAddedCart=" TargetMode="External"/><Relationship Id="rId32" Type="http://schemas.openxmlformats.org/officeDocument/2006/relationships/hyperlink" Target="https://www.coupang.com/vp/products/6261699447?itemId=12753822094&amp;vendorItemId=80020102996&amp;q=%EA%B8%88%EB%A9%94%EB%8B%AC+20%EA%B0%9C&amp;itemsCount=36&amp;searchId=46f2af8c2299075&amp;rank=1&amp;searchRank=1&amp;isAddedCart=" TargetMode="External"/><Relationship Id="rId13" Type="http://schemas.openxmlformats.org/officeDocument/2006/relationships/hyperlink" Target="https://www.coupang.com/vp/products/1440533247?itemId=2484309738&amp;vendorItemId=70477602597&amp;q=%EB%A6%BC%EB%B3%B4+%EC%84%B8%ED%8A%B8&amp;searchId=a27a4de25303530&amp;sourceType=search&amp;itemsCount=60&amp;searchRank=2&amp;rank=2&amp;traceId=mok5dwc2" TargetMode="External"/><Relationship Id="rId35" Type="http://schemas.openxmlformats.org/officeDocument/2006/relationships/hyperlink" Target="https://www.coupang.com/vp/products/8960657461?vendorItemId=94930569006&amp;sourceType=SDP_ALSO_VIEWED" TargetMode="External"/><Relationship Id="rId12" Type="http://schemas.openxmlformats.org/officeDocument/2006/relationships/hyperlink" Target="https://gamerental.kr/product/detail.html?product_no=47&amp;cate_no=25&amp;display_group=1" TargetMode="External"/><Relationship Id="rId34" Type="http://schemas.openxmlformats.org/officeDocument/2006/relationships/hyperlink" Target="https://www.coupang.com/vp/products/7318043254?itemId=18763275561&amp;vendorItemId=85895086210&amp;pickType=COU_PICK&amp;q=%EB%B6%80%EC%B1%84&amp;itemsCount=36&amp;searchId=b00dcb541257132&amp;rank=1&amp;searchRank=1&amp;isAddedCart=" TargetMode="External"/><Relationship Id="rId15" Type="http://schemas.openxmlformats.org/officeDocument/2006/relationships/hyperlink" Target="https://www.coupang.com/vp/products/8364298166?itemId=24166242362&amp;vendorItemId=91184631395&amp;src=1191000&amp;spec=10999999&amp;addtag=400&amp;ctag=8364298166&amp;lptag=CFM34803762&amp;itime=20260410004803&amp;pageType=PRODUCT&amp;pageValue=8364298166&amp;wPcid=17737232905412231578312&amp;wRef=&amp;wTime=20260410004803&amp;redirect=landing&amp;abTestInfo=100412_group_C%2F%3Fstyle%3Dkakao_existing_ui&amp;mcid=fb357bcbb0f04b7595b080c36aa9dab9&amp;sharesource=sharebutton&amp;style=&amp;isshortened=Y&amp;settlement=N" TargetMode="External"/><Relationship Id="rId37" Type="http://schemas.openxmlformats.org/officeDocument/2006/relationships/hyperlink" Target="https://www.coupang.com/vp/products/7685887140?itemId=20539738506&amp;vendorItemId=92233756252&amp;sourceType=srp_product_ads&amp;clickEventId=ef6c8540-3803-11f1-988d-91104679256f&amp;korePlacement=15&amp;koreSubPlacement=1&amp;clickEventId=ef6c8540-3803-11f1-988d-91104679256f&amp;korePlacement=15&amp;koreSubPlacement=1&amp;traceId=mnyn8y10" TargetMode="External"/><Relationship Id="rId14" Type="http://schemas.openxmlformats.org/officeDocument/2006/relationships/hyperlink" Target="https://gamerental.kr/product/detail.html?product_no=78&amp;cate_no=28&amp;display_group=1" TargetMode="External"/><Relationship Id="rId36" Type="http://schemas.openxmlformats.org/officeDocument/2006/relationships/hyperlink" Target="https://www.coupang.com/vp/products/7640375378?itemId=20299196824&amp;vendorItemId=87385204260&amp;q=%EC%8A%88%ED%8D%BC+%EB%A7%88%EB%A6%AC%EC%98%A4+%EB%B0%B0%EA%B2%BD&amp;searchId=91e9eb5c1176213&amp;sourceType=search&amp;itemsCount=60&amp;searchRank=22&amp;rank=22&amp;traceId=mnyn6kjd" TargetMode="External"/><Relationship Id="rId17" Type="http://schemas.openxmlformats.org/officeDocument/2006/relationships/hyperlink" Target="https://www.coupang.com/vp/products/1516047654?itemId=2601916996&amp;vendorItemId=70593079872&amp;sourceType=SDW_TOP_SELLING_WIDGET_V2&amp;searchId=f4b8bbd23698221&amp;q=%EB%AC%BC%EC%B4%9D" TargetMode="External"/><Relationship Id="rId39" Type="http://schemas.openxmlformats.org/officeDocument/2006/relationships/hyperlink" Target="https://www.coupang.com/vp/products/7996171515?itemId=22245300605&amp;vendorItemId=89291116631&amp;q=%EB%A7%88%EB%A6%AC%EC%98%A4+%EB%AA%A8%EC%9E%90&amp;searchId=3ded64171968575&amp;sourceType=search&amp;itemsCount=60&amp;searchRank=14&amp;rank=14&amp;traceId=mnynj4x3" TargetMode="External"/><Relationship Id="rId16" Type="http://schemas.openxmlformats.org/officeDocument/2006/relationships/hyperlink" Target="https://www.coupang.com/vp/products/5482292808?itemId=8460726831&amp;vendorItemId=75748300488&amp;q=%EB%A7%88%EB%A6%AC%EC%98%A4+%EC%8A%A4%ED%8B%B0%EC%BB%A4&amp;searchId=fedb21e93794966&amp;sourceType=search&amp;itemsCount=36&amp;searchRank=4&amp;rank=4&amp;traceId=mnrllifq" TargetMode="External"/><Relationship Id="rId38" Type="http://schemas.openxmlformats.org/officeDocument/2006/relationships/hyperlink" Target="https://www.coupang.com/vp/products/7996171515?itemId=22245300606&amp;vendorItemId=89291116626&amp;q=%EB%A7%88%EB%A6%AC%EC%98%A4+%EB%AA%A8%EC%9E%90&amp;searchId=3ded64171968575&amp;sourceType=search&amp;itemsCount=60&amp;searchRank=14&amp;rank=14&amp;traceId=mnynj4x3" TargetMode="External"/><Relationship Id="rId19" Type="http://schemas.openxmlformats.org/officeDocument/2006/relationships/hyperlink" Target="https://www.coupang.com/vp/products/8399821648?itemId=24280944916&amp;vendorItemId=91297278939&amp;q=%EB%A7%88%EB%A6%AC%EC%98%A4+%EB%AA%A8%EC%9E%90&amp;searchId=e123b0403925425&amp;sourceType=search&amp;itemsCount=36&amp;searchRank=2&amp;rank=2&amp;traceId=mnrly7tm" TargetMode="External"/><Relationship Id="rId18" Type="http://schemas.openxmlformats.org/officeDocument/2006/relationships/hyperlink" Target="https://www.coupang.com/vp/products/8399821648?itemId=24280944915&amp;vendorItemId=91297278941&amp;q=%EB%A7%88%EB%A6%AC%EC%98%A4+%EB%AA%A8%EC%9E%90&amp;searchId=e123b0403925425&amp;sourceType=search&amp;itemsCount=36&amp;searchRank=2&amp;rank=2&amp;traceId=mnrly7tm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coupang.com/vp/products/8719918331?itemId=25328549440&amp;vendorItemId=92323392297&amp;sourceType=srp_product_ads&amp;clickEventId=a80be5e0-3805-11f1-9be4-3567864d250e&amp;korePlacement=15&amp;koreSubPlacement=22&amp;clickEventId=a80be5e0-3805-11f1-9be4-3567864d250e&amp;korePlacement=15&amp;koreSubPlacement=22&amp;traceId=mnynp930" TargetMode="External"/><Relationship Id="rId20" Type="http://schemas.openxmlformats.org/officeDocument/2006/relationships/hyperlink" Target="https://www.coupang.com/vp/products/9491510937?itemId=28242057080&amp;vendorItemId=95155930630&amp;q=%EB%A7%88%EB%A6%AC%EC%98%A4+%ED%83%80%ED%88%AC%EC%8A%A4%ED%8B%B0%EC%BB%A4&amp;searchId=c73e3e2d7639083&amp;sourceType=search&amp;itemsCount=60&amp;searchRank=13&amp;rank=13&amp;traceId=mnx9grop" TargetMode="External"/><Relationship Id="rId42" Type="http://schemas.openxmlformats.org/officeDocument/2006/relationships/drawing" Target="../drawings/drawing3.xml"/><Relationship Id="rId41" Type="http://schemas.openxmlformats.org/officeDocument/2006/relationships/hyperlink" Target="https://www.bizhows.com/ko/v/option?code1=4000&amp;code2=200&amp;code3=1001&amp;mock=4000_200_1001_6&amp;priorityKeywordCategory=&amp;defaultKeyword=" TargetMode="External"/><Relationship Id="rId22" Type="http://schemas.openxmlformats.org/officeDocument/2006/relationships/hyperlink" Target="https://www.coupang.com/vp/products/7650692407?itemId=20355651141&amp;vendorItemId=75312938150&amp;q=%EB%8B%A8%EC%B2%B4%EC%A4%84%EB%84%98%EA%B8%B0&amp;searchId=e7624f9b5311644&amp;sourceType=search&amp;itemsCount=60&amp;searchRank=4&amp;rank=4&amp;traceId=mok53yl1" TargetMode="External"/><Relationship Id="rId21" Type="http://schemas.openxmlformats.org/officeDocument/2006/relationships/hyperlink" Target="https://www.coupang.com/vp/products/7849796436?itemId=21392878497&amp;vendorItemId=88449574662&amp;q=%EB%B6%84%EB%A6%AC%EC%88%98%EA%B1%B0+%EB%B4%89%ED%88%AC&amp;itemsCount=36&amp;searchId=52429e5e2185856&amp;rank=7&amp;searchRank=7&amp;isAddedCart=" TargetMode="External"/><Relationship Id="rId24" Type="http://schemas.openxmlformats.org/officeDocument/2006/relationships/hyperlink" Target="https://www.coupang.com/vp/products/29533974?itemId=112898943&amp;vendorItemId=3214073142&amp;sourceType=srp_product_ads&amp;clickEventId=8f7cf8d0-3741-11f1-b3dc-c7f9dd45f425&amp;korePlacement=15&amp;koreSubPlacement=1&amp;clickEventId=8f7cf8d0-3741-11f1-b3dc-c7f9dd45f425&amp;korePlacement=15&amp;koreSubPlacement=1&amp;traceId=mnx9le6k" TargetMode="External"/><Relationship Id="rId23" Type="http://schemas.openxmlformats.org/officeDocument/2006/relationships/hyperlink" Target="https://www.coupang.com/vp/products/29533974?itemId=112898936&amp;vendorItemId=3213724573&amp;sourceType=srp_product_ads&amp;clickEventId=8f7cf8d0-3741-11f1-b3dc-c7f9dd45f425&amp;korePlacement=15&amp;koreSubPlacement=1&amp;clickEventId=8f7cf8d0-3741-11f1-b3dc-c7f9dd45f425&amp;korePlacement=15&amp;koreSubPlacement=1&amp;traceId=mnx9le6k" TargetMode="External"/><Relationship Id="rId1" Type="http://schemas.openxmlformats.org/officeDocument/2006/relationships/hyperlink" Target="https://smartstore.naver.com/youneedun_official/products/8560408431?nl-query=%EC%83%89%EA%B9%94+%ED%8C%90&amp;nl-ts-pid=jOPywsqXKZGssP6a5Ls-465428&amp;NaPm=ct%3Dmnrjxwg8%7Cci%3Debea21b8e8a77bc7f702f18692ecdc7e03d11e8c%7Ctr%3Dsls%7Csn%3D6042554%7Chk%3D7753a7bc3d74ed81d34f15eec6ad702f7633b9b0" TargetMode="External"/><Relationship Id="rId2" Type="http://schemas.openxmlformats.org/officeDocument/2006/relationships/hyperlink" Target="https://www.coupang.com/vp/products/6671696651?itemId=15352091516&amp;vendorItemId=82572322173&amp;pickType=COU_PICK&amp;q=%ED%88%AC%EB%AA%85%ED%85%8C%EC%9D%B4%ED%94%84&amp;searchId=522433253669670&amp;sourceType=search&amp;itemsCount=36&amp;searchRank=2&amp;rank=2&amp;traceId=mnrmpect" TargetMode="External"/><Relationship Id="rId3" Type="http://schemas.openxmlformats.org/officeDocument/2006/relationships/hyperlink" Target="https://www.coupang.com/vp/products/5625704601?itemId=9133866797&amp;vendorItemId=86137790576&amp;pickType=COU_PICK&amp;q=%EB%AC%BC+%EB%AC%B4%EB%9D%BC%EB%B2%A8+500ml&amp;itemsCount=36&amp;searchId=60dcdd0a2337972&amp;rank=0&amp;searchRank=0&amp;isAddedCart=" TargetMode="External"/><Relationship Id="rId4" Type="http://schemas.openxmlformats.org/officeDocument/2006/relationships/hyperlink" Target="https://www.coupang.com/vp/products/6959793257?itemId=18136852977&amp;vendorItemId=88378499202&amp;q=%EC%9D%B4%EC%98%A8%EC%9D%8C%EB%A3%8C&amp;searchId=3a6fe17513961&amp;sourceType=search&amp;itemsCount=36&amp;searchRank=2&amp;rank=2&amp;traceId=mfe2hvc3" TargetMode="External"/><Relationship Id="rId9" Type="http://schemas.openxmlformats.org/officeDocument/2006/relationships/hyperlink" Target="https://www.coupang.com/vp/products/7203904313?itemId=21668114878&amp;vendorItemId=91452418243&amp;sourceType=srp_product_ads&amp;clickEventId=547e4f60-342e-11f1-a918-8f098ceba0fb&amp;korePlacement=15&amp;koreSubPlacement=1&amp;clickEventId=547e4f60-342e-11f1-a918-8f098ceba0fb&amp;korePlacement=15&amp;koreSubPlacement=1&amp;traceId=mnro9y77" TargetMode="External"/><Relationship Id="rId26" Type="http://schemas.openxmlformats.org/officeDocument/2006/relationships/hyperlink" Target="https://www.coupang.com/vp/products/29533974?itemId=112898942&amp;vendorItemId=3213936121&amp;sourceType=srp_product_ads&amp;clickEventId=8f7cf8d0-3741-11f1-b3dc-c7f9dd45f425&amp;korePlacement=15&amp;koreSubPlacement=1&amp;clickEventId=8f7cf8d0-3741-11f1-b3dc-c7f9dd45f425&amp;korePlacement=15&amp;koreSubPlacement=1&amp;traceId=mnx9le6k" TargetMode="External"/><Relationship Id="rId25" Type="http://schemas.openxmlformats.org/officeDocument/2006/relationships/hyperlink" Target="https://www.coupang.com/vp/products/29533974?itemId=112898940&amp;vendorItemId=3213929525&amp;sourceType=srp_product_ads&amp;clickEventId=8f7cf8d0-3741-11f1-b3dc-c7f9dd45f425&amp;korePlacement=15&amp;koreSubPlacement=1&amp;clickEventId=8f7cf8d0-3741-11f1-b3dc-c7f9dd45f425&amp;korePlacement=15&amp;koreSubPlacement=1&amp;traceId=mnx9le6k" TargetMode="External"/><Relationship Id="rId28" Type="http://schemas.openxmlformats.org/officeDocument/2006/relationships/hyperlink" Target="https://www.topntop.co.kr/shop/goods/goods_view.php?goodsno=14493&amp;category=001" TargetMode="External"/><Relationship Id="rId27" Type="http://schemas.openxmlformats.org/officeDocument/2006/relationships/hyperlink" Target="https://www.coupang.com/vp/products/29533974?itemId=112898941&amp;vendorItemId=3214524157&amp;sourceType=srp_product_ads&amp;clickEventId=8f7cf8d0-3741-11f1-b3dc-c7f9dd45f425&amp;korePlacement=15&amp;koreSubPlacement=1&amp;clickEventId=8f7cf8d0-3741-11f1-b3dc-c7f9dd45f425&amp;korePlacement=15&amp;koreSubPlacement=1&amp;traceId=mnx9le6k" TargetMode="External"/><Relationship Id="rId5" Type="http://schemas.openxmlformats.org/officeDocument/2006/relationships/hyperlink" Target="https://www.coupang.com/vp/products/8544933292?itemId=548226098&amp;vendorItemId=85072693047&amp;pickType=COU_PICK&amp;q=%EC%9D%B4%EC%98%A8%EC%9D%8C%EB%A3%8C+%EB%AC%B4%EB%9D%BC%EB%B2%A8&amp;itemsCount=36&amp;searchId=a190830e542358&amp;rank=1&amp;searchRank=1&amp;isAddedCart=" TargetMode="External"/><Relationship Id="rId6" Type="http://schemas.openxmlformats.org/officeDocument/2006/relationships/hyperlink" Target="https://www.coupang.com/vp/products/7230296106?itemId=18344875277&amp;vendorItemId=86150796269&amp;q=%EB%8B%AC%EA%B3%A0%EB%82%98+2%EA%B0%9C&amp;itemsCount=36&amp;searchId=508832dc940381&amp;rank=53&amp;searchRank=17&amp;isAddedCart=" TargetMode="External"/><Relationship Id="rId29" Type="http://schemas.openxmlformats.org/officeDocument/2006/relationships/hyperlink" Target="https://www.coupang.com/vp/products/1082876317?itemId=16257413452&amp;vendorItemId=90418599363&amp;pickType=COU_PICK&amp;q=%EA%B3%A0%EA%B5%AC%EB%A7%88%EC%8A%A4%ED%8B%B1&amp;searchId=ac5cb5691999417&amp;sourceType=search&amp;itemsCount=36&amp;searchRank=0&amp;rank=0&amp;traceId=mfe515x8" TargetMode="External"/><Relationship Id="rId7" Type="http://schemas.openxmlformats.org/officeDocument/2006/relationships/hyperlink" Target="https://www.coupang.com/vp/products/6155420054?itemId=19239199829&amp;vendorItemId=71503717362&amp;pickType=COU_PICK&amp;q=%EB%B0%9C%ED%8F%AC%EB%B9%84%ED%83%80%EB%AF%BC&amp;itemsCount=36&amp;searchId=7ee987d45174216&amp;rank=0&amp;searchRank=0&amp;isAddedCart=" TargetMode="External"/><Relationship Id="rId8" Type="http://schemas.openxmlformats.org/officeDocument/2006/relationships/hyperlink" Target="https://www.coupang.com/vp/products/8128986977?itemId=10810139370&amp;vendorItemId=86607945075&amp;q=%EB%B3%84%EB%BD%80%EB%B9%A0%EC%9D%B4&amp;itemsCount=36&amp;searchId=3e20ba69376330&amp;rank=0&amp;searchRank=0&amp;isAddedCart=" TargetMode="External"/><Relationship Id="rId31" Type="http://schemas.openxmlformats.org/officeDocument/2006/relationships/hyperlink" Target="https://www.coupang.com/vp/products/8174361304?itemId=23357867452&amp;vendorItemId=90388433128&amp;q=%EC%BF%A0%ED%82%A4%EB%9E%91+%EB%A8%B9%EC%9D%84+%EC%A3%BC%EC%8A%A4&amp;itemsCount=36&amp;searchId=ca07d92817950&amp;rank=0&amp;searchRank=0&amp;isAddedCart=" TargetMode="External"/><Relationship Id="rId30" Type="http://schemas.openxmlformats.org/officeDocument/2006/relationships/hyperlink" Target="https://www.coupang.com/vp/products/7673161101?itemId=24413510888&amp;vendorItemId=87875617274&amp;pickType=COU_PICK&amp;q=%EC%97%90%EB%84%88%EC%A7%80%EB%B0%94&amp;searchId=f1b9a167102846&amp;sourceType=search&amp;itemsCount=36&amp;searchRank=3&amp;rank=3&amp;traceId=mfe3bg0v" TargetMode="External"/><Relationship Id="rId11" Type="http://schemas.openxmlformats.org/officeDocument/2006/relationships/hyperlink" Target="https://www.coupang.com/vp/products/7665332800?itemId=20432605572&amp;vendorItemId=79820084798&amp;q=%EC%9A%B4%EB%8F%99+%ED%9B%84+%EC%82%AC%ED%83%95&amp;itemsCount=36&amp;searchId=1b7db0bf1074766&amp;rank=1&amp;searchRank=1&amp;isAddedCart=" TargetMode="External"/><Relationship Id="rId33" Type="http://schemas.openxmlformats.org/officeDocument/2006/relationships/hyperlink" Target="https://www.coupang.com/vp/products/1477801942?itemId=2539080661&amp;vendorItemId=70531854415&amp;q=%EC%9A%B4%EB%8F%99%ED%9A%8C+%EC%9A%B0%EC%8A%B9+%ED%8A%B8%EB%A1%9C%ED%94%BC&amp;itemsCount=36&amp;searchId=da5299942324653&amp;rank=0&amp;searchRank=0&amp;isAddedCart=" TargetMode="External"/><Relationship Id="rId10" Type="http://schemas.openxmlformats.org/officeDocument/2006/relationships/hyperlink" Target="https://www.coupang.com/vp/products/8244758625?itemId=294418082&amp;vendorItemId=85500815024&amp;q=%EC%8B%A0%EC%AB%84%EC%9D%B4&amp;itemsCount=36&amp;searchId=241446ce1230593&amp;rank=3&amp;searchRank=3&amp;isAddedCart=" TargetMode="External"/><Relationship Id="rId32" Type="http://schemas.openxmlformats.org/officeDocument/2006/relationships/hyperlink" Target="https://www.coupang.com/vp/products/6261699447?itemId=12753822094&amp;vendorItemId=80020102996&amp;q=%EA%B8%88%EB%A9%94%EB%8B%AC+20%EA%B0%9C&amp;itemsCount=36&amp;searchId=46f2af8c2299075&amp;rank=1&amp;searchRank=1&amp;isAddedCart=" TargetMode="External"/><Relationship Id="rId13" Type="http://schemas.openxmlformats.org/officeDocument/2006/relationships/hyperlink" Target="https://www.coupang.com/vp/products/1440533247?itemId=2484309738&amp;vendorItemId=70477602597&amp;q=%EB%A6%BC%EB%B3%B4+%EC%84%B8%ED%8A%B8&amp;searchId=a27a4de25303530&amp;sourceType=search&amp;itemsCount=60&amp;searchRank=2&amp;rank=2&amp;traceId=mok5dwc2" TargetMode="External"/><Relationship Id="rId35" Type="http://schemas.openxmlformats.org/officeDocument/2006/relationships/hyperlink" Target="https://www.coupang.com/vp/products/8960657461?vendorItemId=94930569006&amp;sourceType=SDP_ALSO_VIEWED" TargetMode="External"/><Relationship Id="rId12" Type="http://schemas.openxmlformats.org/officeDocument/2006/relationships/hyperlink" Target="https://gamerental.kr/product/detail.html?product_no=47&amp;cate_no=25&amp;display_group=1" TargetMode="External"/><Relationship Id="rId34" Type="http://schemas.openxmlformats.org/officeDocument/2006/relationships/hyperlink" Target="https://www.coupang.com/vp/products/7318043254?itemId=18763275561&amp;vendorItemId=85895086210&amp;pickType=COU_PICK&amp;q=%EB%B6%80%EC%B1%84&amp;itemsCount=36&amp;searchId=b00dcb541257132&amp;rank=1&amp;searchRank=1&amp;isAddedCart=" TargetMode="External"/><Relationship Id="rId15" Type="http://schemas.openxmlformats.org/officeDocument/2006/relationships/hyperlink" Target="https://www.coupang.com/vp/products/8364298166?itemId=24166242362&amp;vendorItemId=91184631395&amp;src=1191000&amp;spec=10999999&amp;addtag=400&amp;ctag=8364298166&amp;lptag=CFM34803762&amp;itime=20260410004803&amp;pageType=PRODUCT&amp;pageValue=8364298166&amp;wPcid=17737232905412231578312&amp;wRef=&amp;wTime=20260410004803&amp;redirect=landing&amp;abTestInfo=100412_group_C%2F%3Fstyle%3Dkakao_existing_ui&amp;mcid=fb357bcbb0f04b7595b080c36aa9dab9&amp;sharesource=sharebutton&amp;style=&amp;isshortened=Y&amp;settlement=N" TargetMode="External"/><Relationship Id="rId37" Type="http://schemas.openxmlformats.org/officeDocument/2006/relationships/hyperlink" Target="https://www.coupang.com/vp/products/7685887140?itemId=20539738506&amp;vendorItemId=92233756252&amp;sourceType=srp_product_ads&amp;clickEventId=ef6c8540-3803-11f1-988d-91104679256f&amp;korePlacement=15&amp;koreSubPlacement=1&amp;clickEventId=ef6c8540-3803-11f1-988d-91104679256f&amp;korePlacement=15&amp;koreSubPlacement=1&amp;traceId=mnyn8y10" TargetMode="External"/><Relationship Id="rId14" Type="http://schemas.openxmlformats.org/officeDocument/2006/relationships/hyperlink" Target="https://gamerental.kr/product/detail.html?product_no=78&amp;cate_no=28&amp;display_group=1" TargetMode="External"/><Relationship Id="rId36" Type="http://schemas.openxmlformats.org/officeDocument/2006/relationships/hyperlink" Target="https://www.coupang.com/vp/products/7640375378?itemId=20299196824&amp;vendorItemId=87385204260&amp;q=%EC%8A%88%ED%8D%BC+%EB%A7%88%EB%A6%AC%EC%98%A4+%EB%B0%B0%EA%B2%BD&amp;searchId=91e9eb5c1176213&amp;sourceType=search&amp;itemsCount=60&amp;searchRank=22&amp;rank=22&amp;traceId=mnyn6kjd" TargetMode="External"/><Relationship Id="rId17" Type="http://schemas.openxmlformats.org/officeDocument/2006/relationships/hyperlink" Target="https://www.coupang.com/vp/products/1516047654?itemId=2601916996&amp;vendorItemId=70593079872&amp;sourceType=SDW_TOP_SELLING_WIDGET_V2&amp;searchId=f4b8bbd23698221&amp;q=%EB%AC%BC%EC%B4%9D" TargetMode="External"/><Relationship Id="rId39" Type="http://schemas.openxmlformats.org/officeDocument/2006/relationships/hyperlink" Target="https://www.coupang.com/vp/products/7996171515?itemId=22245300605&amp;vendorItemId=89291116631&amp;q=%EB%A7%88%EB%A6%AC%EC%98%A4+%EB%AA%A8%EC%9E%90&amp;searchId=3ded64171968575&amp;sourceType=search&amp;itemsCount=60&amp;searchRank=14&amp;rank=14&amp;traceId=mnynj4x3" TargetMode="External"/><Relationship Id="rId16" Type="http://schemas.openxmlformats.org/officeDocument/2006/relationships/hyperlink" Target="https://www.coupang.com/vp/products/5482292808?itemId=8460726831&amp;vendorItemId=75748300488&amp;q=%EB%A7%88%EB%A6%AC%EC%98%A4+%EC%8A%A4%ED%8B%B0%EC%BB%A4&amp;searchId=fedb21e93794966&amp;sourceType=search&amp;itemsCount=36&amp;searchRank=4&amp;rank=4&amp;traceId=mnrllifq" TargetMode="External"/><Relationship Id="rId38" Type="http://schemas.openxmlformats.org/officeDocument/2006/relationships/hyperlink" Target="https://www.coupang.com/vp/products/7996171515?itemId=22245300606&amp;vendorItemId=89291116626&amp;q=%EB%A7%88%EB%A6%AC%EC%98%A4+%EB%AA%A8%EC%9E%90&amp;searchId=3ded64171968575&amp;sourceType=search&amp;itemsCount=60&amp;searchRank=14&amp;rank=14&amp;traceId=mnynj4x3" TargetMode="External"/><Relationship Id="rId19" Type="http://schemas.openxmlformats.org/officeDocument/2006/relationships/hyperlink" Target="https://www.coupang.com/vp/products/8399821648?itemId=24280944916&amp;vendorItemId=91297278939&amp;q=%EB%A7%88%EB%A6%AC%EC%98%A4+%EB%AA%A8%EC%9E%90&amp;searchId=e123b0403925425&amp;sourceType=search&amp;itemsCount=36&amp;searchRank=2&amp;rank=2&amp;traceId=mnrly7tm" TargetMode="External"/><Relationship Id="rId18" Type="http://schemas.openxmlformats.org/officeDocument/2006/relationships/hyperlink" Target="https://www.coupang.com/vp/products/8399821648?itemId=24280944915&amp;vendorItemId=91297278941&amp;q=%EB%A7%88%EB%A6%AC%EC%98%A4+%EB%AA%A8%EC%9E%90&amp;searchId=e123b0403925425&amp;sourceType=search&amp;itemsCount=36&amp;searchRank=2&amp;rank=2&amp;traceId=mnrly7tm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coupang.com/vp/products/8719918331?itemId=25328549440&amp;vendorItemId=92323392297&amp;sourceType=srp_product_ads&amp;clickEventId=a80be5e0-3805-11f1-9be4-3567864d250e&amp;korePlacement=15&amp;koreSubPlacement=22&amp;clickEventId=a80be5e0-3805-11f1-9be4-3567864d250e&amp;korePlacement=15&amp;koreSubPlacement=22&amp;traceId=mnynp930" TargetMode="External"/><Relationship Id="rId20" Type="http://schemas.openxmlformats.org/officeDocument/2006/relationships/hyperlink" Target="https://www.coupang.com/vp/products/9491510937?itemId=28242057080&amp;vendorItemId=95155930630&amp;q=%EB%A7%88%EB%A6%AC%EC%98%A4+%ED%83%80%ED%88%AC%EC%8A%A4%ED%8B%B0%EC%BB%A4&amp;searchId=c73e3e2d7639083&amp;sourceType=search&amp;itemsCount=60&amp;searchRank=13&amp;rank=13&amp;traceId=mnx9grop" TargetMode="External"/><Relationship Id="rId42" Type="http://schemas.openxmlformats.org/officeDocument/2006/relationships/drawing" Target="../drawings/drawing4.xml"/><Relationship Id="rId41" Type="http://schemas.openxmlformats.org/officeDocument/2006/relationships/hyperlink" Target="https://www.bizhows.com/ko/v/option?code1=4000&amp;code2=200&amp;code3=1001&amp;mock=4000_200_1001_6&amp;priorityKeywordCategory=&amp;defaultKeyword=" TargetMode="External"/><Relationship Id="rId22" Type="http://schemas.openxmlformats.org/officeDocument/2006/relationships/hyperlink" Target="https://www.coupang.com/vp/products/7650692407?itemId=20355651141&amp;vendorItemId=75312938150&amp;q=%EB%8B%A8%EC%B2%B4%EC%A4%84%EB%84%98%EA%B8%B0&amp;searchId=e7624f9b5311644&amp;sourceType=search&amp;itemsCount=60&amp;searchRank=4&amp;rank=4&amp;traceId=mok53yl1" TargetMode="External"/><Relationship Id="rId21" Type="http://schemas.openxmlformats.org/officeDocument/2006/relationships/hyperlink" Target="https://www.coupang.com/vp/products/7849796436?itemId=21392878497&amp;vendorItemId=88449574662&amp;q=%EB%B6%84%EB%A6%AC%EC%88%98%EA%B1%B0+%EB%B4%89%ED%88%AC&amp;itemsCount=36&amp;searchId=52429e5e2185856&amp;rank=7&amp;searchRank=7&amp;isAddedCart=" TargetMode="External"/><Relationship Id="rId24" Type="http://schemas.openxmlformats.org/officeDocument/2006/relationships/hyperlink" Target="https://www.coupang.com/vp/products/29533974?itemId=112898943&amp;vendorItemId=3214073142&amp;sourceType=srp_product_ads&amp;clickEventId=8f7cf8d0-3741-11f1-b3dc-c7f9dd45f425&amp;korePlacement=15&amp;koreSubPlacement=1&amp;clickEventId=8f7cf8d0-3741-11f1-b3dc-c7f9dd45f425&amp;korePlacement=15&amp;koreSubPlacement=1&amp;traceId=mnx9le6k" TargetMode="External"/><Relationship Id="rId23" Type="http://schemas.openxmlformats.org/officeDocument/2006/relationships/hyperlink" Target="https://www.coupang.com/vp/products/29533974?itemId=112898936&amp;vendorItemId=3213724573&amp;sourceType=srp_product_ads&amp;clickEventId=8f7cf8d0-3741-11f1-b3dc-c7f9dd45f425&amp;korePlacement=15&amp;koreSubPlacement=1&amp;clickEventId=8f7cf8d0-3741-11f1-b3dc-c7f9dd45f425&amp;korePlacement=15&amp;koreSubPlacement=1&amp;traceId=mnx9le6k" TargetMode="External"/><Relationship Id="rId1" Type="http://schemas.openxmlformats.org/officeDocument/2006/relationships/hyperlink" Target="https://smartstore.naver.com/youneedun_official/products/8560408431?nl-query=%EC%83%89%EA%B9%94+%ED%8C%90&amp;nl-ts-pid=jOPywsqXKZGssP6a5Ls-465428&amp;NaPm=ct%3Dmnrjxwg8%7Cci%3Debea21b8e8a77bc7f702f18692ecdc7e03d11e8c%7Ctr%3Dsls%7Csn%3D6042554%7Chk%3D7753a7bc3d74ed81d34f15eec6ad702f7633b9b0" TargetMode="External"/><Relationship Id="rId2" Type="http://schemas.openxmlformats.org/officeDocument/2006/relationships/hyperlink" Target="https://www.coupang.com/vp/products/6671696651?itemId=15352091516&amp;vendorItemId=82572322173&amp;pickType=COU_PICK&amp;q=%ED%88%AC%EB%AA%85%ED%85%8C%EC%9D%B4%ED%94%84&amp;searchId=522433253669670&amp;sourceType=search&amp;itemsCount=36&amp;searchRank=2&amp;rank=2&amp;traceId=mnrmpect" TargetMode="External"/><Relationship Id="rId3" Type="http://schemas.openxmlformats.org/officeDocument/2006/relationships/hyperlink" Target="https://www.coupang.com/vp/products/5625704601?itemId=9133866797&amp;vendorItemId=86137790576&amp;pickType=COU_PICK&amp;q=%EB%AC%BC+%EB%AC%B4%EB%9D%BC%EB%B2%A8+500ml&amp;itemsCount=36&amp;searchId=60dcdd0a2337972&amp;rank=0&amp;searchRank=0&amp;isAddedCart=" TargetMode="External"/><Relationship Id="rId4" Type="http://schemas.openxmlformats.org/officeDocument/2006/relationships/hyperlink" Target="https://www.coupang.com/vp/products/6959793257?itemId=18136852977&amp;vendorItemId=88378499202&amp;q=%EC%9D%B4%EC%98%A8%EC%9D%8C%EB%A3%8C&amp;searchId=3a6fe17513961&amp;sourceType=search&amp;itemsCount=36&amp;searchRank=2&amp;rank=2&amp;traceId=mfe2hvc3" TargetMode="External"/><Relationship Id="rId9" Type="http://schemas.openxmlformats.org/officeDocument/2006/relationships/hyperlink" Target="https://www.coupang.com/vp/products/7203904313?itemId=21668114878&amp;vendorItemId=91452418243&amp;sourceType=srp_product_ads&amp;clickEventId=547e4f60-342e-11f1-a918-8f098ceba0fb&amp;korePlacement=15&amp;koreSubPlacement=1&amp;clickEventId=547e4f60-342e-11f1-a918-8f098ceba0fb&amp;korePlacement=15&amp;koreSubPlacement=1&amp;traceId=mnro9y77" TargetMode="External"/><Relationship Id="rId26" Type="http://schemas.openxmlformats.org/officeDocument/2006/relationships/hyperlink" Target="https://www.coupang.com/vp/products/29533974?itemId=112898942&amp;vendorItemId=3213936121&amp;sourceType=srp_product_ads&amp;clickEventId=8f7cf8d0-3741-11f1-b3dc-c7f9dd45f425&amp;korePlacement=15&amp;koreSubPlacement=1&amp;clickEventId=8f7cf8d0-3741-11f1-b3dc-c7f9dd45f425&amp;korePlacement=15&amp;koreSubPlacement=1&amp;traceId=mnx9le6k" TargetMode="External"/><Relationship Id="rId25" Type="http://schemas.openxmlformats.org/officeDocument/2006/relationships/hyperlink" Target="https://www.coupang.com/vp/products/29533974?itemId=112898940&amp;vendorItemId=3213929525&amp;sourceType=srp_product_ads&amp;clickEventId=8f7cf8d0-3741-11f1-b3dc-c7f9dd45f425&amp;korePlacement=15&amp;koreSubPlacement=1&amp;clickEventId=8f7cf8d0-3741-11f1-b3dc-c7f9dd45f425&amp;korePlacement=15&amp;koreSubPlacement=1&amp;traceId=mnx9le6k" TargetMode="External"/><Relationship Id="rId28" Type="http://schemas.openxmlformats.org/officeDocument/2006/relationships/hyperlink" Target="https://www.topntop.co.kr/shop/goods/goods_view.php?goodsno=14493&amp;category=001" TargetMode="External"/><Relationship Id="rId27" Type="http://schemas.openxmlformats.org/officeDocument/2006/relationships/hyperlink" Target="https://www.coupang.com/vp/products/29533974?itemId=112898941&amp;vendorItemId=3214524157&amp;sourceType=srp_product_ads&amp;clickEventId=8f7cf8d0-3741-11f1-b3dc-c7f9dd45f425&amp;korePlacement=15&amp;koreSubPlacement=1&amp;clickEventId=8f7cf8d0-3741-11f1-b3dc-c7f9dd45f425&amp;korePlacement=15&amp;koreSubPlacement=1&amp;traceId=mnx9le6k" TargetMode="External"/><Relationship Id="rId5" Type="http://schemas.openxmlformats.org/officeDocument/2006/relationships/hyperlink" Target="https://www.coupang.com/vp/products/8544933292?itemId=548226098&amp;vendorItemId=85072693047&amp;pickType=COU_PICK&amp;q=%EC%9D%B4%EC%98%A8%EC%9D%8C%EB%A3%8C+%EB%AC%B4%EB%9D%BC%EB%B2%A8&amp;itemsCount=36&amp;searchId=a190830e542358&amp;rank=1&amp;searchRank=1&amp;isAddedCart=" TargetMode="External"/><Relationship Id="rId6" Type="http://schemas.openxmlformats.org/officeDocument/2006/relationships/hyperlink" Target="https://www.coupang.com/vp/products/7230296106?itemId=18344875277&amp;vendorItemId=86150796269&amp;q=%EB%8B%AC%EA%B3%A0%EB%82%98+2%EA%B0%9C&amp;itemsCount=36&amp;searchId=508832dc940381&amp;rank=53&amp;searchRank=17&amp;isAddedCart=" TargetMode="External"/><Relationship Id="rId29" Type="http://schemas.openxmlformats.org/officeDocument/2006/relationships/hyperlink" Target="https://www.coupang.com/vp/products/1082876317?itemId=16257413452&amp;vendorItemId=90418599363&amp;pickType=COU_PICK&amp;q=%EA%B3%A0%EA%B5%AC%EB%A7%88%EC%8A%A4%ED%8B%B1&amp;searchId=ac5cb5691999417&amp;sourceType=search&amp;itemsCount=36&amp;searchRank=0&amp;rank=0&amp;traceId=mfe515x8" TargetMode="External"/><Relationship Id="rId7" Type="http://schemas.openxmlformats.org/officeDocument/2006/relationships/hyperlink" Target="https://www.coupang.com/vp/products/6155420054?itemId=19239199829&amp;vendorItemId=71503717362&amp;pickType=COU_PICK&amp;q=%EB%B0%9C%ED%8F%AC%EB%B9%84%ED%83%80%EB%AF%BC&amp;itemsCount=36&amp;searchId=7ee987d45174216&amp;rank=0&amp;searchRank=0&amp;isAddedCart=" TargetMode="External"/><Relationship Id="rId8" Type="http://schemas.openxmlformats.org/officeDocument/2006/relationships/hyperlink" Target="https://www.coupang.com/vp/products/8128986977?itemId=10810139370&amp;vendorItemId=86607945075&amp;q=%EB%B3%84%EB%BD%80%EB%B9%A0%EC%9D%B4&amp;itemsCount=36&amp;searchId=3e20ba69376330&amp;rank=0&amp;searchRank=0&amp;isAddedCart=" TargetMode="External"/><Relationship Id="rId31" Type="http://schemas.openxmlformats.org/officeDocument/2006/relationships/hyperlink" Target="https://www.coupang.com/vp/products/8174361304?itemId=23357867452&amp;vendorItemId=90388433128&amp;q=%EC%BF%A0%ED%82%A4%EB%9E%91+%EB%A8%B9%EC%9D%84+%EC%A3%BC%EC%8A%A4&amp;itemsCount=36&amp;searchId=ca07d92817950&amp;rank=0&amp;searchRank=0&amp;isAddedCart=" TargetMode="External"/><Relationship Id="rId30" Type="http://schemas.openxmlformats.org/officeDocument/2006/relationships/hyperlink" Target="https://www.coupang.com/vp/products/7673161101?itemId=24413510888&amp;vendorItemId=87875617274&amp;pickType=COU_PICK&amp;q=%EC%97%90%EB%84%88%EC%A7%80%EB%B0%94&amp;searchId=f1b9a167102846&amp;sourceType=search&amp;itemsCount=36&amp;searchRank=3&amp;rank=3&amp;traceId=mfe3bg0v" TargetMode="External"/><Relationship Id="rId11" Type="http://schemas.openxmlformats.org/officeDocument/2006/relationships/hyperlink" Target="https://www.coupang.com/vp/products/7665332800?itemId=20432605572&amp;vendorItemId=79820084798&amp;q=%EC%9A%B4%EB%8F%99+%ED%9B%84+%EC%82%AC%ED%83%95&amp;itemsCount=36&amp;searchId=1b7db0bf1074766&amp;rank=1&amp;searchRank=1&amp;isAddedCart=" TargetMode="External"/><Relationship Id="rId33" Type="http://schemas.openxmlformats.org/officeDocument/2006/relationships/hyperlink" Target="https://www.coupang.com/vp/products/1477801942?itemId=2539080661&amp;vendorItemId=70531854415&amp;q=%EC%9A%B4%EB%8F%99%ED%9A%8C+%EC%9A%B0%EC%8A%B9+%ED%8A%B8%EB%A1%9C%ED%94%BC&amp;itemsCount=36&amp;searchId=da5299942324653&amp;rank=0&amp;searchRank=0&amp;isAddedCart=" TargetMode="External"/><Relationship Id="rId10" Type="http://schemas.openxmlformats.org/officeDocument/2006/relationships/hyperlink" Target="https://www.coupang.com/vp/products/8244758625?itemId=294418082&amp;vendorItemId=85500815024&amp;q=%EC%8B%A0%EC%AB%84%EC%9D%B4&amp;itemsCount=36&amp;searchId=241446ce1230593&amp;rank=3&amp;searchRank=3&amp;isAddedCart=" TargetMode="External"/><Relationship Id="rId32" Type="http://schemas.openxmlformats.org/officeDocument/2006/relationships/hyperlink" Target="https://www.coupang.com/vp/products/6261699447?itemId=12753822094&amp;vendorItemId=80020102996&amp;q=%EA%B8%88%EB%A9%94%EB%8B%AC+20%EA%B0%9C&amp;itemsCount=36&amp;searchId=46f2af8c2299075&amp;rank=1&amp;searchRank=1&amp;isAddedCart=" TargetMode="External"/><Relationship Id="rId13" Type="http://schemas.openxmlformats.org/officeDocument/2006/relationships/hyperlink" Target="https://www.coupang.com/vp/products/1440533247?itemId=2484309738&amp;vendorItemId=70477602597&amp;q=%EB%A6%BC%EB%B3%B4+%EC%84%B8%ED%8A%B8&amp;searchId=a27a4de25303530&amp;sourceType=search&amp;itemsCount=60&amp;searchRank=2&amp;rank=2&amp;traceId=mok5dwc2" TargetMode="External"/><Relationship Id="rId35" Type="http://schemas.openxmlformats.org/officeDocument/2006/relationships/hyperlink" Target="https://www.coupang.com/vp/products/8960657461?vendorItemId=94930569006&amp;sourceType=SDP_ALSO_VIEWED" TargetMode="External"/><Relationship Id="rId12" Type="http://schemas.openxmlformats.org/officeDocument/2006/relationships/hyperlink" Target="https://gamerental.kr/product/detail.html?product_no=47&amp;cate_no=25&amp;display_group=1" TargetMode="External"/><Relationship Id="rId34" Type="http://schemas.openxmlformats.org/officeDocument/2006/relationships/hyperlink" Target="https://www.coupang.com/vp/products/7318043254?itemId=18763275561&amp;vendorItemId=85895086210&amp;pickType=COU_PICK&amp;q=%EB%B6%80%EC%B1%84&amp;itemsCount=36&amp;searchId=b00dcb541257132&amp;rank=1&amp;searchRank=1&amp;isAddedCart=" TargetMode="External"/><Relationship Id="rId15" Type="http://schemas.openxmlformats.org/officeDocument/2006/relationships/hyperlink" Target="https://www.coupang.com/vp/products/8364298166?itemId=24166242362&amp;vendorItemId=91184631395&amp;src=1191000&amp;spec=10999999&amp;addtag=400&amp;ctag=8364298166&amp;lptag=CFM34803762&amp;itime=20260410004803&amp;pageType=PRODUCT&amp;pageValue=8364298166&amp;wPcid=17737232905412231578312&amp;wRef=&amp;wTime=20260410004803&amp;redirect=landing&amp;abTestInfo=100412_group_C%2F%3Fstyle%3Dkakao_existing_ui&amp;mcid=fb357bcbb0f04b7595b080c36aa9dab9&amp;sharesource=sharebutton&amp;style=&amp;isshortened=Y&amp;settlement=N" TargetMode="External"/><Relationship Id="rId37" Type="http://schemas.openxmlformats.org/officeDocument/2006/relationships/hyperlink" Target="https://www.coupang.com/vp/products/7685887140?itemId=20539738506&amp;vendorItemId=92233756252&amp;sourceType=srp_product_ads&amp;clickEventId=ef6c8540-3803-11f1-988d-91104679256f&amp;korePlacement=15&amp;koreSubPlacement=1&amp;clickEventId=ef6c8540-3803-11f1-988d-91104679256f&amp;korePlacement=15&amp;koreSubPlacement=1&amp;traceId=mnyn8y10" TargetMode="External"/><Relationship Id="rId14" Type="http://schemas.openxmlformats.org/officeDocument/2006/relationships/hyperlink" Target="https://gamerental.kr/product/detail.html?product_no=78&amp;cate_no=28&amp;display_group=1" TargetMode="External"/><Relationship Id="rId36" Type="http://schemas.openxmlformats.org/officeDocument/2006/relationships/hyperlink" Target="https://www.coupang.com/vp/products/7640375378?itemId=20299196824&amp;vendorItemId=87385204260&amp;q=%EC%8A%88%ED%8D%BC+%EB%A7%88%EB%A6%AC%EC%98%A4+%EB%B0%B0%EA%B2%BD&amp;searchId=91e9eb5c1176213&amp;sourceType=search&amp;itemsCount=60&amp;searchRank=22&amp;rank=22&amp;traceId=mnyn6kjd" TargetMode="External"/><Relationship Id="rId17" Type="http://schemas.openxmlformats.org/officeDocument/2006/relationships/hyperlink" Target="https://www.coupang.com/vp/products/1516047654?itemId=2601916996&amp;vendorItemId=70593079872&amp;sourceType=SDW_TOP_SELLING_WIDGET_V2&amp;searchId=f4b8bbd23698221&amp;q=%EB%AC%BC%EC%B4%9D" TargetMode="External"/><Relationship Id="rId39" Type="http://schemas.openxmlformats.org/officeDocument/2006/relationships/hyperlink" Target="https://www.coupang.com/vp/products/7996171515?itemId=22245300605&amp;vendorItemId=89291116631&amp;q=%EB%A7%88%EB%A6%AC%EC%98%A4+%EB%AA%A8%EC%9E%90&amp;searchId=3ded64171968575&amp;sourceType=search&amp;itemsCount=60&amp;searchRank=14&amp;rank=14&amp;traceId=mnynj4x3" TargetMode="External"/><Relationship Id="rId16" Type="http://schemas.openxmlformats.org/officeDocument/2006/relationships/hyperlink" Target="https://www.coupang.com/vp/products/5482292808?itemId=8460726831&amp;vendorItemId=75748300488&amp;q=%EB%A7%88%EB%A6%AC%EC%98%A4+%EC%8A%A4%ED%8B%B0%EC%BB%A4&amp;searchId=fedb21e93794966&amp;sourceType=search&amp;itemsCount=36&amp;searchRank=4&amp;rank=4&amp;traceId=mnrllifq" TargetMode="External"/><Relationship Id="rId38" Type="http://schemas.openxmlformats.org/officeDocument/2006/relationships/hyperlink" Target="https://www.coupang.com/vp/products/7996171515?itemId=22245300606&amp;vendorItemId=89291116626&amp;q=%EB%A7%88%EB%A6%AC%EC%98%A4+%EB%AA%A8%EC%9E%90&amp;searchId=3ded64171968575&amp;sourceType=search&amp;itemsCount=60&amp;searchRank=14&amp;rank=14&amp;traceId=mnynj4x3" TargetMode="External"/><Relationship Id="rId19" Type="http://schemas.openxmlformats.org/officeDocument/2006/relationships/hyperlink" Target="https://www.coupang.com/vp/products/8399821648?itemId=24280944916&amp;vendorItemId=91297278939&amp;q=%EB%A7%88%EB%A6%AC%EC%98%A4+%EB%AA%A8%EC%9E%90&amp;searchId=e123b0403925425&amp;sourceType=search&amp;itemsCount=36&amp;searchRank=2&amp;rank=2&amp;traceId=mnrly7tm" TargetMode="External"/><Relationship Id="rId18" Type="http://schemas.openxmlformats.org/officeDocument/2006/relationships/hyperlink" Target="https://www.coupang.com/vp/products/8399821648?itemId=24280944915&amp;vendorItemId=91297278941&amp;q=%EB%A7%88%EB%A6%AC%EC%98%A4+%EB%AA%A8%EC%9E%90&amp;searchId=e123b0403925425&amp;sourceType=search&amp;itemsCount=36&amp;searchRank=2&amp;rank=2&amp;traceId=mnrly7tm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coupang.com/vp/products/8719918331?itemId=25328549440&amp;vendorItemId=92323392297&amp;sourceType=srp_product_ads&amp;clickEventId=a80be5e0-3805-11f1-9be4-3567864d250e&amp;korePlacement=15&amp;koreSubPlacement=22&amp;clickEventId=a80be5e0-3805-11f1-9be4-3567864d250e&amp;korePlacement=15&amp;koreSubPlacement=22&amp;traceId=mnynp930" TargetMode="External"/><Relationship Id="rId20" Type="http://schemas.openxmlformats.org/officeDocument/2006/relationships/hyperlink" Target="https://www.coupang.com/vp/products/9491510937?itemId=28242057080&amp;vendorItemId=95155930630&amp;q=%EB%A7%88%EB%A6%AC%EC%98%A4+%ED%83%80%ED%88%AC%EC%8A%A4%ED%8B%B0%EC%BB%A4&amp;searchId=c73e3e2d7639083&amp;sourceType=search&amp;itemsCount=60&amp;searchRank=13&amp;rank=13&amp;traceId=mnx9grop" TargetMode="External"/><Relationship Id="rId42" Type="http://schemas.openxmlformats.org/officeDocument/2006/relationships/drawing" Target="../drawings/drawing5.xml"/><Relationship Id="rId41" Type="http://schemas.openxmlformats.org/officeDocument/2006/relationships/hyperlink" Target="https://www.bizhows.com/ko/v/option?code1=4000&amp;code2=200&amp;code3=1001&amp;mock=4000_200_1001_6&amp;priorityKeywordCategory=&amp;defaultKeyword=" TargetMode="External"/><Relationship Id="rId22" Type="http://schemas.openxmlformats.org/officeDocument/2006/relationships/hyperlink" Target="https://www.coupang.com/vp/products/7650692407?itemId=20355651141&amp;vendorItemId=75312938150&amp;q=%EB%8B%A8%EC%B2%B4%EC%A4%84%EB%84%98%EA%B8%B0&amp;searchId=e7624f9b5311644&amp;sourceType=search&amp;itemsCount=60&amp;searchRank=4&amp;rank=4&amp;traceId=mok53yl1" TargetMode="External"/><Relationship Id="rId21" Type="http://schemas.openxmlformats.org/officeDocument/2006/relationships/hyperlink" Target="https://www.coupang.com/vp/products/7849796436?itemId=21392878497&amp;vendorItemId=88449574662&amp;q=%EB%B6%84%EB%A6%AC%EC%88%98%EA%B1%B0+%EB%B4%89%ED%88%AC&amp;itemsCount=36&amp;searchId=52429e5e2185856&amp;rank=7&amp;searchRank=7&amp;isAddedCart=" TargetMode="External"/><Relationship Id="rId24" Type="http://schemas.openxmlformats.org/officeDocument/2006/relationships/hyperlink" Target="https://www.coupang.com/vp/products/29533974?itemId=112898943&amp;vendorItemId=3214073142&amp;sourceType=srp_product_ads&amp;clickEventId=8f7cf8d0-3741-11f1-b3dc-c7f9dd45f425&amp;korePlacement=15&amp;koreSubPlacement=1&amp;clickEventId=8f7cf8d0-3741-11f1-b3dc-c7f9dd45f425&amp;korePlacement=15&amp;koreSubPlacement=1&amp;traceId=mnx9le6k" TargetMode="External"/><Relationship Id="rId23" Type="http://schemas.openxmlformats.org/officeDocument/2006/relationships/hyperlink" Target="https://www.coupang.com/vp/products/29533974?itemId=112898936&amp;vendorItemId=3213724573&amp;sourceType=srp_product_ads&amp;clickEventId=8f7cf8d0-3741-11f1-b3dc-c7f9dd45f425&amp;korePlacement=15&amp;koreSubPlacement=1&amp;clickEventId=8f7cf8d0-3741-11f1-b3dc-c7f9dd45f425&amp;korePlacement=15&amp;koreSubPlacement=1&amp;traceId=mnx9le6k" TargetMode="External"/><Relationship Id="rId1" Type="http://schemas.openxmlformats.org/officeDocument/2006/relationships/hyperlink" Target="https://smartstore.naver.com/youneedun_official/products/8560408431?nl-query=%EC%83%89%EA%B9%94+%ED%8C%90&amp;nl-ts-pid=jOPywsqXKZGssP6a5Ls-465428&amp;NaPm=ct%3Dmnrjxwg8%7Cci%3Debea21b8e8a77bc7f702f18692ecdc7e03d11e8c%7Ctr%3Dsls%7Csn%3D6042554%7Chk%3D7753a7bc3d74ed81d34f15eec6ad702f7633b9b0" TargetMode="External"/><Relationship Id="rId2" Type="http://schemas.openxmlformats.org/officeDocument/2006/relationships/hyperlink" Target="https://www.coupang.com/vp/products/6671696651?itemId=15352091516&amp;vendorItemId=82572322173&amp;pickType=COU_PICK&amp;q=%ED%88%AC%EB%AA%85%ED%85%8C%EC%9D%B4%ED%94%84&amp;searchId=522433253669670&amp;sourceType=search&amp;itemsCount=36&amp;searchRank=2&amp;rank=2&amp;traceId=mnrmpect" TargetMode="External"/><Relationship Id="rId3" Type="http://schemas.openxmlformats.org/officeDocument/2006/relationships/hyperlink" Target="https://www.coupang.com/vp/products/5625704601?itemId=9133866797&amp;vendorItemId=86137790576&amp;pickType=COU_PICK&amp;q=%EB%AC%BC+%EB%AC%B4%EB%9D%BC%EB%B2%A8+500ml&amp;itemsCount=36&amp;searchId=60dcdd0a2337972&amp;rank=0&amp;searchRank=0&amp;isAddedCart=" TargetMode="External"/><Relationship Id="rId4" Type="http://schemas.openxmlformats.org/officeDocument/2006/relationships/hyperlink" Target="https://www.coupang.com/vp/products/6959793257?itemId=18136852977&amp;vendorItemId=88378499202&amp;q=%EC%9D%B4%EC%98%A8%EC%9D%8C%EB%A3%8C&amp;searchId=3a6fe17513961&amp;sourceType=search&amp;itemsCount=36&amp;searchRank=2&amp;rank=2&amp;traceId=mfe2hvc3" TargetMode="External"/><Relationship Id="rId9" Type="http://schemas.openxmlformats.org/officeDocument/2006/relationships/hyperlink" Target="https://www.coupang.com/vp/products/7203904313?itemId=21668114878&amp;vendorItemId=91452418243&amp;sourceType=srp_product_ads&amp;clickEventId=547e4f60-342e-11f1-a918-8f098ceba0fb&amp;korePlacement=15&amp;koreSubPlacement=1&amp;clickEventId=547e4f60-342e-11f1-a918-8f098ceba0fb&amp;korePlacement=15&amp;koreSubPlacement=1&amp;traceId=mnro9y77" TargetMode="External"/><Relationship Id="rId26" Type="http://schemas.openxmlformats.org/officeDocument/2006/relationships/hyperlink" Target="https://www.coupang.com/vp/products/29533974?itemId=112898942&amp;vendorItemId=3213936121&amp;sourceType=srp_product_ads&amp;clickEventId=8f7cf8d0-3741-11f1-b3dc-c7f9dd45f425&amp;korePlacement=15&amp;koreSubPlacement=1&amp;clickEventId=8f7cf8d0-3741-11f1-b3dc-c7f9dd45f425&amp;korePlacement=15&amp;koreSubPlacement=1&amp;traceId=mnx9le6k" TargetMode="External"/><Relationship Id="rId25" Type="http://schemas.openxmlformats.org/officeDocument/2006/relationships/hyperlink" Target="https://www.coupang.com/vp/products/29533974?itemId=112898940&amp;vendorItemId=3213929525&amp;sourceType=srp_product_ads&amp;clickEventId=8f7cf8d0-3741-11f1-b3dc-c7f9dd45f425&amp;korePlacement=15&amp;koreSubPlacement=1&amp;clickEventId=8f7cf8d0-3741-11f1-b3dc-c7f9dd45f425&amp;korePlacement=15&amp;koreSubPlacement=1&amp;traceId=mnx9le6k" TargetMode="External"/><Relationship Id="rId28" Type="http://schemas.openxmlformats.org/officeDocument/2006/relationships/hyperlink" Target="https://www.topntop.co.kr/shop/goods/goods_view.php?goodsno=14493&amp;category=001" TargetMode="External"/><Relationship Id="rId27" Type="http://schemas.openxmlformats.org/officeDocument/2006/relationships/hyperlink" Target="https://www.coupang.com/vp/products/29533974?itemId=112898941&amp;vendorItemId=3214524157&amp;sourceType=srp_product_ads&amp;clickEventId=8f7cf8d0-3741-11f1-b3dc-c7f9dd45f425&amp;korePlacement=15&amp;koreSubPlacement=1&amp;clickEventId=8f7cf8d0-3741-11f1-b3dc-c7f9dd45f425&amp;korePlacement=15&amp;koreSubPlacement=1&amp;traceId=mnx9le6k" TargetMode="External"/><Relationship Id="rId5" Type="http://schemas.openxmlformats.org/officeDocument/2006/relationships/hyperlink" Target="https://www.coupang.com/vp/products/8544933292?itemId=548226098&amp;vendorItemId=85072693047&amp;pickType=COU_PICK&amp;q=%EC%9D%B4%EC%98%A8%EC%9D%8C%EB%A3%8C+%EB%AC%B4%EB%9D%BC%EB%B2%A8&amp;itemsCount=36&amp;searchId=a190830e542358&amp;rank=1&amp;searchRank=1&amp;isAddedCart=" TargetMode="External"/><Relationship Id="rId6" Type="http://schemas.openxmlformats.org/officeDocument/2006/relationships/hyperlink" Target="https://www.coupang.com/vp/products/7230296106?itemId=18344875277&amp;vendorItemId=86150796269&amp;q=%EB%8B%AC%EA%B3%A0%EB%82%98+2%EA%B0%9C&amp;itemsCount=36&amp;searchId=508832dc940381&amp;rank=53&amp;searchRank=17&amp;isAddedCart=" TargetMode="External"/><Relationship Id="rId29" Type="http://schemas.openxmlformats.org/officeDocument/2006/relationships/hyperlink" Target="https://www.coupang.com/vp/products/1082876317?itemId=16257413452&amp;vendorItemId=90418599363&amp;pickType=COU_PICK&amp;q=%EA%B3%A0%EA%B5%AC%EB%A7%88%EC%8A%A4%ED%8B%B1&amp;searchId=ac5cb5691999417&amp;sourceType=search&amp;itemsCount=36&amp;searchRank=0&amp;rank=0&amp;traceId=mfe515x8" TargetMode="External"/><Relationship Id="rId7" Type="http://schemas.openxmlformats.org/officeDocument/2006/relationships/hyperlink" Target="https://www.coupang.com/vp/products/6155420054?itemId=19239199829&amp;vendorItemId=71503717362&amp;pickType=COU_PICK&amp;q=%EB%B0%9C%ED%8F%AC%EB%B9%84%ED%83%80%EB%AF%BC&amp;itemsCount=36&amp;searchId=7ee987d45174216&amp;rank=0&amp;searchRank=0&amp;isAddedCart=" TargetMode="External"/><Relationship Id="rId8" Type="http://schemas.openxmlformats.org/officeDocument/2006/relationships/hyperlink" Target="https://www.coupang.com/vp/products/8128986977?itemId=10810139370&amp;vendorItemId=86607945075&amp;q=%EB%B3%84%EB%BD%80%EB%B9%A0%EC%9D%B4&amp;itemsCount=36&amp;searchId=3e20ba69376330&amp;rank=0&amp;searchRank=0&amp;isAddedCart=" TargetMode="External"/><Relationship Id="rId31" Type="http://schemas.openxmlformats.org/officeDocument/2006/relationships/hyperlink" Target="https://www.coupang.com/vp/products/8174361304?itemId=23357867452&amp;vendorItemId=90388433128&amp;q=%EC%BF%A0%ED%82%A4%EB%9E%91+%EB%A8%B9%EC%9D%84+%EC%A3%BC%EC%8A%A4&amp;itemsCount=36&amp;searchId=ca07d92817950&amp;rank=0&amp;searchRank=0&amp;isAddedCart=" TargetMode="External"/><Relationship Id="rId30" Type="http://schemas.openxmlformats.org/officeDocument/2006/relationships/hyperlink" Target="https://www.coupang.com/vp/products/7673161101?itemId=24413510888&amp;vendorItemId=87875617274&amp;pickType=COU_PICK&amp;q=%EC%97%90%EB%84%88%EC%A7%80%EB%B0%94&amp;searchId=f1b9a167102846&amp;sourceType=search&amp;itemsCount=36&amp;searchRank=3&amp;rank=3&amp;traceId=mfe3bg0v" TargetMode="External"/><Relationship Id="rId11" Type="http://schemas.openxmlformats.org/officeDocument/2006/relationships/hyperlink" Target="https://www.coupang.com/vp/products/7665332800?itemId=20432605572&amp;vendorItemId=79820084798&amp;q=%EC%9A%B4%EB%8F%99+%ED%9B%84+%EC%82%AC%ED%83%95&amp;itemsCount=36&amp;searchId=1b7db0bf1074766&amp;rank=1&amp;searchRank=1&amp;isAddedCart=" TargetMode="External"/><Relationship Id="rId33" Type="http://schemas.openxmlformats.org/officeDocument/2006/relationships/hyperlink" Target="https://www.coupang.com/vp/products/1477801942?itemId=2539080661&amp;vendorItemId=70531854415&amp;q=%EC%9A%B4%EB%8F%99%ED%9A%8C+%EC%9A%B0%EC%8A%B9+%ED%8A%B8%EB%A1%9C%ED%94%BC&amp;itemsCount=36&amp;searchId=da5299942324653&amp;rank=0&amp;searchRank=0&amp;isAddedCart=" TargetMode="External"/><Relationship Id="rId10" Type="http://schemas.openxmlformats.org/officeDocument/2006/relationships/hyperlink" Target="https://www.coupang.com/vp/products/8244758625?itemId=294418082&amp;vendorItemId=85500815024&amp;q=%EC%8B%A0%EC%AB%84%EC%9D%B4&amp;itemsCount=36&amp;searchId=241446ce1230593&amp;rank=3&amp;searchRank=3&amp;isAddedCart=" TargetMode="External"/><Relationship Id="rId32" Type="http://schemas.openxmlformats.org/officeDocument/2006/relationships/hyperlink" Target="https://www.coupang.com/vp/products/6261699447?itemId=12753822094&amp;vendorItemId=80020102996&amp;q=%EA%B8%88%EB%A9%94%EB%8B%AC+20%EA%B0%9C&amp;itemsCount=36&amp;searchId=46f2af8c2299075&amp;rank=1&amp;searchRank=1&amp;isAddedCart=" TargetMode="External"/><Relationship Id="rId13" Type="http://schemas.openxmlformats.org/officeDocument/2006/relationships/hyperlink" Target="https://www.coupang.com/vp/products/1440533247?itemId=2484309738&amp;vendorItemId=70477602597&amp;q=%EB%A6%BC%EB%B3%B4+%EC%84%B8%ED%8A%B8&amp;searchId=a27a4de25303530&amp;sourceType=search&amp;itemsCount=60&amp;searchRank=2&amp;rank=2&amp;traceId=mok5dwc2" TargetMode="External"/><Relationship Id="rId35" Type="http://schemas.openxmlformats.org/officeDocument/2006/relationships/hyperlink" Target="https://www.coupang.com/vp/products/8960657461?vendorItemId=94930569006&amp;sourceType=SDP_ALSO_VIEWED" TargetMode="External"/><Relationship Id="rId12" Type="http://schemas.openxmlformats.org/officeDocument/2006/relationships/hyperlink" Target="https://gamerental.kr/product/detail.html?product_no=47&amp;cate_no=25&amp;display_group=1" TargetMode="External"/><Relationship Id="rId34" Type="http://schemas.openxmlformats.org/officeDocument/2006/relationships/hyperlink" Target="https://www.coupang.com/vp/products/7318043254?itemId=18763275561&amp;vendorItemId=85895086210&amp;pickType=COU_PICK&amp;q=%EB%B6%80%EC%B1%84&amp;itemsCount=36&amp;searchId=b00dcb541257132&amp;rank=1&amp;searchRank=1&amp;isAddedCart=" TargetMode="External"/><Relationship Id="rId15" Type="http://schemas.openxmlformats.org/officeDocument/2006/relationships/hyperlink" Target="https://www.coupang.com/vp/products/8364298166?itemId=24166242362&amp;vendorItemId=91184631395&amp;src=1191000&amp;spec=10999999&amp;addtag=400&amp;ctag=8364298166&amp;lptag=CFM34803762&amp;itime=20260410004803&amp;pageType=PRODUCT&amp;pageValue=8364298166&amp;wPcid=17737232905412231578312&amp;wRef=&amp;wTime=20260410004803&amp;redirect=landing&amp;abTestInfo=100412_group_C%2F%3Fstyle%3Dkakao_existing_ui&amp;mcid=fb357bcbb0f04b7595b080c36aa9dab9&amp;sharesource=sharebutton&amp;style=&amp;isshortened=Y&amp;settlement=N" TargetMode="External"/><Relationship Id="rId37" Type="http://schemas.openxmlformats.org/officeDocument/2006/relationships/hyperlink" Target="https://www.coupang.com/vp/products/7685887140?itemId=20539738506&amp;vendorItemId=92233756252&amp;sourceType=srp_product_ads&amp;clickEventId=ef6c8540-3803-11f1-988d-91104679256f&amp;korePlacement=15&amp;koreSubPlacement=1&amp;clickEventId=ef6c8540-3803-11f1-988d-91104679256f&amp;korePlacement=15&amp;koreSubPlacement=1&amp;traceId=mnyn8y10" TargetMode="External"/><Relationship Id="rId14" Type="http://schemas.openxmlformats.org/officeDocument/2006/relationships/hyperlink" Target="https://gamerental.kr/product/detail.html?product_no=78&amp;cate_no=28&amp;display_group=1" TargetMode="External"/><Relationship Id="rId36" Type="http://schemas.openxmlformats.org/officeDocument/2006/relationships/hyperlink" Target="https://www.coupang.com/vp/products/7640375378?itemId=20299196824&amp;vendorItemId=87385204260&amp;q=%EC%8A%88%ED%8D%BC+%EB%A7%88%EB%A6%AC%EC%98%A4+%EB%B0%B0%EA%B2%BD&amp;searchId=91e9eb5c1176213&amp;sourceType=search&amp;itemsCount=60&amp;searchRank=22&amp;rank=22&amp;traceId=mnyn6kjd" TargetMode="External"/><Relationship Id="rId17" Type="http://schemas.openxmlformats.org/officeDocument/2006/relationships/hyperlink" Target="https://www.coupang.com/vp/products/1516047654?itemId=2601916996&amp;vendorItemId=70593079872&amp;sourceType=SDW_TOP_SELLING_WIDGET_V2&amp;searchId=f4b8bbd23698221&amp;q=%EB%AC%BC%EC%B4%9D" TargetMode="External"/><Relationship Id="rId39" Type="http://schemas.openxmlformats.org/officeDocument/2006/relationships/hyperlink" Target="https://www.coupang.com/vp/products/7996171515?itemId=22245300605&amp;vendorItemId=89291116631&amp;q=%EB%A7%88%EB%A6%AC%EC%98%A4+%EB%AA%A8%EC%9E%90&amp;searchId=3ded64171968575&amp;sourceType=search&amp;itemsCount=60&amp;searchRank=14&amp;rank=14&amp;traceId=mnynj4x3" TargetMode="External"/><Relationship Id="rId16" Type="http://schemas.openxmlformats.org/officeDocument/2006/relationships/hyperlink" Target="https://www.coupang.com/vp/products/5482292808?itemId=8460726831&amp;vendorItemId=75748300488&amp;q=%EB%A7%88%EB%A6%AC%EC%98%A4+%EC%8A%A4%ED%8B%B0%EC%BB%A4&amp;searchId=fedb21e93794966&amp;sourceType=search&amp;itemsCount=36&amp;searchRank=4&amp;rank=4&amp;traceId=mnrllifq" TargetMode="External"/><Relationship Id="rId38" Type="http://schemas.openxmlformats.org/officeDocument/2006/relationships/hyperlink" Target="https://www.coupang.com/vp/products/7996171515?itemId=22245300606&amp;vendorItemId=89291116626&amp;q=%EB%A7%88%EB%A6%AC%EC%98%A4+%EB%AA%A8%EC%9E%90&amp;searchId=3ded64171968575&amp;sourceType=search&amp;itemsCount=60&amp;searchRank=14&amp;rank=14&amp;traceId=mnynj4x3" TargetMode="External"/><Relationship Id="rId19" Type="http://schemas.openxmlformats.org/officeDocument/2006/relationships/hyperlink" Target="https://www.coupang.com/vp/products/8399821648?itemId=24280944916&amp;vendorItemId=91297278939&amp;q=%EB%A7%88%EB%A6%AC%EC%98%A4+%EB%AA%A8%EC%9E%90&amp;searchId=e123b0403925425&amp;sourceType=search&amp;itemsCount=36&amp;searchRank=2&amp;rank=2&amp;traceId=mnrly7tm" TargetMode="External"/><Relationship Id="rId18" Type="http://schemas.openxmlformats.org/officeDocument/2006/relationships/hyperlink" Target="https://www.coupang.com/vp/products/8399821648?itemId=24280944915&amp;vendorItemId=91297278941&amp;q=%EB%A7%88%EB%A6%AC%EC%98%A4+%EB%AA%A8%EC%9E%90&amp;searchId=e123b0403925425&amp;sourceType=search&amp;itemsCount=36&amp;searchRank=2&amp;rank=2&amp;traceId=mnrly7tm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coupang.com/vp/products/8719918331?itemId=25328549440&amp;vendorItemId=92323392297&amp;sourceType=srp_product_ads&amp;clickEventId=a80be5e0-3805-11f1-9be4-3567864d250e&amp;korePlacement=15&amp;koreSubPlacement=22&amp;clickEventId=a80be5e0-3805-11f1-9be4-3567864d250e&amp;korePlacement=15&amp;koreSubPlacement=22&amp;traceId=mnynp930" TargetMode="External"/><Relationship Id="rId20" Type="http://schemas.openxmlformats.org/officeDocument/2006/relationships/hyperlink" Target="https://www.coupang.com/vp/products/9491510937?itemId=28242057080&amp;vendorItemId=95155930630&amp;q=%EB%A7%88%EB%A6%AC%EC%98%A4+%ED%83%80%ED%88%AC%EC%8A%A4%ED%8B%B0%EC%BB%A4&amp;searchId=c73e3e2d7639083&amp;sourceType=search&amp;itemsCount=60&amp;searchRank=13&amp;rank=13&amp;traceId=mnx9grop" TargetMode="External"/><Relationship Id="rId42" Type="http://schemas.openxmlformats.org/officeDocument/2006/relationships/drawing" Target="../drawings/drawing6.xml"/><Relationship Id="rId41" Type="http://schemas.openxmlformats.org/officeDocument/2006/relationships/hyperlink" Target="https://www.bizhows.com/ko/v/option?code1=4000&amp;code2=200&amp;code3=1001&amp;mock=4000_200_1001_6&amp;priorityKeywordCategory=&amp;defaultKeyword=" TargetMode="External"/><Relationship Id="rId22" Type="http://schemas.openxmlformats.org/officeDocument/2006/relationships/hyperlink" Target="https://www.coupang.com/vp/products/7650692407?itemId=20355651141&amp;vendorItemId=75312938150&amp;q=%EB%8B%A8%EC%B2%B4%EC%A4%84%EB%84%98%EA%B8%B0&amp;searchId=e7624f9b5311644&amp;sourceType=search&amp;itemsCount=60&amp;searchRank=4&amp;rank=4&amp;traceId=mok53yl1" TargetMode="External"/><Relationship Id="rId21" Type="http://schemas.openxmlformats.org/officeDocument/2006/relationships/hyperlink" Target="https://www.coupang.com/vp/products/7849796436?itemId=21392878497&amp;vendorItemId=88449574662&amp;q=%EB%B6%84%EB%A6%AC%EC%88%98%EA%B1%B0+%EB%B4%89%ED%88%AC&amp;itemsCount=36&amp;searchId=52429e5e2185856&amp;rank=7&amp;searchRank=7&amp;isAddedCart=" TargetMode="External"/><Relationship Id="rId24" Type="http://schemas.openxmlformats.org/officeDocument/2006/relationships/hyperlink" Target="https://www.coupang.com/vp/products/29533974?itemId=112898943&amp;vendorItemId=3214073142&amp;sourceType=srp_product_ads&amp;clickEventId=8f7cf8d0-3741-11f1-b3dc-c7f9dd45f425&amp;korePlacement=15&amp;koreSubPlacement=1&amp;clickEventId=8f7cf8d0-3741-11f1-b3dc-c7f9dd45f425&amp;korePlacement=15&amp;koreSubPlacement=1&amp;traceId=mnx9le6k" TargetMode="External"/><Relationship Id="rId23" Type="http://schemas.openxmlformats.org/officeDocument/2006/relationships/hyperlink" Target="https://www.coupang.com/vp/products/29533974?itemId=112898936&amp;vendorItemId=3213724573&amp;sourceType=srp_product_ads&amp;clickEventId=8f7cf8d0-3741-11f1-b3dc-c7f9dd45f425&amp;korePlacement=15&amp;koreSubPlacement=1&amp;clickEventId=8f7cf8d0-3741-11f1-b3dc-c7f9dd45f425&amp;korePlacement=15&amp;koreSubPlacement=1&amp;traceId=mnx9le6k" TargetMode="External"/><Relationship Id="rId1" Type="http://schemas.openxmlformats.org/officeDocument/2006/relationships/hyperlink" Target="https://smartstore.naver.com/youneedun_official/products/8560408431?nl-query=%EC%83%89%EA%B9%94+%ED%8C%90&amp;nl-ts-pid=jOPywsqXKZGssP6a5Ls-465428&amp;NaPm=ct%3Dmnrjxwg8%7Cci%3Debea21b8e8a77bc7f702f18692ecdc7e03d11e8c%7Ctr%3Dsls%7Csn%3D6042554%7Chk%3D7753a7bc3d74ed81d34f15eec6ad702f7633b9b0" TargetMode="External"/><Relationship Id="rId2" Type="http://schemas.openxmlformats.org/officeDocument/2006/relationships/hyperlink" Target="https://www.coupang.com/vp/products/6671696651?itemId=15352091516&amp;vendorItemId=82572322173&amp;pickType=COU_PICK&amp;q=%ED%88%AC%EB%AA%85%ED%85%8C%EC%9D%B4%ED%94%84&amp;searchId=522433253669670&amp;sourceType=search&amp;itemsCount=36&amp;searchRank=2&amp;rank=2&amp;traceId=mnrmpect" TargetMode="External"/><Relationship Id="rId3" Type="http://schemas.openxmlformats.org/officeDocument/2006/relationships/hyperlink" Target="https://www.coupang.com/vp/products/5625704601?itemId=9133866797&amp;vendorItemId=86137790576&amp;pickType=COU_PICK&amp;q=%EB%AC%BC+%EB%AC%B4%EB%9D%BC%EB%B2%A8+500ml&amp;itemsCount=36&amp;searchId=60dcdd0a2337972&amp;rank=0&amp;searchRank=0&amp;isAddedCart=" TargetMode="External"/><Relationship Id="rId4" Type="http://schemas.openxmlformats.org/officeDocument/2006/relationships/hyperlink" Target="https://www.coupang.com/vp/products/6959793257?itemId=18136852977&amp;vendorItemId=88378499202&amp;q=%EC%9D%B4%EC%98%A8%EC%9D%8C%EB%A3%8C&amp;searchId=3a6fe17513961&amp;sourceType=search&amp;itemsCount=36&amp;searchRank=2&amp;rank=2&amp;traceId=mfe2hvc3" TargetMode="External"/><Relationship Id="rId9" Type="http://schemas.openxmlformats.org/officeDocument/2006/relationships/hyperlink" Target="https://www.coupang.com/vp/products/7203904313?itemId=21668114878&amp;vendorItemId=91452418243&amp;sourceType=srp_product_ads&amp;clickEventId=547e4f60-342e-11f1-a918-8f098ceba0fb&amp;korePlacement=15&amp;koreSubPlacement=1&amp;clickEventId=547e4f60-342e-11f1-a918-8f098ceba0fb&amp;korePlacement=15&amp;koreSubPlacement=1&amp;traceId=mnro9y77" TargetMode="External"/><Relationship Id="rId26" Type="http://schemas.openxmlformats.org/officeDocument/2006/relationships/hyperlink" Target="https://www.coupang.com/vp/products/29533974?itemId=112898942&amp;vendorItemId=3213936121&amp;sourceType=srp_product_ads&amp;clickEventId=8f7cf8d0-3741-11f1-b3dc-c7f9dd45f425&amp;korePlacement=15&amp;koreSubPlacement=1&amp;clickEventId=8f7cf8d0-3741-11f1-b3dc-c7f9dd45f425&amp;korePlacement=15&amp;koreSubPlacement=1&amp;traceId=mnx9le6k" TargetMode="External"/><Relationship Id="rId25" Type="http://schemas.openxmlformats.org/officeDocument/2006/relationships/hyperlink" Target="https://www.coupang.com/vp/products/29533974?itemId=112898940&amp;vendorItemId=3213929525&amp;sourceType=srp_product_ads&amp;clickEventId=8f7cf8d0-3741-11f1-b3dc-c7f9dd45f425&amp;korePlacement=15&amp;koreSubPlacement=1&amp;clickEventId=8f7cf8d0-3741-11f1-b3dc-c7f9dd45f425&amp;korePlacement=15&amp;koreSubPlacement=1&amp;traceId=mnx9le6k" TargetMode="External"/><Relationship Id="rId28" Type="http://schemas.openxmlformats.org/officeDocument/2006/relationships/hyperlink" Target="https://www.topntop.co.kr/shop/goods/goods_view.php?goodsno=14493&amp;category=001" TargetMode="External"/><Relationship Id="rId27" Type="http://schemas.openxmlformats.org/officeDocument/2006/relationships/hyperlink" Target="https://www.coupang.com/vp/products/29533974?itemId=112898941&amp;vendorItemId=3214524157&amp;sourceType=srp_product_ads&amp;clickEventId=8f7cf8d0-3741-11f1-b3dc-c7f9dd45f425&amp;korePlacement=15&amp;koreSubPlacement=1&amp;clickEventId=8f7cf8d0-3741-11f1-b3dc-c7f9dd45f425&amp;korePlacement=15&amp;koreSubPlacement=1&amp;traceId=mnx9le6k" TargetMode="External"/><Relationship Id="rId5" Type="http://schemas.openxmlformats.org/officeDocument/2006/relationships/hyperlink" Target="https://www.coupang.com/vp/products/8544933292?itemId=548226098&amp;vendorItemId=85072693047&amp;pickType=COU_PICK&amp;q=%EC%9D%B4%EC%98%A8%EC%9D%8C%EB%A3%8C+%EB%AC%B4%EB%9D%BC%EB%B2%A8&amp;itemsCount=36&amp;searchId=a190830e542358&amp;rank=1&amp;searchRank=1&amp;isAddedCart=" TargetMode="External"/><Relationship Id="rId6" Type="http://schemas.openxmlformats.org/officeDocument/2006/relationships/hyperlink" Target="https://www.coupang.com/vp/products/7230296106?itemId=18344875277&amp;vendorItemId=86150796269&amp;q=%EB%8B%AC%EA%B3%A0%EB%82%98+2%EA%B0%9C&amp;itemsCount=36&amp;searchId=508832dc940381&amp;rank=53&amp;searchRank=17&amp;isAddedCart=" TargetMode="External"/><Relationship Id="rId29" Type="http://schemas.openxmlformats.org/officeDocument/2006/relationships/hyperlink" Target="https://www.coupang.com/vp/products/1082876317?itemId=16257413452&amp;vendorItemId=90418599363&amp;pickType=COU_PICK&amp;q=%EA%B3%A0%EA%B5%AC%EB%A7%88%EC%8A%A4%ED%8B%B1&amp;searchId=ac5cb5691999417&amp;sourceType=search&amp;itemsCount=36&amp;searchRank=0&amp;rank=0&amp;traceId=mfe515x8" TargetMode="External"/><Relationship Id="rId7" Type="http://schemas.openxmlformats.org/officeDocument/2006/relationships/hyperlink" Target="https://www.coupang.com/vp/products/6155420054?itemId=19239199829&amp;vendorItemId=71503717362&amp;pickType=COU_PICK&amp;q=%EB%B0%9C%ED%8F%AC%EB%B9%84%ED%83%80%EB%AF%BC&amp;itemsCount=36&amp;searchId=7ee987d45174216&amp;rank=0&amp;searchRank=0&amp;isAddedCart=" TargetMode="External"/><Relationship Id="rId8" Type="http://schemas.openxmlformats.org/officeDocument/2006/relationships/hyperlink" Target="https://www.coupang.com/vp/products/8128986977?itemId=10810139370&amp;vendorItemId=86607945075&amp;q=%EB%B3%84%EB%BD%80%EB%B9%A0%EC%9D%B4&amp;itemsCount=36&amp;searchId=3e20ba69376330&amp;rank=0&amp;searchRank=0&amp;isAddedCart=" TargetMode="External"/><Relationship Id="rId31" Type="http://schemas.openxmlformats.org/officeDocument/2006/relationships/hyperlink" Target="https://www.coupang.com/vp/products/8174361304?itemId=23357867452&amp;vendorItemId=90388433128&amp;q=%EC%BF%A0%ED%82%A4%EB%9E%91+%EB%A8%B9%EC%9D%84+%EC%A3%BC%EC%8A%A4&amp;itemsCount=36&amp;searchId=ca07d92817950&amp;rank=0&amp;searchRank=0&amp;isAddedCart=" TargetMode="External"/><Relationship Id="rId30" Type="http://schemas.openxmlformats.org/officeDocument/2006/relationships/hyperlink" Target="https://www.coupang.com/vp/products/7673161101?itemId=24413510888&amp;vendorItemId=87875617274&amp;pickType=COU_PICK&amp;q=%EC%97%90%EB%84%88%EC%A7%80%EB%B0%94&amp;searchId=f1b9a167102846&amp;sourceType=search&amp;itemsCount=36&amp;searchRank=3&amp;rank=3&amp;traceId=mfe3bg0v" TargetMode="External"/><Relationship Id="rId11" Type="http://schemas.openxmlformats.org/officeDocument/2006/relationships/hyperlink" Target="https://www.coupang.com/vp/products/7665332800?itemId=20432605572&amp;vendorItemId=79820084798&amp;q=%EC%9A%B4%EB%8F%99+%ED%9B%84+%EC%82%AC%ED%83%95&amp;itemsCount=36&amp;searchId=1b7db0bf1074766&amp;rank=1&amp;searchRank=1&amp;isAddedCart=" TargetMode="External"/><Relationship Id="rId33" Type="http://schemas.openxmlformats.org/officeDocument/2006/relationships/hyperlink" Target="https://www.coupang.com/vp/products/1477801942?itemId=2539080661&amp;vendorItemId=70531854415&amp;q=%EC%9A%B4%EB%8F%99%ED%9A%8C+%EC%9A%B0%EC%8A%B9+%ED%8A%B8%EB%A1%9C%ED%94%BC&amp;itemsCount=36&amp;searchId=da5299942324653&amp;rank=0&amp;searchRank=0&amp;isAddedCart=" TargetMode="External"/><Relationship Id="rId10" Type="http://schemas.openxmlformats.org/officeDocument/2006/relationships/hyperlink" Target="https://www.coupang.com/vp/products/8244758625?itemId=294418082&amp;vendorItemId=85500815024&amp;q=%EC%8B%A0%EC%AB%84%EC%9D%B4&amp;itemsCount=36&amp;searchId=241446ce1230593&amp;rank=3&amp;searchRank=3&amp;isAddedCart=" TargetMode="External"/><Relationship Id="rId32" Type="http://schemas.openxmlformats.org/officeDocument/2006/relationships/hyperlink" Target="https://www.coupang.com/vp/products/6261699447?itemId=12753822094&amp;vendorItemId=80020102996&amp;q=%EA%B8%88%EB%A9%94%EB%8B%AC+20%EA%B0%9C&amp;itemsCount=36&amp;searchId=46f2af8c2299075&amp;rank=1&amp;searchRank=1&amp;isAddedCart=" TargetMode="External"/><Relationship Id="rId13" Type="http://schemas.openxmlformats.org/officeDocument/2006/relationships/hyperlink" Target="https://www.coupang.com/vp/products/1440533247?itemId=2484309738&amp;vendorItemId=70477602597&amp;q=%EB%A6%BC%EB%B3%B4+%EC%84%B8%ED%8A%B8&amp;searchId=a27a4de25303530&amp;sourceType=search&amp;itemsCount=60&amp;searchRank=2&amp;rank=2&amp;traceId=mok5dwc2" TargetMode="External"/><Relationship Id="rId35" Type="http://schemas.openxmlformats.org/officeDocument/2006/relationships/hyperlink" Target="https://www.coupang.com/vp/products/8960657461?vendorItemId=94930569006&amp;sourceType=SDP_ALSO_VIEWED" TargetMode="External"/><Relationship Id="rId12" Type="http://schemas.openxmlformats.org/officeDocument/2006/relationships/hyperlink" Target="https://gamerental.kr/product/detail.html?product_no=47&amp;cate_no=25&amp;display_group=1" TargetMode="External"/><Relationship Id="rId34" Type="http://schemas.openxmlformats.org/officeDocument/2006/relationships/hyperlink" Target="https://www.coupang.com/vp/products/7318043254?itemId=18763275561&amp;vendorItemId=85895086210&amp;pickType=COU_PICK&amp;q=%EB%B6%80%EC%B1%84&amp;itemsCount=36&amp;searchId=b00dcb541257132&amp;rank=1&amp;searchRank=1&amp;isAddedCart=" TargetMode="External"/><Relationship Id="rId15" Type="http://schemas.openxmlformats.org/officeDocument/2006/relationships/hyperlink" Target="https://www.coupang.com/vp/products/8364298166?itemId=24166242362&amp;vendorItemId=91184631395&amp;src=1191000&amp;spec=10999999&amp;addtag=400&amp;ctag=8364298166&amp;lptag=CFM34803762&amp;itime=20260410004803&amp;pageType=PRODUCT&amp;pageValue=8364298166&amp;wPcid=17737232905412231578312&amp;wRef=&amp;wTime=20260410004803&amp;redirect=landing&amp;abTestInfo=100412_group_C%2F%3Fstyle%3Dkakao_existing_ui&amp;mcid=fb357bcbb0f04b7595b080c36aa9dab9&amp;sharesource=sharebutton&amp;style=&amp;isshortened=Y&amp;settlement=N" TargetMode="External"/><Relationship Id="rId37" Type="http://schemas.openxmlformats.org/officeDocument/2006/relationships/hyperlink" Target="https://www.coupang.com/vp/products/7685887140?itemId=20539738506&amp;vendorItemId=92233756252&amp;sourceType=srp_product_ads&amp;clickEventId=ef6c8540-3803-11f1-988d-91104679256f&amp;korePlacement=15&amp;koreSubPlacement=1&amp;clickEventId=ef6c8540-3803-11f1-988d-91104679256f&amp;korePlacement=15&amp;koreSubPlacement=1&amp;traceId=mnyn8y10" TargetMode="External"/><Relationship Id="rId14" Type="http://schemas.openxmlformats.org/officeDocument/2006/relationships/hyperlink" Target="https://gamerental.kr/product/detail.html?product_no=78&amp;cate_no=28&amp;display_group=1" TargetMode="External"/><Relationship Id="rId36" Type="http://schemas.openxmlformats.org/officeDocument/2006/relationships/hyperlink" Target="https://www.coupang.com/vp/products/7640375378?itemId=20299196824&amp;vendorItemId=87385204260&amp;q=%EC%8A%88%ED%8D%BC+%EB%A7%88%EB%A6%AC%EC%98%A4+%EB%B0%B0%EA%B2%BD&amp;searchId=91e9eb5c1176213&amp;sourceType=search&amp;itemsCount=60&amp;searchRank=22&amp;rank=22&amp;traceId=mnyn6kjd" TargetMode="External"/><Relationship Id="rId17" Type="http://schemas.openxmlformats.org/officeDocument/2006/relationships/hyperlink" Target="https://www.coupang.com/vp/products/1516047654?itemId=2601916996&amp;vendorItemId=70593079872&amp;sourceType=SDW_TOP_SELLING_WIDGET_V2&amp;searchId=f4b8bbd23698221&amp;q=%EB%AC%BC%EC%B4%9D" TargetMode="External"/><Relationship Id="rId39" Type="http://schemas.openxmlformats.org/officeDocument/2006/relationships/hyperlink" Target="https://www.coupang.com/vp/products/7996171515?itemId=22245300605&amp;vendorItemId=89291116631&amp;q=%EB%A7%88%EB%A6%AC%EC%98%A4+%EB%AA%A8%EC%9E%90&amp;searchId=3ded64171968575&amp;sourceType=search&amp;itemsCount=60&amp;searchRank=14&amp;rank=14&amp;traceId=mnynj4x3" TargetMode="External"/><Relationship Id="rId16" Type="http://schemas.openxmlformats.org/officeDocument/2006/relationships/hyperlink" Target="https://www.coupang.com/vp/products/5482292808?itemId=8460726831&amp;vendorItemId=75748300488&amp;q=%EB%A7%88%EB%A6%AC%EC%98%A4+%EC%8A%A4%ED%8B%B0%EC%BB%A4&amp;searchId=fedb21e93794966&amp;sourceType=search&amp;itemsCount=36&amp;searchRank=4&amp;rank=4&amp;traceId=mnrllifq" TargetMode="External"/><Relationship Id="rId38" Type="http://schemas.openxmlformats.org/officeDocument/2006/relationships/hyperlink" Target="https://www.coupang.com/vp/products/7996171515?itemId=22245300606&amp;vendorItemId=89291116626&amp;q=%EB%A7%88%EB%A6%AC%EC%98%A4+%EB%AA%A8%EC%9E%90&amp;searchId=3ded64171968575&amp;sourceType=search&amp;itemsCount=60&amp;searchRank=14&amp;rank=14&amp;traceId=mnynj4x3" TargetMode="External"/><Relationship Id="rId19" Type="http://schemas.openxmlformats.org/officeDocument/2006/relationships/hyperlink" Target="https://www.coupang.com/vp/products/8399821648?itemId=24280944916&amp;vendorItemId=91297278939&amp;q=%EB%A7%88%EB%A6%AC%EC%98%A4+%EB%AA%A8%EC%9E%90&amp;searchId=e123b0403925425&amp;sourceType=search&amp;itemsCount=36&amp;searchRank=2&amp;rank=2&amp;traceId=mnrly7tm" TargetMode="External"/><Relationship Id="rId18" Type="http://schemas.openxmlformats.org/officeDocument/2006/relationships/hyperlink" Target="https://www.coupang.com/vp/products/8399821648?itemId=24280944915&amp;vendorItemId=91297278941&amp;q=%EB%A7%88%EB%A6%AC%EC%98%A4+%EB%AA%A8%EC%9E%90&amp;searchId=e123b0403925425&amp;sourceType=search&amp;itemsCount=36&amp;searchRank=2&amp;rank=2&amp;traceId=mnrly7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3.5"/>
    <col customWidth="1" min="5" max="5" width="11.5"/>
    <col customWidth="1" min="8" max="8" width="70.38"/>
  </cols>
  <sheetData>
    <row r="2">
      <c r="B2" s="2" t="s">
        <v>0</v>
      </c>
      <c r="C2" s="3"/>
      <c r="D2" s="3"/>
      <c r="E2" s="4"/>
      <c r="F2" s="5" t="s">
        <v>2</v>
      </c>
      <c r="G2" s="6" t="s">
        <v>3</v>
      </c>
      <c r="H2" s="7" t="s">
        <v>4</v>
      </c>
      <c r="I2" s="8"/>
    </row>
    <row r="3">
      <c r="B3" s="9"/>
      <c r="C3" s="10"/>
      <c r="D3" s="10"/>
      <c r="E3" s="11"/>
      <c r="F3" s="12"/>
      <c r="G3" s="13"/>
      <c r="H3" s="14"/>
      <c r="I3" s="8"/>
    </row>
    <row r="4">
      <c r="B4" s="15" t="s">
        <v>5</v>
      </c>
      <c r="C4" s="16" t="s">
        <v>6</v>
      </c>
      <c r="D4" s="17"/>
      <c r="E4" s="18"/>
      <c r="F4" s="19" t="s">
        <v>7</v>
      </c>
      <c r="G4" s="20" t="s">
        <v>11</v>
      </c>
      <c r="H4" s="21"/>
      <c r="I4" s="8"/>
    </row>
    <row r="5">
      <c r="B5" s="15" t="s">
        <v>12</v>
      </c>
      <c r="C5" s="22">
        <v>45920.0</v>
      </c>
      <c r="D5" s="23" t="s">
        <v>13</v>
      </c>
      <c r="E5" s="24" t="s">
        <v>14</v>
      </c>
      <c r="F5" s="23" t="s">
        <v>15</v>
      </c>
      <c r="G5" s="20" t="s">
        <v>16</v>
      </c>
      <c r="H5" s="21"/>
      <c r="I5" s="8"/>
    </row>
    <row r="6">
      <c r="B6" s="25"/>
      <c r="C6" s="26"/>
      <c r="D6" s="26"/>
      <c r="E6" s="26"/>
      <c r="F6" s="26"/>
      <c r="G6" s="27"/>
      <c r="H6" s="28"/>
      <c r="I6" s="8"/>
    </row>
    <row r="7">
      <c r="B7" s="29" t="s">
        <v>17</v>
      </c>
      <c r="C7" s="30" t="s">
        <v>18</v>
      </c>
      <c r="D7" s="30" t="s">
        <v>19</v>
      </c>
      <c r="E7" s="31" t="s">
        <v>20</v>
      </c>
      <c r="F7" s="32" t="s">
        <v>21</v>
      </c>
      <c r="G7" s="33" t="s">
        <v>22</v>
      </c>
      <c r="H7" s="34"/>
      <c r="I7" s="8"/>
    </row>
    <row r="8">
      <c r="B8" s="40" t="s">
        <v>25</v>
      </c>
      <c r="C8" s="36">
        <v>195.0</v>
      </c>
      <c r="D8" s="37">
        <v>5200.0</v>
      </c>
      <c r="E8" s="37">
        <f t="shared" ref="E8:E22" si="1">C8*D8</f>
        <v>1014000</v>
      </c>
      <c r="F8" s="38" t="s">
        <v>24</v>
      </c>
      <c r="G8" s="39"/>
      <c r="H8" s="41"/>
      <c r="I8" s="8"/>
    </row>
    <row r="9">
      <c r="B9" s="40" t="s">
        <v>27</v>
      </c>
      <c r="C9" s="36">
        <v>10.0</v>
      </c>
      <c r="D9" s="37">
        <v>10900.0</v>
      </c>
      <c r="E9" s="37">
        <f t="shared" si="1"/>
        <v>109000</v>
      </c>
      <c r="F9" s="38" t="s">
        <v>28</v>
      </c>
      <c r="G9" s="39"/>
      <c r="H9" s="41"/>
      <c r="I9" s="46" t="s">
        <v>29</v>
      </c>
    </row>
    <row r="10">
      <c r="B10" s="47" t="s">
        <v>30</v>
      </c>
      <c r="C10" s="44">
        <v>4.0</v>
      </c>
      <c r="D10" s="48">
        <v>6800.0</v>
      </c>
      <c r="E10" s="48">
        <f t="shared" si="1"/>
        <v>27200</v>
      </c>
      <c r="F10" s="51" t="s">
        <v>31</v>
      </c>
      <c r="G10" s="53" t="s">
        <v>32</v>
      </c>
      <c r="H10" s="41"/>
      <c r="I10" s="8"/>
    </row>
    <row r="11">
      <c r="B11" s="47" t="s">
        <v>33</v>
      </c>
      <c r="C11" s="44">
        <v>1.0</v>
      </c>
      <c r="D11" s="48">
        <v>3690.0</v>
      </c>
      <c r="E11" s="48">
        <f t="shared" si="1"/>
        <v>3690</v>
      </c>
      <c r="F11" s="52" t="s">
        <v>34</v>
      </c>
      <c r="G11" s="54" t="s">
        <v>35</v>
      </c>
      <c r="H11" s="41"/>
      <c r="I11" s="8"/>
    </row>
    <row r="12">
      <c r="B12" s="50" t="s">
        <v>37</v>
      </c>
      <c r="C12" s="44">
        <v>2.0</v>
      </c>
      <c r="D12" s="48">
        <v>37490.0</v>
      </c>
      <c r="E12" s="48">
        <f t="shared" si="1"/>
        <v>74980</v>
      </c>
      <c r="F12" s="52" t="s">
        <v>34</v>
      </c>
      <c r="G12" s="55" t="s">
        <v>38</v>
      </c>
      <c r="H12" s="41"/>
      <c r="I12" s="8"/>
    </row>
    <row r="13">
      <c r="B13" s="50" t="s">
        <v>40</v>
      </c>
      <c r="C13" s="44">
        <v>4.0</v>
      </c>
      <c r="D13" s="48">
        <v>27710.0</v>
      </c>
      <c r="E13" s="48">
        <f t="shared" si="1"/>
        <v>110840</v>
      </c>
      <c r="F13" s="52" t="s">
        <v>34</v>
      </c>
      <c r="G13" s="56" t="s">
        <v>42</v>
      </c>
      <c r="H13" s="41"/>
      <c r="I13" s="8"/>
    </row>
    <row r="14">
      <c r="B14" s="50" t="s">
        <v>43</v>
      </c>
      <c r="C14" s="44">
        <v>4.0</v>
      </c>
      <c r="D14" s="48">
        <v>29300.0</v>
      </c>
      <c r="E14" s="48">
        <f t="shared" si="1"/>
        <v>117200</v>
      </c>
      <c r="F14" s="52" t="s">
        <v>34</v>
      </c>
      <c r="G14" s="55" t="s">
        <v>44</v>
      </c>
      <c r="H14" s="41"/>
      <c r="I14" s="8"/>
    </row>
    <row r="15">
      <c r="B15" s="47" t="s">
        <v>46</v>
      </c>
      <c r="C15" s="44">
        <v>3.0</v>
      </c>
      <c r="D15" s="48">
        <v>3900.0</v>
      </c>
      <c r="E15" s="48">
        <f t="shared" si="1"/>
        <v>11700</v>
      </c>
      <c r="F15" s="52" t="s">
        <v>34</v>
      </c>
      <c r="G15" s="55" t="s">
        <v>47</v>
      </c>
      <c r="H15" s="41"/>
      <c r="I15" s="8"/>
    </row>
    <row r="16">
      <c r="B16" s="47" t="s">
        <v>48</v>
      </c>
      <c r="C16" s="44">
        <v>3.0</v>
      </c>
      <c r="D16" s="48">
        <v>3266.0</v>
      </c>
      <c r="E16" s="48">
        <f t="shared" si="1"/>
        <v>9798</v>
      </c>
      <c r="F16" s="52" t="s">
        <v>34</v>
      </c>
      <c r="G16" s="57" t="s">
        <v>50</v>
      </c>
      <c r="H16" s="41"/>
      <c r="I16" s="8"/>
    </row>
    <row r="17">
      <c r="B17" s="47" t="s">
        <v>51</v>
      </c>
      <c r="C17" s="44">
        <v>1.0</v>
      </c>
      <c r="D17" s="48">
        <v>7050.0</v>
      </c>
      <c r="E17" s="48">
        <f t="shared" si="1"/>
        <v>7050</v>
      </c>
      <c r="F17" s="52" t="s">
        <v>34</v>
      </c>
      <c r="G17" s="57" t="s">
        <v>52</v>
      </c>
      <c r="H17" s="41"/>
      <c r="I17" s="8"/>
    </row>
    <row r="18">
      <c r="B18" s="47" t="s">
        <v>53</v>
      </c>
      <c r="C18" s="44">
        <v>1.0</v>
      </c>
      <c r="D18" s="48">
        <v>11900.0</v>
      </c>
      <c r="E18" s="48">
        <f t="shared" si="1"/>
        <v>11900</v>
      </c>
      <c r="F18" s="52" t="s">
        <v>34</v>
      </c>
      <c r="G18" s="58" t="s">
        <v>54</v>
      </c>
      <c r="H18" s="41"/>
      <c r="I18" s="8"/>
    </row>
    <row r="19">
      <c r="B19" s="47" t="s">
        <v>57</v>
      </c>
      <c r="C19" s="44">
        <v>1.0</v>
      </c>
      <c r="D19" s="48">
        <v>16830.0</v>
      </c>
      <c r="E19" s="48">
        <f t="shared" si="1"/>
        <v>16830</v>
      </c>
      <c r="F19" s="52" t="s">
        <v>34</v>
      </c>
      <c r="G19" s="55" t="s">
        <v>58</v>
      </c>
      <c r="H19" s="41"/>
      <c r="I19" s="8"/>
    </row>
    <row r="20">
      <c r="B20" s="47" t="s">
        <v>60</v>
      </c>
      <c r="C20" s="44">
        <v>2.0</v>
      </c>
      <c r="D20" s="48">
        <v>9820.0</v>
      </c>
      <c r="E20" s="48">
        <f t="shared" si="1"/>
        <v>19640</v>
      </c>
      <c r="F20" s="52" t="s">
        <v>34</v>
      </c>
      <c r="G20" s="55" t="s">
        <v>61</v>
      </c>
      <c r="H20" s="41"/>
      <c r="I20" s="8"/>
    </row>
    <row r="21">
      <c r="B21" s="50" t="s">
        <v>62</v>
      </c>
      <c r="C21" s="59">
        <v>1.0</v>
      </c>
      <c r="D21" s="45">
        <v>98000.0</v>
      </c>
      <c r="E21" s="48">
        <f t="shared" si="1"/>
        <v>98000</v>
      </c>
      <c r="F21" s="52" t="s">
        <v>64</v>
      </c>
      <c r="G21" s="60" t="s">
        <v>65</v>
      </c>
      <c r="H21" s="41"/>
      <c r="I21" s="8"/>
    </row>
    <row r="22">
      <c r="B22" s="43" t="s">
        <v>66</v>
      </c>
      <c r="C22" s="61"/>
      <c r="D22" s="62"/>
      <c r="E22" s="48">
        <f t="shared" si="1"/>
        <v>0</v>
      </c>
      <c r="F22" s="61"/>
      <c r="G22" s="49"/>
      <c r="H22" s="41"/>
      <c r="I22" s="8"/>
    </row>
    <row r="23">
      <c r="B23" s="43" t="s">
        <v>67</v>
      </c>
      <c r="C23" s="44">
        <v>1.0</v>
      </c>
      <c r="D23" s="45">
        <v>35520.0</v>
      </c>
      <c r="E23" s="45">
        <v>35520.0</v>
      </c>
      <c r="F23" s="44" t="s">
        <v>34</v>
      </c>
      <c r="G23" s="58" t="s">
        <v>68</v>
      </c>
      <c r="H23" s="63"/>
      <c r="I23" s="8"/>
    </row>
    <row r="24">
      <c r="B24" s="50" t="s">
        <v>69</v>
      </c>
      <c r="C24" s="44">
        <v>4.0</v>
      </c>
      <c r="D24" s="48">
        <v>12000.0</v>
      </c>
      <c r="E24" s="48">
        <f t="shared" ref="E24:E31" si="2">C24*D24</f>
        <v>48000</v>
      </c>
      <c r="F24" s="52" t="s">
        <v>64</v>
      </c>
      <c r="G24" s="55" t="s">
        <v>70</v>
      </c>
      <c r="H24" s="41"/>
      <c r="I24" s="8"/>
    </row>
    <row r="25">
      <c r="B25" s="47" t="s">
        <v>71</v>
      </c>
      <c r="C25" s="44">
        <v>1.0</v>
      </c>
      <c r="D25" s="48">
        <v>48800.0</v>
      </c>
      <c r="E25" s="48">
        <f t="shared" si="2"/>
        <v>48800</v>
      </c>
      <c r="F25" s="52" t="s">
        <v>34</v>
      </c>
      <c r="G25" s="56" t="s">
        <v>72</v>
      </c>
      <c r="H25" s="41"/>
      <c r="I25" s="8"/>
    </row>
    <row r="26">
      <c r="B26" s="47" t="s">
        <v>73</v>
      </c>
      <c r="C26" s="44">
        <v>1.0</v>
      </c>
      <c r="D26" s="48">
        <v>5500.0</v>
      </c>
      <c r="E26" s="48">
        <f t="shared" si="2"/>
        <v>5500</v>
      </c>
      <c r="F26" s="52" t="s">
        <v>34</v>
      </c>
      <c r="G26" s="56" t="s">
        <v>74</v>
      </c>
      <c r="H26" s="41"/>
      <c r="I26" s="8"/>
    </row>
    <row r="27">
      <c r="B27" s="47" t="s">
        <v>75</v>
      </c>
      <c r="C27" s="44">
        <v>3.0</v>
      </c>
      <c r="D27" s="48">
        <v>5200.0</v>
      </c>
      <c r="E27" s="48">
        <f t="shared" si="2"/>
        <v>15600</v>
      </c>
      <c r="F27" s="52" t="s">
        <v>34</v>
      </c>
      <c r="G27" s="56" t="s">
        <v>76</v>
      </c>
      <c r="H27" s="41"/>
      <c r="I27" s="8"/>
    </row>
    <row r="28">
      <c r="B28" s="47" t="s">
        <v>77</v>
      </c>
      <c r="C28" s="44">
        <v>1.0</v>
      </c>
      <c r="D28" s="48">
        <v>9210.0</v>
      </c>
      <c r="E28" s="48">
        <f t="shared" si="2"/>
        <v>9210</v>
      </c>
      <c r="F28" s="52" t="s">
        <v>34</v>
      </c>
      <c r="G28" s="56" t="s">
        <v>78</v>
      </c>
      <c r="H28" s="41"/>
      <c r="I28" s="8"/>
    </row>
    <row r="29">
      <c r="B29" s="47" t="s">
        <v>79</v>
      </c>
      <c r="C29" s="44">
        <v>1.0</v>
      </c>
      <c r="D29" s="48">
        <v>9210.0</v>
      </c>
      <c r="E29" s="48">
        <f t="shared" si="2"/>
        <v>9210</v>
      </c>
      <c r="F29" s="52" t="s">
        <v>34</v>
      </c>
      <c r="G29" s="55" t="s">
        <v>80</v>
      </c>
      <c r="H29" s="41"/>
      <c r="I29" s="8"/>
    </row>
    <row r="30">
      <c r="B30" s="64" t="s">
        <v>81</v>
      </c>
      <c r="C30" s="65">
        <v>6.0</v>
      </c>
      <c r="D30" s="45">
        <v>29900.0</v>
      </c>
      <c r="E30" s="48">
        <f t="shared" si="2"/>
        <v>179400</v>
      </c>
      <c r="F30" s="65" t="s">
        <v>34</v>
      </c>
      <c r="G30" s="53" t="s">
        <v>82</v>
      </c>
      <c r="H30" s="41"/>
      <c r="I30" s="8"/>
    </row>
    <row r="31">
      <c r="B31" s="47" t="s">
        <v>83</v>
      </c>
      <c r="C31" s="44">
        <v>1.0</v>
      </c>
      <c r="D31" s="45">
        <v>9890.0</v>
      </c>
      <c r="E31" s="48">
        <f t="shared" si="2"/>
        <v>9890</v>
      </c>
      <c r="F31" s="52" t="s">
        <v>34</v>
      </c>
      <c r="G31" s="55" t="s">
        <v>84</v>
      </c>
      <c r="H31" s="41"/>
      <c r="I31" s="8"/>
      <c r="J31" s="66" t="s">
        <v>86</v>
      </c>
    </row>
    <row r="32">
      <c r="B32" s="67" t="s">
        <v>87</v>
      </c>
      <c r="C32" s="68">
        <v>11.0</v>
      </c>
      <c r="D32" s="69">
        <v>690.0</v>
      </c>
      <c r="E32" s="69">
        <v>7590.0</v>
      </c>
      <c r="F32" s="70" t="s">
        <v>34</v>
      </c>
      <c r="G32" s="72" t="s">
        <v>88</v>
      </c>
      <c r="H32" s="41"/>
      <c r="I32" s="8"/>
    </row>
    <row r="33">
      <c r="B33" s="67" t="s">
        <v>89</v>
      </c>
      <c r="C33" s="68">
        <v>11.0</v>
      </c>
      <c r="D33" s="69">
        <v>690.0</v>
      </c>
      <c r="E33" s="69">
        <v>7590.0</v>
      </c>
      <c r="F33" s="70" t="s">
        <v>34</v>
      </c>
      <c r="G33" s="72" t="s">
        <v>90</v>
      </c>
      <c r="H33" s="41"/>
      <c r="I33" s="8"/>
    </row>
    <row r="34">
      <c r="B34" s="67" t="s">
        <v>91</v>
      </c>
      <c r="C34" s="68">
        <v>10.0</v>
      </c>
      <c r="D34" s="69">
        <v>690.0</v>
      </c>
      <c r="E34" s="69">
        <v>7590.0</v>
      </c>
      <c r="F34" s="70" t="s">
        <v>34</v>
      </c>
      <c r="G34" s="72" t="s">
        <v>92</v>
      </c>
      <c r="H34" s="41"/>
      <c r="I34" s="8"/>
    </row>
    <row r="35">
      <c r="B35" s="67" t="s">
        <v>93</v>
      </c>
      <c r="C35" s="68">
        <v>10.0</v>
      </c>
      <c r="D35" s="69">
        <v>690.0</v>
      </c>
      <c r="E35" s="69">
        <v>7590.0</v>
      </c>
      <c r="F35" s="70" t="s">
        <v>34</v>
      </c>
      <c r="G35" s="72" t="s">
        <v>94</v>
      </c>
      <c r="H35" s="41"/>
      <c r="I35" s="8"/>
    </row>
    <row r="36">
      <c r="B36" s="67" t="s">
        <v>95</v>
      </c>
      <c r="C36" s="68">
        <v>10.0</v>
      </c>
      <c r="D36" s="69">
        <v>690.0</v>
      </c>
      <c r="E36" s="69">
        <v>7590.0</v>
      </c>
      <c r="F36" s="70" t="s">
        <v>34</v>
      </c>
      <c r="G36" s="72" t="s">
        <v>96</v>
      </c>
      <c r="H36" s="41"/>
      <c r="I36" s="8"/>
    </row>
    <row r="37">
      <c r="B37" s="67" t="s">
        <v>97</v>
      </c>
      <c r="C37" s="73"/>
      <c r="D37" s="74">
        <v>12400.0</v>
      </c>
      <c r="E37" s="69">
        <v>0.0</v>
      </c>
      <c r="F37" s="75" t="s">
        <v>98</v>
      </c>
      <c r="G37" s="76"/>
      <c r="H37" s="41"/>
      <c r="I37" s="8"/>
    </row>
    <row r="38">
      <c r="B38" s="67" t="s">
        <v>99</v>
      </c>
      <c r="C38" s="77">
        <v>50.0</v>
      </c>
      <c r="D38" s="78">
        <v>12400.0</v>
      </c>
      <c r="E38" s="79">
        <v>620000.0</v>
      </c>
      <c r="F38" s="80" t="s">
        <v>98</v>
      </c>
      <c r="G38" s="81" t="s">
        <v>100</v>
      </c>
      <c r="H38" s="41"/>
      <c r="I38" s="8"/>
    </row>
    <row r="39">
      <c r="B39" s="50" t="s">
        <v>102</v>
      </c>
      <c r="C39" s="44">
        <v>1.0</v>
      </c>
      <c r="D39" s="48">
        <v>11600.0</v>
      </c>
      <c r="E39" s="48">
        <f t="shared" ref="E39:E50" si="3">C39*D39</f>
        <v>11600</v>
      </c>
      <c r="F39" s="52" t="s">
        <v>34</v>
      </c>
      <c r="G39" s="56" t="s">
        <v>104</v>
      </c>
      <c r="H39" s="41"/>
      <c r="I39" s="8"/>
    </row>
    <row r="40">
      <c r="B40" s="50" t="s">
        <v>106</v>
      </c>
      <c r="C40" s="44">
        <v>3.0</v>
      </c>
      <c r="D40" s="48">
        <v>37260.0</v>
      </c>
      <c r="E40" s="48">
        <f t="shared" si="3"/>
        <v>111780</v>
      </c>
      <c r="F40" s="52" t="s">
        <v>34</v>
      </c>
      <c r="G40" s="56" t="s">
        <v>107</v>
      </c>
      <c r="H40" s="41"/>
      <c r="I40" s="8"/>
    </row>
    <row r="41">
      <c r="B41" s="50" t="s">
        <v>109</v>
      </c>
      <c r="C41" s="44">
        <v>2.0</v>
      </c>
      <c r="D41" s="48">
        <v>29280.0</v>
      </c>
      <c r="E41" s="48">
        <f t="shared" si="3"/>
        <v>58560</v>
      </c>
      <c r="F41" s="51" t="s">
        <v>34</v>
      </c>
      <c r="G41" s="56" t="s">
        <v>111</v>
      </c>
      <c r="H41" s="41"/>
      <c r="I41" s="8"/>
    </row>
    <row r="42">
      <c r="B42" s="47" t="s">
        <v>113</v>
      </c>
      <c r="C42" s="65">
        <v>1.0</v>
      </c>
      <c r="D42" s="48">
        <v>24150.0</v>
      </c>
      <c r="E42" s="48">
        <f t="shared" si="3"/>
        <v>24150</v>
      </c>
      <c r="F42" s="51" t="s">
        <v>34</v>
      </c>
      <c r="G42" s="56" t="s">
        <v>115</v>
      </c>
      <c r="H42" s="41"/>
      <c r="I42" s="8"/>
    </row>
    <row r="43">
      <c r="B43" s="47" t="s">
        <v>116</v>
      </c>
      <c r="C43" s="65">
        <v>1.0</v>
      </c>
      <c r="D43" s="45">
        <v>25250.0</v>
      </c>
      <c r="E43" s="48">
        <f t="shared" si="3"/>
        <v>25250</v>
      </c>
      <c r="F43" s="51" t="s">
        <v>34</v>
      </c>
      <c r="G43" s="56" t="s">
        <v>117</v>
      </c>
      <c r="H43" s="41"/>
      <c r="I43" s="8"/>
    </row>
    <row r="44">
      <c r="B44" s="47" t="s">
        <v>118</v>
      </c>
      <c r="C44" s="65">
        <v>20.0</v>
      </c>
      <c r="D44" s="48">
        <v>4750.0</v>
      </c>
      <c r="E44" s="48">
        <f t="shared" si="3"/>
        <v>95000</v>
      </c>
      <c r="F44" s="51" t="s">
        <v>34</v>
      </c>
      <c r="G44" s="56" t="s">
        <v>119</v>
      </c>
      <c r="H44" s="41"/>
      <c r="I44" s="8"/>
    </row>
    <row r="45">
      <c r="B45" s="64" t="s">
        <v>121</v>
      </c>
      <c r="C45" s="65">
        <v>1.0</v>
      </c>
      <c r="D45" s="45">
        <v>62800.0</v>
      </c>
      <c r="E45" s="48">
        <f t="shared" si="3"/>
        <v>62800</v>
      </c>
      <c r="F45" s="51" t="s">
        <v>34</v>
      </c>
      <c r="G45" s="53" t="s">
        <v>122</v>
      </c>
      <c r="H45" s="41"/>
      <c r="I45" s="8"/>
    </row>
    <row r="46">
      <c r="B46" s="64" t="s">
        <v>124</v>
      </c>
      <c r="C46" s="65">
        <v>1.0</v>
      </c>
      <c r="D46" s="45">
        <v>32800.0</v>
      </c>
      <c r="E46" s="48">
        <f t="shared" si="3"/>
        <v>32800</v>
      </c>
      <c r="F46" s="51" t="s">
        <v>34</v>
      </c>
      <c r="G46" s="53" t="s">
        <v>125</v>
      </c>
      <c r="H46" s="41"/>
      <c r="I46" s="8"/>
    </row>
    <row r="47">
      <c r="B47" s="64" t="s">
        <v>126</v>
      </c>
      <c r="C47" s="65">
        <v>1.0</v>
      </c>
      <c r="D47" s="45">
        <v>15000.0</v>
      </c>
      <c r="E47" s="48">
        <f t="shared" si="3"/>
        <v>15000</v>
      </c>
      <c r="F47" s="51" t="s">
        <v>34</v>
      </c>
      <c r="G47" s="53" t="s">
        <v>127</v>
      </c>
      <c r="H47" s="41"/>
      <c r="I47" s="8"/>
    </row>
    <row r="48">
      <c r="B48" s="64" t="s">
        <v>128</v>
      </c>
      <c r="C48" s="65">
        <v>1.0</v>
      </c>
      <c r="D48" s="45">
        <v>9200.0</v>
      </c>
      <c r="E48" s="48">
        <f t="shared" si="3"/>
        <v>9200</v>
      </c>
      <c r="F48" s="51" t="s">
        <v>34</v>
      </c>
      <c r="G48" s="53" t="s">
        <v>129</v>
      </c>
      <c r="H48" s="41"/>
      <c r="I48" s="8"/>
    </row>
    <row r="49">
      <c r="B49" s="64" t="s">
        <v>130</v>
      </c>
      <c r="C49" s="65">
        <v>1.0</v>
      </c>
      <c r="D49" s="45">
        <v>9200.0</v>
      </c>
      <c r="E49" s="48">
        <f t="shared" si="3"/>
        <v>9200</v>
      </c>
      <c r="F49" s="51" t="s">
        <v>34</v>
      </c>
      <c r="G49" s="53" t="s">
        <v>131</v>
      </c>
      <c r="H49" s="41"/>
      <c r="I49" s="8"/>
    </row>
    <row r="50">
      <c r="B50" s="64" t="s">
        <v>132</v>
      </c>
      <c r="C50" s="65">
        <v>1.0</v>
      </c>
      <c r="D50" s="45">
        <v>9800.0</v>
      </c>
      <c r="E50" s="48">
        <f t="shared" si="3"/>
        <v>9800</v>
      </c>
      <c r="F50" s="51" t="s">
        <v>34</v>
      </c>
      <c r="G50" s="53" t="s">
        <v>133</v>
      </c>
      <c r="H50" s="41"/>
      <c r="I50" s="8"/>
    </row>
    <row r="51">
      <c r="B51" s="64" t="s">
        <v>134</v>
      </c>
      <c r="C51" s="65">
        <v>5.0</v>
      </c>
      <c r="D51" s="45">
        <v>12000.0</v>
      </c>
      <c r="E51" s="45">
        <v>60000.0</v>
      </c>
      <c r="F51" s="65" t="s">
        <v>135</v>
      </c>
      <c r="G51" s="53" t="s">
        <v>136</v>
      </c>
      <c r="H51" s="41"/>
      <c r="I51" s="8"/>
    </row>
    <row r="52">
      <c r="B52" s="84"/>
      <c r="C52" s="85"/>
      <c r="D52" s="85"/>
      <c r="E52" s="85"/>
      <c r="F52" s="85"/>
      <c r="G52" s="8"/>
      <c r="H52" s="41"/>
      <c r="I52" s="8"/>
    </row>
    <row r="53">
      <c r="B53" s="84" t="s">
        <v>137</v>
      </c>
      <c r="C53" s="85"/>
      <c r="D53" s="85"/>
      <c r="E53" s="86">
        <f>-SUM(E8:E51)</f>
        <v>-3176048</v>
      </c>
      <c r="F53" s="85"/>
      <c r="G53" s="8"/>
      <c r="H53" s="41"/>
      <c r="I53" s="8"/>
    </row>
    <row r="54">
      <c r="B54" s="50" t="s">
        <v>138</v>
      </c>
      <c r="C54" s="61"/>
      <c r="D54" s="61"/>
      <c r="E54" s="48">
        <f>SUM(E8:E9,E38)</f>
        <v>1743000</v>
      </c>
      <c r="F54" s="85"/>
      <c r="G54" s="8"/>
      <c r="H54" s="41"/>
      <c r="I54" s="8"/>
    </row>
    <row r="55">
      <c r="B55" s="84" t="s">
        <v>139</v>
      </c>
      <c r="C55" s="85"/>
      <c r="D55" s="85"/>
      <c r="E55" s="87">
        <v>1950000.0</v>
      </c>
      <c r="F55" s="85"/>
      <c r="G55" s="8"/>
      <c r="H55" s="41"/>
      <c r="I55" s="8"/>
    </row>
    <row r="56">
      <c r="B56" s="84" t="s">
        <v>140</v>
      </c>
      <c r="C56" s="85"/>
      <c r="D56" s="85"/>
      <c r="E56" s="86">
        <f>SUM(E53:E55)</f>
        <v>516952</v>
      </c>
      <c r="F56" s="85"/>
      <c r="G56" s="8"/>
      <c r="H56" s="41"/>
    </row>
    <row r="57">
      <c r="B57" s="88"/>
      <c r="C57" s="85"/>
      <c r="D57" s="85"/>
      <c r="E57" s="85"/>
      <c r="F57" s="85"/>
      <c r="G57" s="8"/>
      <c r="H57" s="41"/>
    </row>
    <row r="58">
      <c r="B58" s="89" t="s">
        <v>141</v>
      </c>
      <c r="E58" s="90"/>
      <c r="F58" s="85"/>
      <c r="G58" s="8"/>
      <c r="H58" s="41"/>
    </row>
    <row r="59">
      <c r="B59" s="84" t="s">
        <v>142</v>
      </c>
      <c r="C59" s="85"/>
      <c r="D59" s="85"/>
      <c r="E59" s="85"/>
      <c r="F59" s="85"/>
      <c r="G59" s="8"/>
      <c r="H59" s="41"/>
    </row>
    <row r="60">
      <c r="B60" s="88"/>
      <c r="C60" s="85"/>
      <c r="D60" s="85"/>
      <c r="E60" s="85"/>
      <c r="F60" s="85"/>
      <c r="G60" s="8"/>
      <c r="H60" s="41"/>
    </row>
    <row r="61">
      <c r="B61" s="88"/>
      <c r="C61" s="85"/>
      <c r="D61" s="85"/>
      <c r="E61" s="85"/>
      <c r="F61" s="85"/>
      <c r="G61" s="8"/>
      <c r="H61" s="41"/>
    </row>
    <row r="62">
      <c r="B62" s="92"/>
      <c r="C62" s="93"/>
      <c r="D62" s="93"/>
      <c r="E62" s="93"/>
      <c r="F62" s="93"/>
      <c r="G62" s="94"/>
      <c r="H62" s="28"/>
    </row>
  </sheetData>
  <mergeCells count="65">
    <mergeCell ref="G48:H48"/>
    <mergeCell ref="G49:H49"/>
    <mergeCell ref="G50:H50"/>
    <mergeCell ref="G51:H51"/>
    <mergeCell ref="G52:H52"/>
    <mergeCell ref="G53:H53"/>
    <mergeCell ref="G54:H54"/>
    <mergeCell ref="G61:H61"/>
    <mergeCell ref="G62:H62"/>
    <mergeCell ref="G55:H55"/>
    <mergeCell ref="G56:H56"/>
    <mergeCell ref="G57:H57"/>
    <mergeCell ref="B58:E58"/>
    <mergeCell ref="G58:H58"/>
    <mergeCell ref="G59:H59"/>
    <mergeCell ref="G60:H60"/>
    <mergeCell ref="B2:E3"/>
    <mergeCell ref="C4:E4"/>
    <mergeCell ref="G4:H4"/>
    <mergeCell ref="B5:B6"/>
    <mergeCell ref="C5:C6"/>
    <mergeCell ref="D5:D6"/>
    <mergeCell ref="E5:E6"/>
    <mergeCell ref="F5:F6"/>
    <mergeCell ref="G5:H6"/>
    <mergeCell ref="G7:H7"/>
    <mergeCell ref="G8:H8"/>
    <mergeCell ref="G9:H9"/>
    <mergeCell ref="G10:H10"/>
    <mergeCell ref="G11:H11"/>
    <mergeCell ref="G12:H12"/>
    <mergeCell ref="G13:H13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G24:H24"/>
    <mergeCell ref="G25:H25"/>
    <mergeCell ref="G26:H26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36:H36"/>
    <mergeCell ref="G37:H37"/>
    <mergeCell ref="G38:H38"/>
    <mergeCell ref="G39:H39"/>
    <mergeCell ref="G40:H40"/>
    <mergeCell ref="G41:H41"/>
    <mergeCell ref="G42:H42"/>
    <mergeCell ref="G43:H43"/>
    <mergeCell ref="G44:H44"/>
    <mergeCell ref="G45:H45"/>
    <mergeCell ref="G46:H46"/>
    <mergeCell ref="G47:H47"/>
  </mergeCells>
  <hyperlinks>
    <hyperlink r:id="rId1" ref="G10"/>
    <hyperlink r:id="rId2" ref="G11"/>
    <hyperlink r:id="rId3" ref="G12"/>
    <hyperlink r:id="rId4" ref="G13"/>
    <hyperlink r:id="rId5" ref="G14"/>
    <hyperlink r:id="rId6" ref="G15"/>
    <hyperlink r:id="rId7" ref="G16"/>
    <hyperlink r:id="rId8" ref="G17"/>
    <hyperlink r:id="rId9" ref="G18"/>
    <hyperlink r:id="rId10" ref="G19"/>
    <hyperlink r:id="rId11" ref="G20"/>
    <hyperlink r:id="rId12" ref="G21"/>
    <hyperlink r:id="rId13" ref="G23"/>
    <hyperlink r:id="rId14" ref="G24"/>
    <hyperlink r:id="rId15" ref="G25"/>
    <hyperlink r:id="rId16" ref="G26"/>
    <hyperlink r:id="rId17" ref="G27"/>
    <hyperlink r:id="rId18" ref="G28"/>
    <hyperlink r:id="rId19" ref="G29"/>
    <hyperlink r:id="rId20" ref="G30"/>
    <hyperlink r:id="rId21" ref="G31"/>
    <hyperlink r:id="rId22" ref="J31"/>
    <hyperlink r:id="rId23" ref="G32"/>
    <hyperlink r:id="rId24" ref="G33"/>
    <hyperlink r:id="rId25" ref="G34"/>
    <hyperlink r:id="rId26" ref="G35"/>
    <hyperlink r:id="rId27" ref="G36"/>
    <hyperlink r:id="rId28" ref="G38"/>
    <hyperlink r:id="rId29" ref="G39"/>
    <hyperlink r:id="rId30" ref="G40"/>
    <hyperlink r:id="rId31" ref="G41"/>
    <hyperlink r:id="rId32" ref="G42"/>
    <hyperlink r:id="rId33" ref="G43"/>
    <hyperlink r:id="rId34" ref="G44"/>
    <hyperlink r:id="rId35" ref="G45"/>
    <hyperlink r:id="rId36" ref="G46"/>
    <hyperlink r:id="rId37" ref="G47"/>
    <hyperlink r:id="rId38" ref="G48"/>
    <hyperlink r:id="rId39" ref="G49"/>
    <hyperlink r:id="rId40" ref="G50"/>
    <hyperlink r:id="rId41" ref="G51"/>
  </hyperlinks>
  <drawing r:id="rId4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3.5"/>
    <col customWidth="1" min="5" max="5" width="11.5"/>
    <col customWidth="1" min="8" max="8" width="70.38"/>
  </cols>
  <sheetData>
    <row r="1">
      <c r="B1" s="1" t="s">
        <v>1</v>
      </c>
    </row>
    <row r="2">
      <c r="B2" s="2" t="s">
        <v>0</v>
      </c>
      <c r="C2" s="3"/>
      <c r="D2" s="3"/>
      <c r="E2" s="4"/>
      <c r="F2" s="5" t="s">
        <v>2</v>
      </c>
      <c r="G2" s="6" t="s">
        <v>3</v>
      </c>
      <c r="H2" s="7" t="s">
        <v>4</v>
      </c>
      <c r="I2" s="8"/>
    </row>
    <row r="3">
      <c r="B3" s="9"/>
      <c r="C3" s="10"/>
      <c r="D3" s="10"/>
      <c r="E3" s="11"/>
      <c r="F3" s="12"/>
      <c r="G3" s="13"/>
      <c r="H3" s="14"/>
      <c r="I3" s="8"/>
    </row>
    <row r="4">
      <c r="B4" s="15" t="s">
        <v>5</v>
      </c>
      <c r="C4" s="16" t="s">
        <v>6</v>
      </c>
      <c r="D4" s="17"/>
      <c r="E4" s="18"/>
      <c r="F4" s="19" t="s">
        <v>7</v>
      </c>
      <c r="G4" s="20" t="s">
        <v>9</v>
      </c>
      <c r="H4" s="21"/>
      <c r="I4" s="8"/>
    </row>
    <row r="5">
      <c r="B5" s="15" t="s">
        <v>12</v>
      </c>
      <c r="C5" s="22">
        <v>45920.0</v>
      </c>
      <c r="D5" s="23" t="s">
        <v>13</v>
      </c>
      <c r="E5" s="24" t="s">
        <v>14</v>
      </c>
      <c r="F5" s="23" t="s">
        <v>15</v>
      </c>
      <c r="G5" s="20" t="s">
        <v>16</v>
      </c>
      <c r="H5" s="21"/>
      <c r="I5" s="8"/>
    </row>
    <row r="6">
      <c r="B6" s="25"/>
      <c r="C6" s="26"/>
      <c r="D6" s="26"/>
      <c r="E6" s="26"/>
      <c r="F6" s="26"/>
      <c r="G6" s="27"/>
      <c r="H6" s="28"/>
      <c r="I6" s="8"/>
    </row>
    <row r="7">
      <c r="B7" s="29" t="s">
        <v>17</v>
      </c>
      <c r="C7" s="30" t="s">
        <v>18</v>
      </c>
      <c r="D7" s="30" t="s">
        <v>19</v>
      </c>
      <c r="E7" s="31" t="s">
        <v>20</v>
      </c>
      <c r="F7" s="32" t="s">
        <v>21</v>
      </c>
      <c r="G7" s="33" t="s">
        <v>22</v>
      </c>
      <c r="H7" s="34"/>
      <c r="I7" s="8"/>
    </row>
    <row r="8">
      <c r="B8" s="35" t="s">
        <v>23</v>
      </c>
      <c r="C8" s="36">
        <v>50.0</v>
      </c>
      <c r="D8" s="37">
        <v>5200.0</v>
      </c>
      <c r="E8" s="37">
        <f t="shared" ref="E8:E52" si="1">C8*D8</f>
        <v>260000</v>
      </c>
      <c r="F8" s="38" t="s">
        <v>24</v>
      </c>
      <c r="G8" s="39"/>
      <c r="H8" s="41"/>
      <c r="I8" s="8"/>
    </row>
    <row r="9">
      <c r="B9" s="35" t="s">
        <v>26</v>
      </c>
      <c r="C9" s="36">
        <v>45.0</v>
      </c>
      <c r="D9" s="42">
        <v>5200.0</v>
      </c>
      <c r="E9" s="37">
        <f t="shared" si="1"/>
        <v>234000</v>
      </c>
      <c r="F9" s="36" t="s">
        <v>24</v>
      </c>
      <c r="G9" s="39"/>
      <c r="H9" s="41"/>
      <c r="I9" s="8"/>
    </row>
    <row r="10">
      <c r="B10" s="40" t="s">
        <v>27</v>
      </c>
      <c r="C10" s="36">
        <v>5.0</v>
      </c>
      <c r="D10" s="37">
        <v>10900.0</v>
      </c>
      <c r="E10" s="37">
        <f t="shared" si="1"/>
        <v>54500</v>
      </c>
      <c r="F10" s="38" t="s">
        <v>28</v>
      </c>
      <c r="G10" s="39"/>
      <c r="H10" s="41"/>
      <c r="I10" s="46" t="s">
        <v>29</v>
      </c>
    </row>
    <row r="11">
      <c r="B11" s="50" t="s">
        <v>30</v>
      </c>
      <c r="C11" s="44">
        <v>4.0</v>
      </c>
      <c r="D11" s="45">
        <v>6500.0</v>
      </c>
      <c r="E11" s="48">
        <f t="shared" si="1"/>
        <v>26000</v>
      </c>
      <c r="F11" s="51" t="s">
        <v>31</v>
      </c>
      <c r="G11" s="53" t="s">
        <v>32</v>
      </c>
      <c r="H11" s="41"/>
      <c r="I11" s="8"/>
    </row>
    <row r="12">
      <c r="B12" s="47" t="s">
        <v>33</v>
      </c>
      <c r="C12" s="44">
        <v>0.0</v>
      </c>
      <c r="D12" s="48">
        <v>3690.0</v>
      </c>
      <c r="E12" s="48">
        <f t="shared" si="1"/>
        <v>0</v>
      </c>
      <c r="F12" s="52" t="s">
        <v>34</v>
      </c>
      <c r="G12" s="54" t="s">
        <v>35</v>
      </c>
      <c r="H12" s="41"/>
      <c r="I12" s="8"/>
    </row>
    <row r="13">
      <c r="B13" s="43" t="s">
        <v>36</v>
      </c>
      <c r="C13" s="44">
        <v>1.0</v>
      </c>
      <c r="D13" s="48">
        <v>37490.0</v>
      </c>
      <c r="E13" s="48">
        <f t="shared" si="1"/>
        <v>37490</v>
      </c>
      <c r="F13" s="52" t="s">
        <v>34</v>
      </c>
      <c r="G13" s="55" t="s">
        <v>38</v>
      </c>
      <c r="H13" s="41"/>
      <c r="I13" s="8"/>
    </row>
    <row r="14">
      <c r="B14" s="43" t="s">
        <v>39</v>
      </c>
      <c r="C14" s="44">
        <v>2.0</v>
      </c>
      <c r="D14" s="48">
        <v>27710.0</v>
      </c>
      <c r="E14" s="48">
        <f t="shared" si="1"/>
        <v>55420</v>
      </c>
      <c r="F14" s="52" t="s">
        <v>34</v>
      </c>
      <c r="G14" s="56" t="s">
        <v>41</v>
      </c>
      <c r="H14" s="41"/>
      <c r="I14" s="8"/>
    </row>
    <row r="15">
      <c r="B15" s="43" t="s">
        <v>49</v>
      </c>
      <c r="C15" s="44">
        <v>2.0</v>
      </c>
      <c r="D15" s="48">
        <v>29300.0</v>
      </c>
      <c r="E15" s="48">
        <f t="shared" si="1"/>
        <v>58600</v>
      </c>
      <c r="F15" s="52" t="s">
        <v>34</v>
      </c>
      <c r="G15" s="55" t="s">
        <v>44</v>
      </c>
      <c r="H15" s="41"/>
      <c r="I15" s="8"/>
    </row>
    <row r="16">
      <c r="B16" s="47" t="s">
        <v>46</v>
      </c>
      <c r="C16" s="44">
        <v>0.0</v>
      </c>
      <c r="D16" s="48">
        <v>3900.0</v>
      </c>
      <c r="E16" s="48">
        <f t="shared" si="1"/>
        <v>0</v>
      </c>
      <c r="F16" s="52" t="s">
        <v>34</v>
      </c>
      <c r="G16" s="55" t="s">
        <v>47</v>
      </c>
      <c r="H16" s="41"/>
      <c r="I16" s="8"/>
    </row>
    <row r="17">
      <c r="B17" s="47" t="s">
        <v>48</v>
      </c>
      <c r="C17" s="44">
        <v>0.0</v>
      </c>
      <c r="D17" s="48">
        <v>3266.0</v>
      </c>
      <c r="E17" s="48">
        <f t="shared" si="1"/>
        <v>0</v>
      </c>
      <c r="F17" s="52" t="s">
        <v>34</v>
      </c>
      <c r="G17" s="57" t="s">
        <v>50</v>
      </c>
      <c r="H17" s="41"/>
      <c r="I17" s="8"/>
    </row>
    <row r="18">
      <c r="B18" s="43" t="s">
        <v>55</v>
      </c>
      <c r="C18" s="44">
        <v>1.0</v>
      </c>
      <c r="D18" s="45">
        <v>7500.0</v>
      </c>
      <c r="E18" s="48">
        <f t="shared" si="1"/>
        <v>7500</v>
      </c>
      <c r="F18" s="52" t="s">
        <v>34</v>
      </c>
      <c r="G18" s="57" t="s">
        <v>52</v>
      </c>
      <c r="H18" s="41"/>
      <c r="I18" s="8"/>
    </row>
    <row r="19">
      <c r="B19" s="43" t="s">
        <v>59</v>
      </c>
      <c r="C19" s="44">
        <v>1.0</v>
      </c>
      <c r="D19" s="48">
        <v>11900.0</v>
      </c>
      <c r="E19" s="48">
        <f t="shared" si="1"/>
        <v>11900</v>
      </c>
      <c r="F19" s="52" t="s">
        <v>34</v>
      </c>
      <c r="G19" s="58" t="s">
        <v>54</v>
      </c>
      <c r="H19" s="41"/>
      <c r="I19" s="8"/>
    </row>
    <row r="20">
      <c r="B20" s="43" t="s">
        <v>63</v>
      </c>
      <c r="C20" s="44">
        <v>1.0</v>
      </c>
      <c r="D20" s="45">
        <v>9100.0</v>
      </c>
      <c r="E20" s="48">
        <f t="shared" si="1"/>
        <v>9100</v>
      </c>
      <c r="F20" s="52" t="s">
        <v>34</v>
      </c>
      <c r="G20" s="55" t="s">
        <v>58</v>
      </c>
      <c r="H20" s="41"/>
      <c r="I20" s="8"/>
    </row>
    <row r="21">
      <c r="B21" s="47" t="s">
        <v>60</v>
      </c>
      <c r="C21" s="44">
        <v>0.0</v>
      </c>
      <c r="D21" s="48">
        <v>9820.0</v>
      </c>
      <c r="E21" s="48">
        <f t="shared" si="1"/>
        <v>0</v>
      </c>
      <c r="F21" s="52" t="s">
        <v>34</v>
      </c>
      <c r="G21" s="55" t="s">
        <v>61</v>
      </c>
      <c r="H21" s="41"/>
      <c r="I21" s="8"/>
    </row>
    <row r="22">
      <c r="B22" s="50" t="s">
        <v>62</v>
      </c>
      <c r="C22" s="59">
        <v>1.0</v>
      </c>
      <c r="D22" s="45">
        <v>98000.0</v>
      </c>
      <c r="E22" s="48">
        <f t="shared" si="1"/>
        <v>98000</v>
      </c>
      <c r="F22" s="52" t="s">
        <v>64</v>
      </c>
      <c r="G22" s="60" t="s">
        <v>65</v>
      </c>
      <c r="H22" s="41"/>
      <c r="I22" s="8"/>
    </row>
    <row r="23">
      <c r="B23" s="43" t="s">
        <v>66</v>
      </c>
      <c r="C23" s="61"/>
      <c r="D23" s="62"/>
      <c r="E23" s="48">
        <f t="shared" si="1"/>
        <v>0</v>
      </c>
      <c r="F23" s="61"/>
      <c r="G23" s="49"/>
      <c r="H23" s="41"/>
      <c r="I23" s="8"/>
    </row>
    <row r="24">
      <c r="B24" s="64" t="s">
        <v>67</v>
      </c>
      <c r="C24" s="44">
        <v>0.0</v>
      </c>
      <c r="D24" s="45">
        <v>35520.0</v>
      </c>
      <c r="E24" s="48">
        <f t="shared" si="1"/>
        <v>0</v>
      </c>
      <c r="F24" s="44" t="s">
        <v>34</v>
      </c>
      <c r="G24" s="58" t="s">
        <v>68</v>
      </c>
      <c r="H24" s="41"/>
      <c r="I24" s="8"/>
    </row>
    <row r="25">
      <c r="B25" s="50" t="s">
        <v>69</v>
      </c>
      <c r="C25" s="44">
        <v>3.0</v>
      </c>
      <c r="D25" s="48">
        <v>12000.0</v>
      </c>
      <c r="E25" s="48">
        <f t="shared" si="1"/>
        <v>36000</v>
      </c>
      <c r="F25" s="52" t="s">
        <v>64</v>
      </c>
      <c r="G25" s="55" t="s">
        <v>70</v>
      </c>
      <c r="H25" s="41"/>
      <c r="I25" s="8"/>
    </row>
    <row r="26">
      <c r="B26" s="50" t="s">
        <v>71</v>
      </c>
      <c r="C26" s="44">
        <v>1.0</v>
      </c>
      <c r="D26" s="48">
        <v>48800.0</v>
      </c>
      <c r="E26" s="48">
        <f t="shared" si="1"/>
        <v>48800</v>
      </c>
      <c r="F26" s="52" t="s">
        <v>34</v>
      </c>
      <c r="G26" s="56" t="s">
        <v>72</v>
      </c>
      <c r="H26" s="41"/>
      <c r="I26" s="8"/>
    </row>
    <row r="27">
      <c r="B27" s="50" t="s">
        <v>73</v>
      </c>
      <c r="C27" s="44">
        <v>1.0</v>
      </c>
      <c r="D27" s="48">
        <v>5500.0</v>
      </c>
      <c r="E27" s="48">
        <f t="shared" si="1"/>
        <v>5500</v>
      </c>
      <c r="F27" s="52" t="s">
        <v>34</v>
      </c>
      <c r="G27" s="56" t="s">
        <v>74</v>
      </c>
      <c r="H27" s="41"/>
      <c r="I27" s="8"/>
    </row>
    <row r="28">
      <c r="B28" s="47" t="s">
        <v>75</v>
      </c>
      <c r="C28" s="44">
        <v>0.0</v>
      </c>
      <c r="D28" s="48">
        <v>5200.0</v>
      </c>
      <c r="E28" s="48">
        <f t="shared" si="1"/>
        <v>0</v>
      </c>
      <c r="F28" s="52" t="s">
        <v>34</v>
      </c>
      <c r="G28" s="56" t="s">
        <v>76</v>
      </c>
      <c r="H28" s="41"/>
      <c r="I28" s="8"/>
    </row>
    <row r="29">
      <c r="B29" s="50" t="s">
        <v>77</v>
      </c>
      <c r="C29" s="44">
        <v>1.0</v>
      </c>
      <c r="D29" s="48">
        <v>9210.0</v>
      </c>
      <c r="E29" s="48">
        <f t="shared" si="1"/>
        <v>9210</v>
      </c>
      <c r="F29" s="52" t="s">
        <v>34</v>
      </c>
      <c r="G29" s="56" t="s">
        <v>78</v>
      </c>
      <c r="H29" s="41"/>
      <c r="I29" s="8"/>
    </row>
    <row r="30">
      <c r="B30" s="50" t="s">
        <v>79</v>
      </c>
      <c r="C30" s="44">
        <v>1.0</v>
      </c>
      <c r="D30" s="48">
        <v>9210.0</v>
      </c>
      <c r="E30" s="48">
        <f t="shared" si="1"/>
        <v>9210</v>
      </c>
      <c r="F30" s="52" t="s">
        <v>34</v>
      </c>
      <c r="G30" s="55" t="s">
        <v>80</v>
      </c>
      <c r="H30" s="41"/>
      <c r="I30" s="8"/>
    </row>
    <row r="31">
      <c r="B31" s="43" t="s">
        <v>85</v>
      </c>
      <c r="C31" s="65">
        <v>0.0</v>
      </c>
      <c r="D31" s="45">
        <v>29900.0</v>
      </c>
      <c r="E31" s="48">
        <f t="shared" si="1"/>
        <v>0</v>
      </c>
      <c r="F31" s="65" t="s">
        <v>34</v>
      </c>
      <c r="G31" s="53" t="s">
        <v>82</v>
      </c>
      <c r="H31" s="41"/>
      <c r="I31" s="8"/>
    </row>
    <row r="32">
      <c r="B32" s="47" t="s">
        <v>83</v>
      </c>
      <c r="C32" s="44">
        <v>0.0</v>
      </c>
      <c r="D32" s="45">
        <v>9890.0</v>
      </c>
      <c r="E32" s="48">
        <f t="shared" si="1"/>
        <v>0</v>
      </c>
      <c r="F32" s="52" t="s">
        <v>34</v>
      </c>
      <c r="G32" s="55" t="s">
        <v>84</v>
      </c>
      <c r="H32" s="41"/>
      <c r="I32" s="8"/>
      <c r="J32" s="66" t="s">
        <v>86</v>
      </c>
    </row>
    <row r="33">
      <c r="B33" s="71" t="s">
        <v>87</v>
      </c>
      <c r="C33" s="68">
        <v>11.0</v>
      </c>
      <c r="D33" s="69">
        <v>690.0</v>
      </c>
      <c r="E33" s="48">
        <f t="shared" si="1"/>
        <v>7590</v>
      </c>
      <c r="F33" s="70" t="s">
        <v>34</v>
      </c>
      <c r="G33" s="72" t="s">
        <v>88</v>
      </c>
      <c r="H33" s="41"/>
      <c r="I33" s="8"/>
    </row>
    <row r="34">
      <c r="B34" s="71" t="s">
        <v>89</v>
      </c>
      <c r="C34" s="68">
        <v>11.0</v>
      </c>
      <c r="D34" s="69">
        <v>690.0</v>
      </c>
      <c r="E34" s="48">
        <f t="shared" si="1"/>
        <v>7590</v>
      </c>
      <c r="F34" s="70" t="s">
        <v>34</v>
      </c>
      <c r="G34" s="72" t="s">
        <v>90</v>
      </c>
      <c r="H34" s="41"/>
      <c r="I34" s="8"/>
    </row>
    <row r="35">
      <c r="B35" s="71" t="s">
        <v>91</v>
      </c>
      <c r="C35" s="68">
        <v>10.0</v>
      </c>
      <c r="D35" s="69">
        <v>690.0</v>
      </c>
      <c r="E35" s="48">
        <f t="shared" si="1"/>
        <v>6900</v>
      </c>
      <c r="F35" s="70" t="s">
        <v>34</v>
      </c>
      <c r="G35" s="72" t="s">
        <v>92</v>
      </c>
      <c r="H35" s="41"/>
      <c r="I35" s="8"/>
    </row>
    <row r="36">
      <c r="B36" s="71" t="s">
        <v>93</v>
      </c>
      <c r="C36" s="68">
        <v>10.0</v>
      </c>
      <c r="D36" s="69">
        <v>690.0</v>
      </c>
      <c r="E36" s="48">
        <f t="shared" si="1"/>
        <v>6900</v>
      </c>
      <c r="F36" s="70" t="s">
        <v>34</v>
      </c>
      <c r="G36" s="72" t="s">
        <v>94</v>
      </c>
      <c r="H36" s="41"/>
      <c r="I36" s="8"/>
    </row>
    <row r="37">
      <c r="B37" s="71" t="s">
        <v>95</v>
      </c>
      <c r="C37" s="68">
        <v>10.0</v>
      </c>
      <c r="D37" s="69">
        <v>690.0</v>
      </c>
      <c r="E37" s="48">
        <f t="shared" si="1"/>
        <v>6900</v>
      </c>
      <c r="F37" s="70" t="s">
        <v>34</v>
      </c>
      <c r="G37" s="72" t="s">
        <v>96</v>
      </c>
      <c r="H37" s="41"/>
      <c r="I37" s="8"/>
    </row>
    <row r="38">
      <c r="B38" s="67" t="s">
        <v>101</v>
      </c>
      <c r="C38" s="68">
        <v>0.0</v>
      </c>
      <c r="D38" s="74">
        <v>12400.0</v>
      </c>
      <c r="E38" s="48">
        <f t="shared" si="1"/>
        <v>0</v>
      </c>
      <c r="F38" s="75" t="s">
        <v>98</v>
      </c>
      <c r="G38" s="76"/>
      <c r="H38" s="41"/>
      <c r="I38" s="8"/>
    </row>
    <row r="39">
      <c r="B39" s="67" t="s">
        <v>103</v>
      </c>
      <c r="C39" s="68">
        <v>0.0</v>
      </c>
      <c r="D39" s="74">
        <v>12400.0</v>
      </c>
      <c r="E39" s="48">
        <f t="shared" si="1"/>
        <v>0</v>
      </c>
      <c r="F39" s="82" t="s">
        <v>98</v>
      </c>
      <c r="G39" s="83" t="s">
        <v>100</v>
      </c>
      <c r="H39" s="41"/>
      <c r="I39" s="8"/>
    </row>
    <row r="40">
      <c r="B40" s="47" t="s">
        <v>102</v>
      </c>
      <c r="C40" s="44">
        <v>0.0</v>
      </c>
      <c r="D40" s="48">
        <v>11600.0</v>
      </c>
      <c r="E40" s="48">
        <f t="shared" si="1"/>
        <v>0</v>
      </c>
      <c r="F40" s="52" t="s">
        <v>34</v>
      </c>
      <c r="G40" s="56" t="s">
        <v>110</v>
      </c>
      <c r="H40" s="41"/>
      <c r="I40" s="8"/>
    </row>
    <row r="41">
      <c r="B41" s="43" t="s">
        <v>108</v>
      </c>
      <c r="C41" s="44">
        <v>1.0</v>
      </c>
      <c r="D41" s="45">
        <v>23840.0</v>
      </c>
      <c r="E41" s="48">
        <f t="shared" si="1"/>
        <v>23840</v>
      </c>
      <c r="F41" s="52" t="s">
        <v>34</v>
      </c>
      <c r="G41" s="56" t="s">
        <v>114</v>
      </c>
      <c r="H41" s="41"/>
      <c r="I41" s="8"/>
    </row>
    <row r="42">
      <c r="B42" s="50" t="s">
        <v>109</v>
      </c>
      <c r="C42" s="44">
        <v>2.0</v>
      </c>
      <c r="D42" s="48">
        <v>29280.0</v>
      </c>
      <c r="E42" s="48">
        <f t="shared" si="1"/>
        <v>58560</v>
      </c>
      <c r="F42" s="51" t="s">
        <v>34</v>
      </c>
      <c r="G42" s="56" t="s">
        <v>111</v>
      </c>
      <c r="H42" s="41"/>
      <c r="I42" s="8"/>
    </row>
    <row r="43">
      <c r="B43" s="47" t="s">
        <v>113</v>
      </c>
      <c r="C43" s="65">
        <v>0.0</v>
      </c>
      <c r="D43" s="48">
        <v>24150.0</v>
      </c>
      <c r="E43" s="48">
        <f t="shared" si="1"/>
        <v>0</v>
      </c>
      <c r="F43" s="51" t="s">
        <v>34</v>
      </c>
      <c r="G43" s="56" t="s">
        <v>115</v>
      </c>
      <c r="H43" s="41"/>
      <c r="I43" s="8"/>
    </row>
    <row r="44">
      <c r="B44" s="47" t="s">
        <v>116</v>
      </c>
      <c r="C44" s="65">
        <v>0.0</v>
      </c>
      <c r="D44" s="45">
        <v>25250.0</v>
      </c>
      <c r="E44" s="48">
        <f t="shared" si="1"/>
        <v>0</v>
      </c>
      <c r="F44" s="51" t="s">
        <v>34</v>
      </c>
      <c r="G44" s="56" t="s">
        <v>117</v>
      </c>
      <c r="H44" s="41"/>
      <c r="I44" s="8"/>
    </row>
    <row r="45">
      <c r="B45" s="47" t="s">
        <v>118</v>
      </c>
      <c r="C45" s="65">
        <v>0.0</v>
      </c>
      <c r="D45" s="48">
        <v>4750.0</v>
      </c>
      <c r="E45" s="48">
        <f t="shared" si="1"/>
        <v>0</v>
      </c>
      <c r="F45" s="51" t="s">
        <v>34</v>
      </c>
      <c r="G45" s="56" t="s">
        <v>119</v>
      </c>
      <c r="H45" s="41"/>
      <c r="I45" s="8"/>
    </row>
    <row r="46">
      <c r="B46" s="43" t="s">
        <v>121</v>
      </c>
      <c r="C46" s="65">
        <v>1.0</v>
      </c>
      <c r="D46" s="45">
        <v>62800.0</v>
      </c>
      <c r="E46" s="48">
        <f t="shared" si="1"/>
        <v>62800</v>
      </c>
      <c r="F46" s="51" t="s">
        <v>34</v>
      </c>
      <c r="G46" s="53" t="s">
        <v>122</v>
      </c>
      <c r="H46" s="41"/>
      <c r="I46" s="8"/>
    </row>
    <row r="47">
      <c r="B47" s="43" t="s">
        <v>124</v>
      </c>
      <c r="C47" s="65">
        <v>1.0</v>
      </c>
      <c r="D47" s="45">
        <v>32800.0</v>
      </c>
      <c r="E47" s="48">
        <f t="shared" si="1"/>
        <v>32800</v>
      </c>
      <c r="F47" s="51" t="s">
        <v>34</v>
      </c>
      <c r="G47" s="53" t="s">
        <v>125</v>
      </c>
      <c r="H47" s="41"/>
      <c r="I47" s="8"/>
    </row>
    <row r="48">
      <c r="B48" s="43" t="s">
        <v>126</v>
      </c>
      <c r="C48" s="65">
        <v>1.0</v>
      </c>
      <c r="D48" s="45">
        <v>15000.0</v>
      </c>
      <c r="E48" s="48">
        <f t="shared" si="1"/>
        <v>15000</v>
      </c>
      <c r="F48" s="51" t="s">
        <v>34</v>
      </c>
      <c r="G48" s="53" t="s">
        <v>127</v>
      </c>
      <c r="H48" s="41"/>
      <c r="I48" s="8"/>
    </row>
    <row r="49">
      <c r="B49" s="43" t="s">
        <v>128</v>
      </c>
      <c r="C49" s="65">
        <v>1.0</v>
      </c>
      <c r="D49" s="45">
        <v>9200.0</v>
      </c>
      <c r="E49" s="48">
        <f t="shared" si="1"/>
        <v>9200</v>
      </c>
      <c r="F49" s="51" t="s">
        <v>34</v>
      </c>
      <c r="G49" s="53" t="s">
        <v>129</v>
      </c>
      <c r="H49" s="41"/>
      <c r="I49" s="8"/>
    </row>
    <row r="50">
      <c r="B50" s="43" t="s">
        <v>130</v>
      </c>
      <c r="C50" s="65">
        <v>1.0</v>
      </c>
      <c r="D50" s="45">
        <v>9200.0</v>
      </c>
      <c r="E50" s="48">
        <f t="shared" si="1"/>
        <v>9200</v>
      </c>
      <c r="F50" s="51" t="s">
        <v>34</v>
      </c>
      <c r="G50" s="53" t="s">
        <v>131</v>
      </c>
      <c r="H50" s="41"/>
      <c r="I50" s="8"/>
    </row>
    <row r="51">
      <c r="B51" s="43" t="s">
        <v>132</v>
      </c>
      <c r="C51" s="65">
        <v>1.0</v>
      </c>
      <c r="D51" s="45">
        <v>9800.0</v>
      </c>
      <c r="E51" s="48">
        <f t="shared" si="1"/>
        <v>9800</v>
      </c>
      <c r="F51" s="51" t="s">
        <v>34</v>
      </c>
      <c r="G51" s="53" t="s">
        <v>133</v>
      </c>
      <c r="H51" s="41"/>
      <c r="I51" s="8"/>
    </row>
    <row r="52">
      <c r="B52" s="43" t="s">
        <v>134</v>
      </c>
      <c r="C52" s="65">
        <v>5.0</v>
      </c>
      <c r="D52" s="45">
        <v>12000.0</v>
      </c>
      <c r="E52" s="48">
        <f t="shared" si="1"/>
        <v>60000</v>
      </c>
      <c r="F52" s="65" t="s">
        <v>135</v>
      </c>
      <c r="G52" s="53" t="s">
        <v>136</v>
      </c>
      <c r="H52" s="41"/>
      <c r="I52" s="8"/>
    </row>
    <row r="53">
      <c r="B53" s="84"/>
      <c r="C53" s="85"/>
      <c r="D53" s="85"/>
      <c r="E53" s="85"/>
      <c r="F53" s="85"/>
      <c r="G53" s="8"/>
      <c r="H53" s="41"/>
      <c r="I53" s="8"/>
    </row>
    <row r="54">
      <c r="B54" s="84" t="s">
        <v>137</v>
      </c>
      <c r="C54" s="85"/>
      <c r="D54" s="85"/>
      <c r="E54" s="86">
        <f>SUM(E8:E52)</f>
        <v>1278310</v>
      </c>
      <c r="F54" s="85"/>
      <c r="G54" s="8"/>
      <c r="H54" s="41"/>
      <c r="I54" s="8"/>
    </row>
    <row r="55">
      <c r="B55" s="50" t="s">
        <v>138</v>
      </c>
      <c r="C55" s="61"/>
      <c r="D55" s="61"/>
      <c r="E55" s="48">
        <f>SUM(E8:E10,E39)</f>
        <v>548500</v>
      </c>
      <c r="F55" s="85"/>
      <c r="G55" s="8"/>
      <c r="H55" s="41"/>
      <c r="I55" s="8"/>
    </row>
    <row r="56">
      <c r="B56" s="84" t="s">
        <v>139</v>
      </c>
      <c r="C56" s="85"/>
      <c r="D56" s="85"/>
      <c r="E56" s="87">
        <f>13000*50</f>
        <v>650000</v>
      </c>
      <c r="F56" s="85"/>
      <c r="G56" s="8"/>
      <c r="H56" s="41"/>
      <c r="I56" s="8"/>
    </row>
    <row r="57">
      <c r="B57" s="91" t="s">
        <v>143</v>
      </c>
      <c r="C57" s="85"/>
      <c r="D57" s="85"/>
      <c r="E57" s="86">
        <f>E54-E55-E56</f>
        <v>79810</v>
      </c>
      <c r="F57" s="85"/>
      <c r="G57" s="8"/>
      <c r="H57" s="41"/>
    </row>
    <row r="58">
      <c r="B58" s="88"/>
      <c r="C58" s="85"/>
      <c r="D58" s="85"/>
      <c r="E58" s="85"/>
      <c r="F58" s="85"/>
      <c r="G58" s="8"/>
      <c r="H58" s="41"/>
    </row>
    <row r="59">
      <c r="B59" s="89" t="s">
        <v>141</v>
      </c>
      <c r="E59" s="90"/>
      <c r="F59" s="85"/>
      <c r="G59" s="8"/>
      <c r="H59" s="41"/>
    </row>
    <row r="60">
      <c r="B60" s="84" t="s">
        <v>142</v>
      </c>
      <c r="C60" s="85"/>
      <c r="D60" s="85"/>
      <c r="E60" s="85"/>
      <c r="F60" s="85"/>
      <c r="G60" s="8"/>
      <c r="H60" s="41"/>
    </row>
    <row r="61">
      <c r="B61" s="88"/>
      <c r="C61" s="85"/>
      <c r="D61" s="85"/>
      <c r="E61" s="85"/>
      <c r="F61" s="85"/>
      <c r="G61" s="8"/>
      <c r="H61" s="41"/>
    </row>
    <row r="62">
      <c r="B62" s="88"/>
      <c r="C62" s="85"/>
      <c r="D62" s="85"/>
      <c r="E62" s="85"/>
      <c r="F62" s="85"/>
      <c r="G62" s="8"/>
      <c r="H62" s="41"/>
    </row>
    <row r="63">
      <c r="B63" s="92"/>
      <c r="C63" s="93"/>
      <c r="D63" s="93"/>
      <c r="E63" s="93"/>
      <c r="F63" s="93"/>
      <c r="G63" s="94"/>
      <c r="H63" s="28"/>
    </row>
  </sheetData>
  <mergeCells count="67">
    <mergeCell ref="G47:H47"/>
    <mergeCell ref="G48:H48"/>
    <mergeCell ref="G49:H49"/>
    <mergeCell ref="G50:H50"/>
    <mergeCell ref="G51:H51"/>
    <mergeCell ref="G52:H52"/>
    <mergeCell ref="G53:H53"/>
    <mergeCell ref="G60:H60"/>
    <mergeCell ref="G61:H61"/>
    <mergeCell ref="G62:H62"/>
    <mergeCell ref="G63:H63"/>
    <mergeCell ref="G54:H54"/>
    <mergeCell ref="G55:H55"/>
    <mergeCell ref="G56:H56"/>
    <mergeCell ref="G57:H57"/>
    <mergeCell ref="G58:H58"/>
    <mergeCell ref="B59:E59"/>
    <mergeCell ref="G59:H59"/>
    <mergeCell ref="B2:E3"/>
    <mergeCell ref="C4:E4"/>
    <mergeCell ref="G4:H4"/>
    <mergeCell ref="B5:B6"/>
    <mergeCell ref="C5:C6"/>
    <mergeCell ref="D5:D6"/>
    <mergeCell ref="E5:E6"/>
    <mergeCell ref="F5:F6"/>
    <mergeCell ref="G5:H6"/>
    <mergeCell ref="G7:H7"/>
    <mergeCell ref="G8:H8"/>
    <mergeCell ref="G9:H9"/>
    <mergeCell ref="G10:H10"/>
    <mergeCell ref="G11:H11"/>
    <mergeCell ref="G12:H12"/>
    <mergeCell ref="G13:H13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36:H36"/>
    <mergeCell ref="G37:H37"/>
    <mergeCell ref="G38:H38"/>
    <mergeCell ref="G39:H39"/>
    <mergeCell ref="G40:H40"/>
    <mergeCell ref="G41:H41"/>
    <mergeCell ref="G42:H42"/>
    <mergeCell ref="G43:H43"/>
    <mergeCell ref="G44:H44"/>
    <mergeCell ref="G45:H45"/>
    <mergeCell ref="G46:H46"/>
  </mergeCells>
  <hyperlinks>
    <hyperlink r:id="rId1" ref="G11"/>
    <hyperlink r:id="rId2" ref="G12"/>
    <hyperlink r:id="rId3" ref="G13"/>
    <hyperlink r:id="rId4" ref="G14"/>
    <hyperlink r:id="rId5" ref="G15"/>
    <hyperlink r:id="rId6" ref="G16"/>
    <hyperlink r:id="rId7" ref="G17"/>
    <hyperlink r:id="rId8" ref="G18"/>
    <hyperlink r:id="rId9" ref="G19"/>
    <hyperlink r:id="rId10" ref="G20"/>
    <hyperlink r:id="rId11" ref="G21"/>
    <hyperlink r:id="rId12" ref="G22"/>
    <hyperlink r:id="rId13" ref="G24"/>
    <hyperlink r:id="rId14" ref="G25"/>
    <hyperlink r:id="rId15" ref="G26"/>
    <hyperlink r:id="rId16" ref="G27"/>
    <hyperlink r:id="rId17" ref="G28"/>
    <hyperlink r:id="rId18" ref="G29"/>
    <hyperlink r:id="rId19" ref="G30"/>
    <hyperlink r:id="rId20" ref="G31"/>
    <hyperlink r:id="rId21" ref="G32"/>
    <hyperlink r:id="rId22" ref="J32"/>
    <hyperlink r:id="rId23" ref="G33"/>
    <hyperlink r:id="rId24" ref="G34"/>
    <hyperlink r:id="rId25" ref="G35"/>
    <hyperlink r:id="rId26" ref="G36"/>
    <hyperlink r:id="rId27" ref="G37"/>
    <hyperlink r:id="rId28" ref="G39"/>
    <hyperlink r:id="rId29" ref="G40"/>
    <hyperlink r:id="rId30" ref="G41"/>
    <hyperlink r:id="rId31" ref="G42"/>
    <hyperlink r:id="rId32" ref="G43"/>
    <hyperlink r:id="rId33" ref="G44"/>
    <hyperlink r:id="rId34" ref="G45"/>
    <hyperlink r:id="rId35" ref="G46"/>
    <hyperlink r:id="rId36" ref="G47"/>
    <hyperlink r:id="rId37" ref="G48"/>
    <hyperlink r:id="rId38" ref="G49"/>
    <hyperlink r:id="rId39" ref="G50"/>
    <hyperlink r:id="rId40" ref="G51"/>
    <hyperlink r:id="rId41" ref="G52"/>
  </hyperlinks>
  <drawing r:id="rId4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3.5"/>
    <col customWidth="1" min="5" max="5" width="11.5"/>
    <col customWidth="1" min="8" max="8" width="70.38"/>
  </cols>
  <sheetData>
    <row r="1">
      <c r="B1" s="1" t="s">
        <v>1</v>
      </c>
    </row>
    <row r="2">
      <c r="B2" s="2" t="s">
        <v>0</v>
      </c>
      <c r="C2" s="3"/>
      <c r="D2" s="3"/>
      <c r="E2" s="4"/>
      <c r="F2" s="5" t="s">
        <v>2</v>
      </c>
      <c r="G2" s="6" t="s">
        <v>3</v>
      </c>
      <c r="H2" s="7" t="s">
        <v>4</v>
      </c>
      <c r="I2" s="8"/>
    </row>
    <row r="3">
      <c r="B3" s="9"/>
      <c r="C3" s="10"/>
      <c r="D3" s="10"/>
      <c r="E3" s="11"/>
      <c r="F3" s="12"/>
      <c r="G3" s="13"/>
      <c r="H3" s="14"/>
      <c r="I3" s="8"/>
    </row>
    <row r="4">
      <c r="B4" s="15" t="s">
        <v>5</v>
      </c>
      <c r="C4" s="16" t="s">
        <v>6</v>
      </c>
      <c r="D4" s="17"/>
      <c r="E4" s="18"/>
      <c r="F4" s="19" t="s">
        <v>7</v>
      </c>
      <c r="G4" s="20" t="s">
        <v>8</v>
      </c>
      <c r="H4" s="21"/>
      <c r="I4" s="8"/>
    </row>
    <row r="5">
      <c r="B5" s="15" t="s">
        <v>12</v>
      </c>
      <c r="C5" s="22">
        <v>45920.0</v>
      </c>
      <c r="D5" s="23" t="s">
        <v>13</v>
      </c>
      <c r="E5" s="24" t="s">
        <v>14</v>
      </c>
      <c r="F5" s="23" t="s">
        <v>15</v>
      </c>
      <c r="G5" s="20" t="s">
        <v>16</v>
      </c>
      <c r="H5" s="21"/>
      <c r="I5" s="8"/>
    </row>
    <row r="6">
      <c r="B6" s="25"/>
      <c r="C6" s="26"/>
      <c r="D6" s="26"/>
      <c r="E6" s="26"/>
      <c r="F6" s="26"/>
      <c r="G6" s="27"/>
      <c r="H6" s="28"/>
      <c r="I6" s="8"/>
    </row>
    <row r="7">
      <c r="B7" s="29" t="s">
        <v>17</v>
      </c>
      <c r="C7" s="30" t="s">
        <v>18</v>
      </c>
      <c r="D7" s="30" t="s">
        <v>19</v>
      </c>
      <c r="E7" s="31" t="s">
        <v>20</v>
      </c>
      <c r="F7" s="32" t="s">
        <v>21</v>
      </c>
      <c r="G7" s="33" t="s">
        <v>22</v>
      </c>
      <c r="H7" s="34"/>
      <c r="I7" s="8"/>
    </row>
    <row r="8">
      <c r="B8" s="35" t="s">
        <v>23</v>
      </c>
      <c r="C8" s="36">
        <v>50.0</v>
      </c>
      <c r="D8" s="37">
        <v>5200.0</v>
      </c>
      <c r="E8" s="37">
        <f t="shared" ref="E8:E52" si="1">C8*D8</f>
        <v>260000</v>
      </c>
      <c r="F8" s="38" t="s">
        <v>24</v>
      </c>
      <c r="G8" s="39"/>
      <c r="H8" s="41"/>
      <c r="I8" s="8"/>
    </row>
    <row r="9">
      <c r="B9" s="43" t="s">
        <v>26</v>
      </c>
      <c r="C9" s="44">
        <v>45.0</v>
      </c>
      <c r="D9" s="45">
        <v>5200.0</v>
      </c>
      <c r="E9" s="48">
        <f t="shared" si="1"/>
        <v>234000</v>
      </c>
      <c r="F9" s="44" t="s">
        <v>24</v>
      </c>
      <c r="G9" s="49"/>
      <c r="H9" s="41"/>
      <c r="I9" s="8"/>
    </row>
    <row r="10">
      <c r="B10" s="50" t="s">
        <v>27</v>
      </c>
      <c r="C10" s="44">
        <v>5.0</v>
      </c>
      <c r="D10" s="48">
        <v>10900.0</v>
      </c>
      <c r="E10" s="48">
        <f t="shared" si="1"/>
        <v>54500</v>
      </c>
      <c r="F10" s="52" t="s">
        <v>28</v>
      </c>
      <c r="G10" s="49"/>
      <c r="H10" s="41"/>
      <c r="I10" s="46" t="s">
        <v>29</v>
      </c>
    </row>
    <row r="11">
      <c r="B11" s="50" t="s">
        <v>30</v>
      </c>
      <c r="C11" s="44">
        <v>4.0</v>
      </c>
      <c r="D11" s="45">
        <v>6500.0</v>
      </c>
      <c r="E11" s="48">
        <f t="shared" si="1"/>
        <v>26000</v>
      </c>
      <c r="F11" s="51" t="s">
        <v>31</v>
      </c>
      <c r="G11" s="53" t="s">
        <v>32</v>
      </c>
      <c r="H11" s="41"/>
      <c r="I11" s="8"/>
    </row>
    <row r="12">
      <c r="B12" s="47" t="s">
        <v>33</v>
      </c>
      <c r="C12" s="44">
        <v>0.0</v>
      </c>
      <c r="D12" s="48">
        <v>3690.0</v>
      </c>
      <c r="E12" s="48">
        <f t="shared" si="1"/>
        <v>0</v>
      </c>
      <c r="F12" s="52" t="s">
        <v>34</v>
      </c>
      <c r="G12" s="54" t="s">
        <v>35</v>
      </c>
      <c r="H12" s="41"/>
      <c r="I12" s="8"/>
    </row>
    <row r="13">
      <c r="B13" s="43" t="s">
        <v>36</v>
      </c>
      <c r="C13" s="44">
        <v>1.0</v>
      </c>
      <c r="D13" s="48">
        <v>37490.0</v>
      </c>
      <c r="E13" s="48">
        <f t="shared" si="1"/>
        <v>37490</v>
      </c>
      <c r="F13" s="52" t="s">
        <v>34</v>
      </c>
      <c r="G13" s="55" t="s">
        <v>38</v>
      </c>
      <c r="H13" s="41"/>
      <c r="I13" s="8"/>
    </row>
    <row r="14">
      <c r="B14" s="43" t="s">
        <v>39</v>
      </c>
      <c r="C14" s="44">
        <v>2.0</v>
      </c>
      <c r="D14" s="48">
        <v>27710.0</v>
      </c>
      <c r="E14" s="48">
        <f t="shared" si="1"/>
        <v>55420</v>
      </c>
      <c r="F14" s="52" t="s">
        <v>34</v>
      </c>
      <c r="G14" s="56" t="s">
        <v>45</v>
      </c>
      <c r="H14" s="41"/>
      <c r="I14" s="8"/>
    </row>
    <row r="15">
      <c r="B15" s="43" t="s">
        <v>49</v>
      </c>
      <c r="C15" s="44">
        <v>2.0</v>
      </c>
      <c r="D15" s="48">
        <v>29300.0</v>
      </c>
      <c r="E15" s="48">
        <f t="shared" si="1"/>
        <v>58600</v>
      </c>
      <c r="F15" s="52" t="s">
        <v>34</v>
      </c>
      <c r="G15" s="55" t="s">
        <v>44</v>
      </c>
      <c r="H15" s="41"/>
      <c r="I15" s="8"/>
    </row>
    <row r="16">
      <c r="B16" s="47" t="s">
        <v>46</v>
      </c>
      <c r="C16" s="44">
        <v>0.0</v>
      </c>
      <c r="D16" s="48">
        <v>3900.0</v>
      </c>
      <c r="E16" s="48">
        <f t="shared" si="1"/>
        <v>0</v>
      </c>
      <c r="F16" s="52" t="s">
        <v>34</v>
      </c>
      <c r="G16" s="55" t="s">
        <v>47</v>
      </c>
      <c r="H16" s="41"/>
      <c r="I16" s="8"/>
    </row>
    <row r="17">
      <c r="B17" s="47" t="s">
        <v>48</v>
      </c>
      <c r="C17" s="44">
        <v>0.0</v>
      </c>
      <c r="D17" s="48">
        <v>3266.0</v>
      </c>
      <c r="E17" s="48">
        <f t="shared" si="1"/>
        <v>0</v>
      </c>
      <c r="F17" s="52" t="s">
        <v>34</v>
      </c>
      <c r="G17" s="57" t="s">
        <v>50</v>
      </c>
      <c r="H17" s="41"/>
      <c r="I17" s="8"/>
    </row>
    <row r="18">
      <c r="B18" s="43" t="s">
        <v>55</v>
      </c>
      <c r="C18" s="44">
        <v>1.0</v>
      </c>
      <c r="D18" s="45">
        <v>7500.0</v>
      </c>
      <c r="E18" s="48">
        <f t="shared" si="1"/>
        <v>7500</v>
      </c>
      <c r="F18" s="52" t="s">
        <v>34</v>
      </c>
      <c r="G18" s="57" t="s">
        <v>52</v>
      </c>
      <c r="H18" s="41"/>
      <c r="I18" s="8"/>
    </row>
    <row r="19">
      <c r="B19" s="43" t="s">
        <v>59</v>
      </c>
      <c r="C19" s="44">
        <v>1.0</v>
      </c>
      <c r="D19" s="48">
        <v>11900.0</v>
      </c>
      <c r="E19" s="48">
        <f t="shared" si="1"/>
        <v>11900</v>
      </c>
      <c r="F19" s="52" t="s">
        <v>34</v>
      </c>
      <c r="G19" s="58" t="s">
        <v>54</v>
      </c>
      <c r="H19" s="41"/>
      <c r="I19" s="8"/>
    </row>
    <row r="20">
      <c r="B20" s="43" t="s">
        <v>63</v>
      </c>
      <c r="C20" s="44">
        <v>1.0</v>
      </c>
      <c r="D20" s="45">
        <v>9100.0</v>
      </c>
      <c r="E20" s="48">
        <f t="shared" si="1"/>
        <v>9100</v>
      </c>
      <c r="F20" s="52" t="s">
        <v>34</v>
      </c>
      <c r="G20" s="55" t="s">
        <v>58</v>
      </c>
      <c r="H20" s="41"/>
      <c r="I20" s="8"/>
    </row>
    <row r="21">
      <c r="B21" s="47" t="s">
        <v>60</v>
      </c>
      <c r="C21" s="44">
        <v>0.0</v>
      </c>
      <c r="D21" s="48">
        <v>9820.0</v>
      </c>
      <c r="E21" s="48">
        <f t="shared" si="1"/>
        <v>0</v>
      </c>
      <c r="F21" s="52" t="s">
        <v>34</v>
      </c>
      <c r="G21" s="55" t="s">
        <v>61</v>
      </c>
      <c r="H21" s="41"/>
      <c r="I21" s="8"/>
    </row>
    <row r="22">
      <c r="B22" s="50" t="s">
        <v>62</v>
      </c>
      <c r="C22" s="59">
        <v>1.0</v>
      </c>
      <c r="D22" s="45">
        <v>98000.0</v>
      </c>
      <c r="E22" s="48">
        <f t="shared" si="1"/>
        <v>98000</v>
      </c>
      <c r="F22" s="52" t="s">
        <v>64</v>
      </c>
      <c r="G22" s="60" t="s">
        <v>65</v>
      </c>
      <c r="H22" s="41"/>
      <c r="I22" s="8"/>
    </row>
    <row r="23">
      <c r="B23" s="43" t="s">
        <v>66</v>
      </c>
      <c r="C23" s="61"/>
      <c r="D23" s="62"/>
      <c r="E23" s="48">
        <f t="shared" si="1"/>
        <v>0</v>
      </c>
      <c r="F23" s="61"/>
      <c r="G23" s="49"/>
      <c r="H23" s="41"/>
      <c r="I23" s="8"/>
    </row>
    <row r="24">
      <c r="B24" s="64" t="s">
        <v>67</v>
      </c>
      <c r="C24" s="44">
        <v>0.0</v>
      </c>
      <c r="D24" s="45">
        <v>35520.0</v>
      </c>
      <c r="E24" s="48">
        <f t="shared" si="1"/>
        <v>0</v>
      </c>
      <c r="F24" s="44" t="s">
        <v>34</v>
      </c>
      <c r="G24" s="58" t="s">
        <v>68</v>
      </c>
      <c r="H24" s="41"/>
      <c r="I24" s="8"/>
    </row>
    <row r="25">
      <c r="B25" s="50" t="s">
        <v>69</v>
      </c>
      <c r="C25" s="44">
        <v>3.0</v>
      </c>
      <c r="D25" s="48">
        <v>12000.0</v>
      </c>
      <c r="E25" s="48">
        <f t="shared" si="1"/>
        <v>36000</v>
      </c>
      <c r="F25" s="52" t="s">
        <v>64</v>
      </c>
      <c r="G25" s="55" t="s">
        <v>70</v>
      </c>
      <c r="H25" s="41"/>
      <c r="I25" s="8"/>
    </row>
    <row r="26">
      <c r="B26" s="50" t="s">
        <v>71</v>
      </c>
      <c r="C26" s="44">
        <v>1.0</v>
      </c>
      <c r="D26" s="48">
        <v>48800.0</v>
      </c>
      <c r="E26" s="48">
        <f t="shared" si="1"/>
        <v>48800</v>
      </c>
      <c r="F26" s="52" t="s">
        <v>34</v>
      </c>
      <c r="G26" s="56" t="s">
        <v>72</v>
      </c>
      <c r="H26" s="41"/>
      <c r="I26" s="8"/>
    </row>
    <row r="27">
      <c r="B27" s="50" t="s">
        <v>73</v>
      </c>
      <c r="C27" s="44">
        <v>1.0</v>
      </c>
      <c r="D27" s="48">
        <v>5500.0</v>
      </c>
      <c r="E27" s="48">
        <f t="shared" si="1"/>
        <v>5500</v>
      </c>
      <c r="F27" s="52" t="s">
        <v>34</v>
      </c>
      <c r="G27" s="56" t="s">
        <v>74</v>
      </c>
      <c r="H27" s="41"/>
      <c r="I27" s="8"/>
    </row>
    <row r="28">
      <c r="B28" s="47" t="s">
        <v>75</v>
      </c>
      <c r="C28" s="44">
        <v>0.0</v>
      </c>
      <c r="D28" s="48">
        <v>5200.0</v>
      </c>
      <c r="E28" s="48">
        <f t="shared" si="1"/>
        <v>0</v>
      </c>
      <c r="F28" s="52" t="s">
        <v>34</v>
      </c>
      <c r="G28" s="56" t="s">
        <v>76</v>
      </c>
      <c r="H28" s="41"/>
      <c r="I28" s="8"/>
    </row>
    <row r="29">
      <c r="B29" s="50" t="s">
        <v>77</v>
      </c>
      <c r="C29" s="44">
        <v>1.0</v>
      </c>
      <c r="D29" s="48">
        <v>9210.0</v>
      </c>
      <c r="E29" s="48">
        <f t="shared" si="1"/>
        <v>9210</v>
      </c>
      <c r="F29" s="52" t="s">
        <v>34</v>
      </c>
      <c r="G29" s="56" t="s">
        <v>78</v>
      </c>
      <c r="H29" s="41"/>
      <c r="I29" s="8"/>
    </row>
    <row r="30">
      <c r="B30" s="50" t="s">
        <v>79</v>
      </c>
      <c r="C30" s="44">
        <v>1.0</v>
      </c>
      <c r="D30" s="48">
        <v>9210.0</v>
      </c>
      <c r="E30" s="48">
        <f t="shared" si="1"/>
        <v>9210</v>
      </c>
      <c r="F30" s="52" t="s">
        <v>34</v>
      </c>
      <c r="G30" s="55" t="s">
        <v>80</v>
      </c>
      <c r="H30" s="41"/>
      <c r="I30" s="8"/>
    </row>
    <row r="31">
      <c r="B31" s="43" t="s">
        <v>85</v>
      </c>
      <c r="C31" s="65">
        <v>0.0</v>
      </c>
      <c r="D31" s="45">
        <v>29900.0</v>
      </c>
      <c r="E31" s="48">
        <f t="shared" si="1"/>
        <v>0</v>
      </c>
      <c r="F31" s="65" t="s">
        <v>34</v>
      </c>
      <c r="G31" s="53" t="s">
        <v>82</v>
      </c>
      <c r="H31" s="41"/>
      <c r="I31" s="8"/>
    </row>
    <row r="32">
      <c r="B32" s="47" t="s">
        <v>83</v>
      </c>
      <c r="C32" s="44">
        <v>0.0</v>
      </c>
      <c r="D32" s="45">
        <v>9890.0</v>
      </c>
      <c r="E32" s="48">
        <f t="shared" si="1"/>
        <v>0</v>
      </c>
      <c r="F32" s="52" t="s">
        <v>34</v>
      </c>
      <c r="G32" s="55" t="s">
        <v>84</v>
      </c>
      <c r="H32" s="41"/>
      <c r="I32" s="8"/>
      <c r="J32" s="66" t="s">
        <v>86</v>
      </c>
    </row>
    <row r="33">
      <c r="B33" s="71" t="s">
        <v>87</v>
      </c>
      <c r="C33" s="68">
        <v>11.0</v>
      </c>
      <c r="D33" s="69">
        <v>690.0</v>
      </c>
      <c r="E33" s="48">
        <f t="shared" si="1"/>
        <v>7590</v>
      </c>
      <c r="F33" s="70" t="s">
        <v>34</v>
      </c>
      <c r="G33" s="72" t="s">
        <v>88</v>
      </c>
      <c r="H33" s="41"/>
      <c r="I33" s="8"/>
    </row>
    <row r="34">
      <c r="B34" s="71" t="s">
        <v>89</v>
      </c>
      <c r="C34" s="68">
        <v>11.0</v>
      </c>
      <c r="D34" s="69">
        <v>690.0</v>
      </c>
      <c r="E34" s="48">
        <f t="shared" si="1"/>
        <v>7590</v>
      </c>
      <c r="F34" s="70" t="s">
        <v>34</v>
      </c>
      <c r="G34" s="72" t="s">
        <v>90</v>
      </c>
      <c r="H34" s="41"/>
      <c r="I34" s="8"/>
    </row>
    <row r="35">
      <c r="B35" s="71" t="s">
        <v>91</v>
      </c>
      <c r="C35" s="68">
        <v>10.0</v>
      </c>
      <c r="D35" s="69">
        <v>690.0</v>
      </c>
      <c r="E35" s="48">
        <f t="shared" si="1"/>
        <v>6900</v>
      </c>
      <c r="F35" s="70" t="s">
        <v>34</v>
      </c>
      <c r="G35" s="72" t="s">
        <v>92</v>
      </c>
      <c r="H35" s="41"/>
      <c r="I35" s="8"/>
    </row>
    <row r="36">
      <c r="B36" s="71" t="s">
        <v>93</v>
      </c>
      <c r="C36" s="68">
        <v>10.0</v>
      </c>
      <c r="D36" s="69">
        <v>690.0</v>
      </c>
      <c r="E36" s="48">
        <f t="shared" si="1"/>
        <v>6900</v>
      </c>
      <c r="F36" s="70" t="s">
        <v>34</v>
      </c>
      <c r="G36" s="72" t="s">
        <v>94</v>
      </c>
      <c r="H36" s="41"/>
      <c r="I36" s="8"/>
    </row>
    <row r="37">
      <c r="B37" s="71" t="s">
        <v>95</v>
      </c>
      <c r="C37" s="68">
        <v>10.0</v>
      </c>
      <c r="D37" s="69">
        <v>690.0</v>
      </c>
      <c r="E37" s="48">
        <f t="shared" si="1"/>
        <v>6900</v>
      </c>
      <c r="F37" s="70" t="s">
        <v>34</v>
      </c>
      <c r="G37" s="72" t="s">
        <v>96</v>
      </c>
      <c r="H37" s="41"/>
      <c r="I37" s="8"/>
    </row>
    <row r="38">
      <c r="B38" s="67" t="s">
        <v>101</v>
      </c>
      <c r="C38" s="68">
        <v>0.0</v>
      </c>
      <c r="D38" s="74">
        <v>12400.0</v>
      </c>
      <c r="E38" s="48">
        <f t="shared" si="1"/>
        <v>0</v>
      </c>
      <c r="F38" s="75" t="s">
        <v>98</v>
      </c>
      <c r="G38" s="76"/>
      <c r="H38" s="41"/>
      <c r="I38" s="8"/>
    </row>
    <row r="39">
      <c r="B39" s="67" t="s">
        <v>103</v>
      </c>
      <c r="C39" s="68">
        <v>0.0</v>
      </c>
      <c r="D39" s="74">
        <v>12400.0</v>
      </c>
      <c r="E39" s="48">
        <f t="shared" si="1"/>
        <v>0</v>
      </c>
      <c r="F39" s="82" t="s">
        <v>98</v>
      </c>
      <c r="G39" s="83" t="s">
        <v>100</v>
      </c>
      <c r="H39" s="41"/>
      <c r="I39" s="8"/>
    </row>
    <row r="40">
      <c r="B40" s="47" t="s">
        <v>102</v>
      </c>
      <c r="C40" s="44">
        <v>0.0</v>
      </c>
      <c r="D40" s="48">
        <v>11600.0</v>
      </c>
      <c r="E40" s="48">
        <f t="shared" si="1"/>
        <v>0</v>
      </c>
      <c r="F40" s="52" t="s">
        <v>34</v>
      </c>
      <c r="G40" s="56" t="s">
        <v>105</v>
      </c>
      <c r="H40" s="41"/>
      <c r="I40" s="8"/>
    </row>
    <row r="41">
      <c r="B41" s="43" t="s">
        <v>108</v>
      </c>
      <c r="C41" s="44">
        <v>1.0</v>
      </c>
      <c r="D41" s="45">
        <v>23840.0</v>
      </c>
      <c r="E41" s="48">
        <f t="shared" si="1"/>
        <v>23840</v>
      </c>
      <c r="F41" s="52" t="s">
        <v>34</v>
      </c>
      <c r="G41" s="56" t="s">
        <v>112</v>
      </c>
      <c r="H41" s="41"/>
      <c r="I41" s="8"/>
    </row>
    <row r="42">
      <c r="B42" s="50" t="s">
        <v>109</v>
      </c>
      <c r="C42" s="44">
        <v>2.0</v>
      </c>
      <c r="D42" s="48">
        <v>29280.0</v>
      </c>
      <c r="E42" s="48">
        <f t="shared" si="1"/>
        <v>58560</v>
      </c>
      <c r="F42" s="51" t="s">
        <v>34</v>
      </c>
      <c r="G42" s="56" t="s">
        <v>111</v>
      </c>
      <c r="H42" s="41"/>
      <c r="I42" s="8"/>
    </row>
    <row r="43">
      <c r="B43" s="47" t="s">
        <v>113</v>
      </c>
      <c r="C43" s="65">
        <v>0.0</v>
      </c>
      <c r="D43" s="48">
        <v>24150.0</v>
      </c>
      <c r="E43" s="48">
        <f t="shared" si="1"/>
        <v>0</v>
      </c>
      <c r="F43" s="51" t="s">
        <v>34</v>
      </c>
      <c r="G43" s="56" t="s">
        <v>115</v>
      </c>
      <c r="H43" s="41"/>
      <c r="I43" s="8"/>
    </row>
    <row r="44">
      <c r="B44" s="47" t="s">
        <v>116</v>
      </c>
      <c r="C44" s="65">
        <v>0.0</v>
      </c>
      <c r="D44" s="45">
        <v>25250.0</v>
      </c>
      <c r="E44" s="48">
        <f t="shared" si="1"/>
        <v>0</v>
      </c>
      <c r="F44" s="51" t="s">
        <v>34</v>
      </c>
      <c r="G44" s="56" t="s">
        <v>117</v>
      </c>
      <c r="H44" s="41"/>
      <c r="I44" s="8"/>
    </row>
    <row r="45">
      <c r="B45" s="47" t="s">
        <v>118</v>
      </c>
      <c r="C45" s="65">
        <v>0.0</v>
      </c>
      <c r="D45" s="48">
        <v>4750.0</v>
      </c>
      <c r="E45" s="48">
        <f t="shared" si="1"/>
        <v>0</v>
      </c>
      <c r="F45" s="51" t="s">
        <v>34</v>
      </c>
      <c r="G45" s="56" t="s">
        <v>119</v>
      </c>
      <c r="H45" s="41"/>
      <c r="I45" s="8"/>
    </row>
    <row r="46">
      <c r="B46" s="43" t="s">
        <v>121</v>
      </c>
      <c r="C46" s="65">
        <v>1.0</v>
      </c>
      <c r="D46" s="45">
        <v>62800.0</v>
      </c>
      <c r="E46" s="48">
        <f t="shared" si="1"/>
        <v>62800</v>
      </c>
      <c r="F46" s="51" t="s">
        <v>34</v>
      </c>
      <c r="G46" s="53" t="s">
        <v>122</v>
      </c>
      <c r="H46" s="41"/>
      <c r="I46" s="8"/>
    </row>
    <row r="47">
      <c r="B47" s="43" t="s">
        <v>124</v>
      </c>
      <c r="C47" s="65">
        <v>1.0</v>
      </c>
      <c r="D47" s="45">
        <v>32800.0</v>
      </c>
      <c r="E47" s="48">
        <f t="shared" si="1"/>
        <v>32800</v>
      </c>
      <c r="F47" s="51" t="s">
        <v>34</v>
      </c>
      <c r="G47" s="53" t="s">
        <v>125</v>
      </c>
      <c r="H47" s="41"/>
      <c r="I47" s="8"/>
    </row>
    <row r="48">
      <c r="B48" s="43" t="s">
        <v>126</v>
      </c>
      <c r="C48" s="65">
        <v>1.0</v>
      </c>
      <c r="D48" s="45">
        <v>15000.0</v>
      </c>
      <c r="E48" s="48">
        <f t="shared" si="1"/>
        <v>15000</v>
      </c>
      <c r="F48" s="51" t="s">
        <v>34</v>
      </c>
      <c r="G48" s="53" t="s">
        <v>127</v>
      </c>
      <c r="H48" s="41"/>
      <c r="I48" s="8"/>
    </row>
    <row r="49">
      <c r="B49" s="43" t="s">
        <v>128</v>
      </c>
      <c r="C49" s="65">
        <v>1.0</v>
      </c>
      <c r="D49" s="45">
        <v>9200.0</v>
      </c>
      <c r="E49" s="48">
        <f t="shared" si="1"/>
        <v>9200</v>
      </c>
      <c r="F49" s="51" t="s">
        <v>34</v>
      </c>
      <c r="G49" s="53" t="s">
        <v>129</v>
      </c>
      <c r="H49" s="41"/>
      <c r="I49" s="8"/>
    </row>
    <row r="50">
      <c r="B50" s="43" t="s">
        <v>130</v>
      </c>
      <c r="C50" s="65">
        <v>1.0</v>
      </c>
      <c r="D50" s="45">
        <v>9200.0</v>
      </c>
      <c r="E50" s="48">
        <f t="shared" si="1"/>
        <v>9200</v>
      </c>
      <c r="F50" s="51" t="s">
        <v>34</v>
      </c>
      <c r="G50" s="53" t="s">
        <v>131</v>
      </c>
      <c r="H50" s="41"/>
      <c r="I50" s="8"/>
    </row>
    <row r="51">
      <c r="B51" s="43" t="s">
        <v>132</v>
      </c>
      <c r="C51" s="65">
        <v>1.0</v>
      </c>
      <c r="D51" s="45">
        <v>9800.0</v>
      </c>
      <c r="E51" s="48">
        <f t="shared" si="1"/>
        <v>9800</v>
      </c>
      <c r="F51" s="51" t="s">
        <v>34</v>
      </c>
      <c r="G51" s="53" t="s">
        <v>133</v>
      </c>
      <c r="H51" s="41"/>
      <c r="I51" s="8"/>
    </row>
    <row r="52">
      <c r="B52" s="43" t="s">
        <v>134</v>
      </c>
      <c r="C52" s="65">
        <v>5.0</v>
      </c>
      <c r="D52" s="45">
        <v>12000.0</v>
      </c>
      <c r="E52" s="48">
        <f t="shared" si="1"/>
        <v>60000</v>
      </c>
      <c r="F52" s="65" t="s">
        <v>135</v>
      </c>
      <c r="G52" s="53" t="s">
        <v>136</v>
      </c>
      <c r="H52" s="41"/>
      <c r="I52" s="8"/>
    </row>
    <row r="53">
      <c r="B53" s="84"/>
      <c r="C53" s="85"/>
      <c r="D53" s="85"/>
      <c r="E53" s="85"/>
      <c r="F53" s="85"/>
      <c r="G53" s="8"/>
      <c r="H53" s="41"/>
      <c r="I53" s="8"/>
    </row>
    <row r="54">
      <c r="B54" s="84" t="s">
        <v>137</v>
      </c>
      <c r="C54" s="85"/>
      <c r="D54" s="85"/>
      <c r="E54" s="86">
        <f>SUM(E8:E52)</f>
        <v>1278310</v>
      </c>
      <c r="F54" s="85"/>
      <c r="G54" s="8"/>
      <c r="H54" s="41"/>
      <c r="I54" s="8"/>
    </row>
    <row r="55">
      <c r="B55" s="50" t="s">
        <v>138</v>
      </c>
      <c r="C55" s="61"/>
      <c r="D55" s="61"/>
      <c r="E55" s="48">
        <f>SUM(E8)</f>
        <v>260000</v>
      </c>
      <c r="F55" s="85"/>
      <c r="G55" s="8"/>
      <c r="H55" s="41"/>
      <c r="I55" s="8"/>
    </row>
    <row r="56">
      <c r="B56" s="84" t="s">
        <v>139</v>
      </c>
      <c r="C56" s="85"/>
      <c r="D56" s="85"/>
      <c r="E56" s="87">
        <f>13000*50</f>
        <v>650000</v>
      </c>
      <c r="F56" s="85"/>
      <c r="G56" s="8"/>
      <c r="H56" s="41"/>
      <c r="I56" s="8"/>
    </row>
    <row r="57">
      <c r="B57" s="91" t="s">
        <v>143</v>
      </c>
      <c r="C57" s="85"/>
      <c r="D57" s="85"/>
      <c r="E57" s="86">
        <f>E54-E55-E56</f>
        <v>368310</v>
      </c>
      <c r="F57" s="85"/>
      <c r="G57" s="8"/>
      <c r="H57" s="41"/>
    </row>
    <row r="58">
      <c r="B58" s="88"/>
      <c r="C58" s="85"/>
      <c r="D58" s="85"/>
      <c r="E58" s="85"/>
      <c r="F58" s="85"/>
      <c r="G58" s="8"/>
      <c r="H58" s="41"/>
    </row>
    <row r="59">
      <c r="B59" s="89" t="s">
        <v>141</v>
      </c>
      <c r="E59" s="90"/>
      <c r="F59" s="85"/>
      <c r="G59" s="8"/>
      <c r="H59" s="41"/>
    </row>
    <row r="60">
      <c r="B60" s="84" t="s">
        <v>142</v>
      </c>
      <c r="C60" s="85"/>
      <c r="D60" s="85"/>
      <c r="E60" s="85"/>
      <c r="F60" s="85"/>
      <c r="G60" s="8"/>
      <c r="H60" s="41"/>
    </row>
    <row r="61">
      <c r="B61" s="88"/>
      <c r="C61" s="85"/>
      <c r="D61" s="85"/>
      <c r="E61" s="85"/>
      <c r="F61" s="85"/>
      <c r="G61" s="8"/>
      <c r="H61" s="41"/>
    </row>
    <row r="62">
      <c r="B62" s="88"/>
      <c r="C62" s="85"/>
      <c r="D62" s="85"/>
      <c r="E62" s="85"/>
      <c r="F62" s="85"/>
      <c r="G62" s="8"/>
      <c r="H62" s="41"/>
    </row>
    <row r="63">
      <c r="B63" s="92"/>
      <c r="C63" s="93"/>
      <c r="D63" s="93"/>
      <c r="E63" s="93"/>
      <c r="F63" s="93"/>
      <c r="G63" s="94"/>
      <c r="H63" s="28"/>
    </row>
  </sheetData>
  <mergeCells count="67">
    <mergeCell ref="G47:H47"/>
    <mergeCell ref="G48:H48"/>
    <mergeCell ref="G49:H49"/>
    <mergeCell ref="G50:H50"/>
    <mergeCell ref="G51:H51"/>
    <mergeCell ref="G52:H52"/>
    <mergeCell ref="G53:H53"/>
    <mergeCell ref="G60:H60"/>
    <mergeCell ref="G61:H61"/>
    <mergeCell ref="G62:H62"/>
    <mergeCell ref="G63:H63"/>
    <mergeCell ref="G54:H54"/>
    <mergeCell ref="G55:H55"/>
    <mergeCell ref="G56:H56"/>
    <mergeCell ref="G57:H57"/>
    <mergeCell ref="G58:H58"/>
    <mergeCell ref="B59:E59"/>
    <mergeCell ref="G59:H59"/>
    <mergeCell ref="B2:E3"/>
    <mergeCell ref="C4:E4"/>
    <mergeCell ref="G4:H4"/>
    <mergeCell ref="B5:B6"/>
    <mergeCell ref="C5:C6"/>
    <mergeCell ref="D5:D6"/>
    <mergeCell ref="E5:E6"/>
    <mergeCell ref="F5:F6"/>
    <mergeCell ref="G5:H6"/>
    <mergeCell ref="G7:H7"/>
    <mergeCell ref="G8:H8"/>
    <mergeCell ref="G9:H9"/>
    <mergeCell ref="G10:H10"/>
    <mergeCell ref="G11:H11"/>
    <mergeCell ref="G12:H12"/>
    <mergeCell ref="G13:H13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36:H36"/>
    <mergeCell ref="G37:H37"/>
    <mergeCell ref="G38:H38"/>
    <mergeCell ref="G39:H39"/>
    <mergeCell ref="G40:H40"/>
    <mergeCell ref="G41:H41"/>
    <mergeCell ref="G42:H42"/>
    <mergeCell ref="G43:H43"/>
    <mergeCell ref="G44:H44"/>
    <mergeCell ref="G45:H45"/>
    <mergeCell ref="G46:H46"/>
  </mergeCells>
  <hyperlinks>
    <hyperlink r:id="rId1" ref="G11"/>
    <hyperlink r:id="rId2" ref="G12"/>
    <hyperlink r:id="rId3" ref="G13"/>
    <hyperlink r:id="rId4" ref="G14"/>
    <hyperlink r:id="rId5" ref="G15"/>
    <hyperlink r:id="rId6" ref="G16"/>
    <hyperlink r:id="rId7" ref="G17"/>
    <hyperlink r:id="rId8" ref="G18"/>
    <hyperlink r:id="rId9" ref="G19"/>
    <hyperlink r:id="rId10" ref="G20"/>
    <hyperlink r:id="rId11" ref="G21"/>
    <hyperlink r:id="rId12" ref="G22"/>
    <hyperlink r:id="rId13" ref="G24"/>
    <hyperlink r:id="rId14" ref="G25"/>
    <hyperlink r:id="rId15" ref="G26"/>
    <hyperlink r:id="rId16" ref="G27"/>
    <hyperlink r:id="rId17" ref="G28"/>
    <hyperlink r:id="rId18" ref="G29"/>
    <hyperlink r:id="rId19" ref="G30"/>
    <hyperlink r:id="rId20" ref="G31"/>
    <hyperlink r:id="rId21" ref="G32"/>
    <hyperlink r:id="rId22" ref="J32"/>
    <hyperlink r:id="rId23" ref="G33"/>
    <hyperlink r:id="rId24" ref="G34"/>
    <hyperlink r:id="rId25" ref="G35"/>
    <hyperlink r:id="rId26" ref="G36"/>
    <hyperlink r:id="rId27" ref="G37"/>
    <hyperlink r:id="rId28" ref="G39"/>
    <hyperlink r:id="rId29" ref="G40"/>
    <hyperlink r:id="rId30" ref="G41"/>
    <hyperlink r:id="rId31" ref="G42"/>
    <hyperlink r:id="rId32" ref="G43"/>
    <hyperlink r:id="rId33" ref="G44"/>
    <hyperlink r:id="rId34" ref="G45"/>
    <hyperlink r:id="rId35" ref="G46"/>
    <hyperlink r:id="rId36" ref="G47"/>
    <hyperlink r:id="rId37" ref="G48"/>
    <hyperlink r:id="rId38" ref="G49"/>
    <hyperlink r:id="rId39" ref="G50"/>
    <hyperlink r:id="rId40" ref="G51"/>
    <hyperlink r:id="rId41" ref="G52"/>
  </hyperlinks>
  <drawing r:id="rId4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3.5"/>
    <col customWidth="1" min="5" max="5" width="11.5"/>
    <col customWidth="1" min="8" max="8" width="70.38"/>
  </cols>
  <sheetData>
    <row r="1">
      <c r="B1" s="1" t="s">
        <v>1</v>
      </c>
    </row>
    <row r="2">
      <c r="B2" s="2" t="s">
        <v>0</v>
      </c>
      <c r="C2" s="3"/>
      <c r="D2" s="3"/>
      <c r="E2" s="4"/>
      <c r="F2" s="5" t="s">
        <v>2</v>
      </c>
      <c r="G2" s="6" t="s">
        <v>3</v>
      </c>
      <c r="H2" s="7" t="s">
        <v>4</v>
      </c>
      <c r="I2" s="8"/>
    </row>
    <row r="3">
      <c r="B3" s="9"/>
      <c r="C3" s="10"/>
      <c r="D3" s="10"/>
      <c r="E3" s="11"/>
      <c r="F3" s="12"/>
      <c r="G3" s="13"/>
      <c r="H3" s="14"/>
      <c r="I3" s="8"/>
    </row>
    <row r="4">
      <c r="B4" s="15" t="s">
        <v>5</v>
      </c>
      <c r="C4" s="16" t="s">
        <v>6</v>
      </c>
      <c r="D4" s="17"/>
      <c r="E4" s="18"/>
      <c r="F4" s="19" t="s">
        <v>7</v>
      </c>
      <c r="G4" s="20" t="s">
        <v>10</v>
      </c>
      <c r="H4" s="21"/>
      <c r="I4" s="8"/>
    </row>
    <row r="5">
      <c r="B5" s="15" t="s">
        <v>12</v>
      </c>
      <c r="C5" s="22">
        <v>45920.0</v>
      </c>
      <c r="D5" s="23" t="s">
        <v>13</v>
      </c>
      <c r="E5" s="24" t="s">
        <v>14</v>
      </c>
      <c r="F5" s="23" t="s">
        <v>15</v>
      </c>
      <c r="G5" s="20" t="s">
        <v>16</v>
      </c>
      <c r="H5" s="21"/>
      <c r="I5" s="8"/>
    </row>
    <row r="6">
      <c r="B6" s="25"/>
      <c r="C6" s="26"/>
      <c r="D6" s="26"/>
      <c r="E6" s="26"/>
      <c r="F6" s="26"/>
      <c r="G6" s="27"/>
      <c r="H6" s="28"/>
      <c r="I6" s="8"/>
    </row>
    <row r="7">
      <c r="B7" s="29" t="s">
        <v>17</v>
      </c>
      <c r="C7" s="30" t="s">
        <v>18</v>
      </c>
      <c r="D7" s="30" t="s">
        <v>19</v>
      </c>
      <c r="E7" s="31" t="s">
        <v>20</v>
      </c>
      <c r="F7" s="32" t="s">
        <v>21</v>
      </c>
      <c r="G7" s="33" t="s">
        <v>22</v>
      </c>
      <c r="H7" s="34"/>
      <c r="I7" s="8"/>
    </row>
    <row r="8">
      <c r="B8" s="35" t="s">
        <v>23</v>
      </c>
      <c r="C8" s="36">
        <v>50.0</v>
      </c>
      <c r="D8" s="42">
        <v>10000.0</v>
      </c>
      <c r="E8" s="37">
        <f t="shared" ref="E8:E52" si="1">C8*D8</f>
        <v>500000</v>
      </c>
      <c r="F8" s="38" t="s">
        <v>24</v>
      </c>
      <c r="G8" s="39"/>
      <c r="H8" s="41"/>
      <c r="I8" s="8"/>
    </row>
    <row r="9">
      <c r="B9" s="35" t="s">
        <v>26</v>
      </c>
      <c r="C9" s="36">
        <v>45.0</v>
      </c>
      <c r="D9" s="42">
        <v>10000.0</v>
      </c>
      <c r="E9" s="37">
        <f t="shared" si="1"/>
        <v>450000</v>
      </c>
      <c r="F9" s="36" t="s">
        <v>24</v>
      </c>
      <c r="G9" s="39"/>
      <c r="H9" s="41"/>
      <c r="I9" s="8"/>
    </row>
    <row r="10">
      <c r="B10" s="40" t="s">
        <v>27</v>
      </c>
      <c r="C10" s="36">
        <v>5.0</v>
      </c>
      <c r="D10" s="37">
        <v>10900.0</v>
      </c>
      <c r="E10" s="37">
        <f t="shared" si="1"/>
        <v>54500</v>
      </c>
      <c r="F10" s="38" t="s">
        <v>28</v>
      </c>
      <c r="G10" s="39"/>
      <c r="H10" s="41"/>
      <c r="I10" s="46" t="s">
        <v>29</v>
      </c>
    </row>
    <row r="11">
      <c r="B11" s="50" t="s">
        <v>30</v>
      </c>
      <c r="C11" s="44">
        <v>4.0</v>
      </c>
      <c r="D11" s="45">
        <v>6500.0</v>
      </c>
      <c r="E11" s="48">
        <f t="shared" si="1"/>
        <v>26000</v>
      </c>
      <c r="F11" s="51" t="s">
        <v>31</v>
      </c>
      <c r="G11" s="53" t="s">
        <v>32</v>
      </c>
      <c r="H11" s="41"/>
      <c r="I11" s="8"/>
    </row>
    <row r="12">
      <c r="B12" s="47" t="s">
        <v>33</v>
      </c>
      <c r="C12" s="44">
        <v>0.0</v>
      </c>
      <c r="D12" s="48">
        <v>3690.0</v>
      </c>
      <c r="E12" s="48">
        <f t="shared" si="1"/>
        <v>0</v>
      </c>
      <c r="F12" s="52" t="s">
        <v>34</v>
      </c>
      <c r="G12" s="54" t="s">
        <v>35</v>
      </c>
      <c r="H12" s="41"/>
      <c r="I12" s="8"/>
    </row>
    <row r="13">
      <c r="B13" s="43" t="s">
        <v>36</v>
      </c>
      <c r="C13" s="44">
        <v>1.0</v>
      </c>
      <c r="D13" s="48">
        <v>37490.0</v>
      </c>
      <c r="E13" s="48">
        <f t="shared" si="1"/>
        <v>37490</v>
      </c>
      <c r="F13" s="52" t="s">
        <v>34</v>
      </c>
      <c r="G13" s="55" t="s">
        <v>38</v>
      </c>
      <c r="H13" s="41"/>
      <c r="I13" s="8"/>
    </row>
    <row r="14">
      <c r="B14" s="43" t="s">
        <v>39</v>
      </c>
      <c r="C14" s="44">
        <v>2.0</v>
      </c>
      <c r="D14" s="48">
        <v>27710.0</v>
      </c>
      <c r="E14" s="48">
        <f t="shared" si="1"/>
        <v>55420</v>
      </c>
      <c r="F14" s="52" t="s">
        <v>34</v>
      </c>
      <c r="G14" s="56" t="s">
        <v>56</v>
      </c>
      <c r="H14" s="41"/>
      <c r="I14" s="8"/>
    </row>
    <row r="15">
      <c r="B15" s="43" t="s">
        <v>49</v>
      </c>
      <c r="C15" s="44">
        <v>2.0</v>
      </c>
      <c r="D15" s="48">
        <v>29300.0</v>
      </c>
      <c r="E15" s="48">
        <f t="shared" si="1"/>
        <v>58600</v>
      </c>
      <c r="F15" s="52" t="s">
        <v>34</v>
      </c>
      <c r="G15" s="55" t="s">
        <v>44</v>
      </c>
      <c r="H15" s="41"/>
      <c r="I15" s="8"/>
    </row>
    <row r="16">
      <c r="B16" s="47" t="s">
        <v>46</v>
      </c>
      <c r="C16" s="44">
        <v>0.0</v>
      </c>
      <c r="D16" s="48">
        <v>3900.0</v>
      </c>
      <c r="E16" s="48">
        <f t="shared" si="1"/>
        <v>0</v>
      </c>
      <c r="F16" s="52" t="s">
        <v>34</v>
      </c>
      <c r="G16" s="55" t="s">
        <v>47</v>
      </c>
      <c r="H16" s="41"/>
      <c r="I16" s="8"/>
    </row>
    <row r="17">
      <c r="B17" s="47" t="s">
        <v>48</v>
      </c>
      <c r="C17" s="44">
        <v>0.0</v>
      </c>
      <c r="D17" s="48">
        <v>3266.0</v>
      </c>
      <c r="E17" s="48">
        <f t="shared" si="1"/>
        <v>0</v>
      </c>
      <c r="F17" s="52" t="s">
        <v>34</v>
      </c>
      <c r="G17" s="57" t="s">
        <v>50</v>
      </c>
      <c r="H17" s="41"/>
      <c r="I17" s="8"/>
    </row>
    <row r="18">
      <c r="B18" s="43" t="s">
        <v>55</v>
      </c>
      <c r="C18" s="44">
        <v>1.0</v>
      </c>
      <c r="D18" s="45">
        <v>7500.0</v>
      </c>
      <c r="E18" s="48">
        <f t="shared" si="1"/>
        <v>7500</v>
      </c>
      <c r="F18" s="52" t="s">
        <v>34</v>
      </c>
      <c r="G18" s="57" t="s">
        <v>52</v>
      </c>
      <c r="H18" s="41"/>
      <c r="I18" s="8"/>
    </row>
    <row r="19">
      <c r="B19" s="43" t="s">
        <v>59</v>
      </c>
      <c r="C19" s="44">
        <v>1.0</v>
      </c>
      <c r="D19" s="48">
        <v>11900.0</v>
      </c>
      <c r="E19" s="48">
        <f t="shared" si="1"/>
        <v>11900</v>
      </c>
      <c r="F19" s="52" t="s">
        <v>34</v>
      </c>
      <c r="G19" s="58" t="s">
        <v>54</v>
      </c>
      <c r="H19" s="41"/>
      <c r="I19" s="8"/>
    </row>
    <row r="20">
      <c r="B20" s="43" t="s">
        <v>63</v>
      </c>
      <c r="C20" s="44">
        <v>1.0</v>
      </c>
      <c r="D20" s="45">
        <v>9100.0</v>
      </c>
      <c r="E20" s="48">
        <f t="shared" si="1"/>
        <v>9100</v>
      </c>
      <c r="F20" s="52" t="s">
        <v>34</v>
      </c>
      <c r="G20" s="55" t="s">
        <v>58</v>
      </c>
      <c r="H20" s="41"/>
      <c r="I20" s="8"/>
    </row>
    <row r="21">
      <c r="B21" s="47" t="s">
        <v>60</v>
      </c>
      <c r="C21" s="44">
        <v>0.0</v>
      </c>
      <c r="D21" s="48">
        <v>9820.0</v>
      </c>
      <c r="E21" s="48">
        <f t="shared" si="1"/>
        <v>0</v>
      </c>
      <c r="F21" s="52" t="s">
        <v>34</v>
      </c>
      <c r="G21" s="55" t="s">
        <v>61</v>
      </c>
      <c r="H21" s="41"/>
      <c r="I21" s="8"/>
    </row>
    <row r="22">
      <c r="B22" s="50" t="s">
        <v>62</v>
      </c>
      <c r="C22" s="59">
        <v>1.0</v>
      </c>
      <c r="D22" s="45">
        <v>98000.0</v>
      </c>
      <c r="E22" s="48">
        <f t="shared" si="1"/>
        <v>98000</v>
      </c>
      <c r="F22" s="52" t="s">
        <v>64</v>
      </c>
      <c r="G22" s="60" t="s">
        <v>65</v>
      </c>
      <c r="H22" s="41"/>
      <c r="I22" s="8"/>
    </row>
    <row r="23">
      <c r="B23" s="43" t="s">
        <v>66</v>
      </c>
      <c r="C23" s="61"/>
      <c r="D23" s="62"/>
      <c r="E23" s="48">
        <f t="shared" si="1"/>
        <v>0</v>
      </c>
      <c r="F23" s="61"/>
      <c r="G23" s="49"/>
      <c r="H23" s="41"/>
      <c r="I23" s="8"/>
    </row>
    <row r="24">
      <c r="B24" s="64" t="s">
        <v>67</v>
      </c>
      <c r="C24" s="44">
        <v>0.0</v>
      </c>
      <c r="D24" s="45">
        <v>35520.0</v>
      </c>
      <c r="E24" s="48">
        <f t="shared" si="1"/>
        <v>0</v>
      </c>
      <c r="F24" s="44" t="s">
        <v>34</v>
      </c>
      <c r="G24" s="58" t="s">
        <v>68</v>
      </c>
      <c r="H24" s="41"/>
      <c r="I24" s="8"/>
    </row>
    <row r="25">
      <c r="B25" s="50" t="s">
        <v>69</v>
      </c>
      <c r="C25" s="44">
        <v>3.0</v>
      </c>
      <c r="D25" s="48">
        <v>12000.0</v>
      </c>
      <c r="E25" s="48">
        <f t="shared" si="1"/>
        <v>36000</v>
      </c>
      <c r="F25" s="52" t="s">
        <v>64</v>
      </c>
      <c r="G25" s="55" t="s">
        <v>70</v>
      </c>
      <c r="H25" s="41"/>
      <c r="I25" s="8"/>
    </row>
    <row r="26">
      <c r="B26" s="50" t="s">
        <v>71</v>
      </c>
      <c r="C26" s="44">
        <v>1.0</v>
      </c>
      <c r="D26" s="48">
        <v>48800.0</v>
      </c>
      <c r="E26" s="48">
        <f t="shared" si="1"/>
        <v>48800</v>
      </c>
      <c r="F26" s="52" t="s">
        <v>34</v>
      </c>
      <c r="G26" s="56" t="s">
        <v>72</v>
      </c>
      <c r="H26" s="41"/>
      <c r="I26" s="8"/>
    </row>
    <row r="27">
      <c r="B27" s="50" t="s">
        <v>73</v>
      </c>
      <c r="C27" s="44">
        <v>1.0</v>
      </c>
      <c r="D27" s="48">
        <v>5500.0</v>
      </c>
      <c r="E27" s="48">
        <f t="shared" si="1"/>
        <v>5500</v>
      </c>
      <c r="F27" s="52" t="s">
        <v>34</v>
      </c>
      <c r="G27" s="56" t="s">
        <v>74</v>
      </c>
      <c r="H27" s="41"/>
      <c r="I27" s="8"/>
    </row>
    <row r="28">
      <c r="B28" s="47" t="s">
        <v>75</v>
      </c>
      <c r="C28" s="44">
        <v>0.0</v>
      </c>
      <c r="D28" s="48">
        <v>5200.0</v>
      </c>
      <c r="E28" s="48">
        <f t="shared" si="1"/>
        <v>0</v>
      </c>
      <c r="F28" s="52" t="s">
        <v>34</v>
      </c>
      <c r="G28" s="56" t="s">
        <v>76</v>
      </c>
      <c r="H28" s="41"/>
      <c r="I28" s="8"/>
    </row>
    <row r="29">
      <c r="B29" s="50" t="s">
        <v>77</v>
      </c>
      <c r="C29" s="44">
        <v>1.0</v>
      </c>
      <c r="D29" s="48">
        <v>9210.0</v>
      </c>
      <c r="E29" s="48">
        <f t="shared" si="1"/>
        <v>9210</v>
      </c>
      <c r="F29" s="52" t="s">
        <v>34</v>
      </c>
      <c r="G29" s="56" t="s">
        <v>78</v>
      </c>
      <c r="H29" s="41"/>
      <c r="I29" s="8"/>
    </row>
    <row r="30">
      <c r="B30" s="50" t="s">
        <v>79</v>
      </c>
      <c r="C30" s="44">
        <v>1.0</v>
      </c>
      <c r="D30" s="48">
        <v>9210.0</v>
      </c>
      <c r="E30" s="48">
        <f t="shared" si="1"/>
        <v>9210</v>
      </c>
      <c r="F30" s="52" t="s">
        <v>34</v>
      </c>
      <c r="G30" s="55" t="s">
        <v>80</v>
      </c>
      <c r="H30" s="41"/>
      <c r="I30" s="8"/>
    </row>
    <row r="31">
      <c r="B31" s="43" t="s">
        <v>85</v>
      </c>
      <c r="C31" s="65">
        <v>0.0</v>
      </c>
      <c r="D31" s="45">
        <v>29900.0</v>
      </c>
      <c r="E31" s="48">
        <f t="shared" si="1"/>
        <v>0</v>
      </c>
      <c r="F31" s="65" t="s">
        <v>34</v>
      </c>
      <c r="G31" s="53" t="s">
        <v>82</v>
      </c>
      <c r="H31" s="41"/>
      <c r="I31" s="8"/>
    </row>
    <row r="32">
      <c r="B32" s="47" t="s">
        <v>83</v>
      </c>
      <c r="C32" s="44">
        <v>0.0</v>
      </c>
      <c r="D32" s="45">
        <v>9890.0</v>
      </c>
      <c r="E32" s="48">
        <f t="shared" si="1"/>
        <v>0</v>
      </c>
      <c r="F32" s="52" t="s">
        <v>34</v>
      </c>
      <c r="G32" s="55" t="s">
        <v>84</v>
      </c>
      <c r="H32" s="41"/>
      <c r="I32" s="8"/>
      <c r="J32" s="66" t="s">
        <v>86</v>
      </c>
    </row>
    <row r="33">
      <c r="B33" s="71" t="s">
        <v>87</v>
      </c>
      <c r="C33" s="68">
        <v>11.0</v>
      </c>
      <c r="D33" s="69">
        <v>690.0</v>
      </c>
      <c r="E33" s="48">
        <f t="shared" si="1"/>
        <v>7590</v>
      </c>
      <c r="F33" s="70" t="s">
        <v>34</v>
      </c>
      <c r="G33" s="72" t="s">
        <v>88</v>
      </c>
      <c r="H33" s="41"/>
      <c r="I33" s="8"/>
    </row>
    <row r="34">
      <c r="B34" s="71" t="s">
        <v>89</v>
      </c>
      <c r="C34" s="68">
        <v>11.0</v>
      </c>
      <c r="D34" s="69">
        <v>690.0</v>
      </c>
      <c r="E34" s="48">
        <f t="shared" si="1"/>
        <v>7590</v>
      </c>
      <c r="F34" s="70" t="s">
        <v>34</v>
      </c>
      <c r="G34" s="72" t="s">
        <v>90</v>
      </c>
      <c r="H34" s="41"/>
      <c r="I34" s="8"/>
    </row>
    <row r="35">
      <c r="B35" s="71" t="s">
        <v>91</v>
      </c>
      <c r="C35" s="68">
        <v>10.0</v>
      </c>
      <c r="D35" s="69">
        <v>690.0</v>
      </c>
      <c r="E35" s="48">
        <f t="shared" si="1"/>
        <v>6900</v>
      </c>
      <c r="F35" s="70" t="s">
        <v>34</v>
      </c>
      <c r="G35" s="72" t="s">
        <v>92</v>
      </c>
      <c r="H35" s="41"/>
      <c r="I35" s="8"/>
    </row>
    <row r="36">
      <c r="B36" s="71" t="s">
        <v>93</v>
      </c>
      <c r="C36" s="68">
        <v>10.0</v>
      </c>
      <c r="D36" s="69">
        <v>690.0</v>
      </c>
      <c r="E36" s="48">
        <f t="shared" si="1"/>
        <v>6900</v>
      </c>
      <c r="F36" s="70" t="s">
        <v>34</v>
      </c>
      <c r="G36" s="72" t="s">
        <v>94</v>
      </c>
      <c r="H36" s="41"/>
      <c r="I36" s="8"/>
    </row>
    <row r="37">
      <c r="B37" s="71" t="s">
        <v>95</v>
      </c>
      <c r="C37" s="68">
        <v>10.0</v>
      </c>
      <c r="D37" s="69">
        <v>690.0</v>
      </c>
      <c r="E37" s="48">
        <f t="shared" si="1"/>
        <v>6900</v>
      </c>
      <c r="F37" s="70" t="s">
        <v>34</v>
      </c>
      <c r="G37" s="72" t="s">
        <v>96</v>
      </c>
      <c r="H37" s="41"/>
      <c r="I37" s="8"/>
    </row>
    <row r="38">
      <c r="B38" s="67" t="s">
        <v>101</v>
      </c>
      <c r="C38" s="68">
        <v>0.0</v>
      </c>
      <c r="D38" s="74">
        <v>12400.0</v>
      </c>
      <c r="E38" s="48">
        <f t="shared" si="1"/>
        <v>0</v>
      </c>
      <c r="F38" s="75" t="s">
        <v>98</v>
      </c>
      <c r="G38" s="76"/>
      <c r="H38" s="41"/>
      <c r="I38" s="8"/>
    </row>
    <row r="39">
      <c r="B39" s="67" t="s">
        <v>103</v>
      </c>
      <c r="C39" s="68">
        <v>0.0</v>
      </c>
      <c r="D39" s="74">
        <v>12400.0</v>
      </c>
      <c r="E39" s="48">
        <f t="shared" si="1"/>
        <v>0</v>
      </c>
      <c r="F39" s="82" t="s">
        <v>98</v>
      </c>
      <c r="G39" s="83" t="s">
        <v>100</v>
      </c>
      <c r="H39" s="41"/>
      <c r="I39" s="8"/>
    </row>
    <row r="40">
      <c r="B40" s="47" t="s">
        <v>102</v>
      </c>
      <c r="C40" s="44">
        <v>0.0</v>
      </c>
      <c r="D40" s="48">
        <v>11600.0</v>
      </c>
      <c r="E40" s="48">
        <f t="shared" si="1"/>
        <v>0</v>
      </c>
      <c r="F40" s="52" t="s">
        <v>34</v>
      </c>
      <c r="G40" s="56" t="s">
        <v>120</v>
      </c>
      <c r="H40" s="41"/>
      <c r="I40" s="8"/>
    </row>
    <row r="41">
      <c r="B41" s="43" t="s">
        <v>108</v>
      </c>
      <c r="C41" s="44">
        <v>1.0</v>
      </c>
      <c r="D41" s="45">
        <v>23840.0</v>
      </c>
      <c r="E41" s="48">
        <f t="shared" si="1"/>
        <v>23840</v>
      </c>
      <c r="F41" s="52" t="s">
        <v>34</v>
      </c>
      <c r="G41" s="56" t="s">
        <v>123</v>
      </c>
      <c r="H41" s="41"/>
      <c r="I41" s="8"/>
    </row>
    <row r="42">
      <c r="B42" s="50" t="s">
        <v>109</v>
      </c>
      <c r="C42" s="44">
        <v>2.0</v>
      </c>
      <c r="D42" s="48">
        <v>29280.0</v>
      </c>
      <c r="E42" s="48">
        <f t="shared" si="1"/>
        <v>58560</v>
      </c>
      <c r="F42" s="51" t="s">
        <v>34</v>
      </c>
      <c r="G42" s="56" t="s">
        <v>111</v>
      </c>
      <c r="H42" s="41"/>
      <c r="I42" s="8"/>
    </row>
    <row r="43">
      <c r="B43" s="47" t="s">
        <v>113</v>
      </c>
      <c r="C43" s="65">
        <v>0.0</v>
      </c>
      <c r="D43" s="48">
        <v>24150.0</v>
      </c>
      <c r="E43" s="48">
        <f t="shared" si="1"/>
        <v>0</v>
      </c>
      <c r="F43" s="51" t="s">
        <v>34</v>
      </c>
      <c r="G43" s="56" t="s">
        <v>115</v>
      </c>
      <c r="H43" s="41"/>
      <c r="I43" s="8"/>
    </row>
    <row r="44">
      <c r="B44" s="47" t="s">
        <v>116</v>
      </c>
      <c r="C44" s="65">
        <v>0.0</v>
      </c>
      <c r="D44" s="45">
        <v>25250.0</v>
      </c>
      <c r="E44" s="48">
        <f t="shared" si="1"/>
        <v>0</v>
      </c>
      <c r="F44" s="51" t="s">
        <v>34</v>
      </c>
      <c r="G44" s="56" t="s">
        <v>117</v>
      </c>
      <c r="H44" s="41"/>
      <c r="I44" s="8"/>
    </row>
    <row r="45">
      <c r="B45" s="47" t="s">
        <v>118</v>
      </c>
      <c r="C45" s="65">
        <v>0.0</v>
      </c>
      <c r="D45" s="48">
        <v>4750.0</v>
      </c>
      <c r="E45" s="48">
        <f t="shared" si="1"/>
        <v>0</v>
      </c>
      <c r="F45" s="51" t="s">
        <v>34</v>
      </c>
      <c r="G45" s="56" t="s">
        <v>119</v>
      </c>
      <c r="H45" s="41"/>
      <c r="I45" s="8"/>
    </row>
    <row r="46">
      <c r="B46" s="43" t="s">
        <v>121</v>
      </c>
      <c r="C46" s="65">
        <v>1.0</v>
      </c>
      <c r="D46" s="45">
        <v>62800.0</v>
      </c>
      <c r="E46" s="48">
        <f t="shared" si="1"/>
        <v>62800</v>
      </c>
      <c r="F46" s="51" t="s">
        <v>34</v>
      </c>
      <c r="G46" s="53" t="s">
        <v>122</v>
      </c>
      <c r="H46" s="41"/>
      <c r="I46" s="8"/>
    </row>
    <row r="47">
      <c r="B47" s="43" t="s">
        <v>124</v>
      </c>
      <c r="C47" s="65">
        <v>1.0</v>
      </c>
      <c r="D47" s="45">
        <v>32800.0</v>
      </c>
      <c r="E47" s="48">
        <f t="shared" si="1"/>
        <v>32800</v>
      </c>
      <c r="F47" s="51" t="s">
        <v>34</v>
      </c>
      <c r="G47" s="53" t="s">
        <v>125</v>
      </c>
      <c r="H47" s="41"/>
      <c r="I47" s="8"/>
    </row>
    <row r="48">
      <c r="B48" s="43" t="s">
        <v>126</v>
      </c>
      <c r="C48" s="65">
        <v>1.0</v>
      </c>
      <c r="D48" s="45">
        <v>15000.0</v>
      </c>
      <c r="E48" s="48">
        <f t="shared" si="1"/>
        <v>15000</v>
      </c>
      <c r="F48" s="51" t="s">
        <v>34</v>
      </c>
      <c r="G48" s="53" t="s">
        <v>127</v>
      </c>
      <c r="H48" s="41"/>
      <c r="I48" s="8"/>
    </row>
    <row r="49">
      <c r="B49" s="43" t="s">
        <v>128</v>
      </c>
      <c r="C49" s="65">
        <v>1.0</v>
      </c>
      <c r="D49" s="45">
        <v>9200.0</v>
      </c>
      <c r="E49" s="48">
        <f t="shared" si="1"/>
        <v>9200</v>
      </c>
      <c r="F49" s="51" t="s">
        <v>34</v>
      </c>
      <c r="G49" s="53" t="s">
        <v>129</v>
      </c>
      <c r="H49" s="41"/>
      <c r="I49" s="8"/>
    </row>
    <row r="50">
      <c r="B50" s="43" t="s">
        <v>130</v>
      </c>
      <c r="C50" s="65">
        <v>1.0</v>
      </c>
      <c r="D50" s="45">
        <v>9200.0</v>
      </c>
      <c r="E50" s="48">
        <f t="shared" si="1"/>
        <v>9200</v>
      </c>
      <c r="F50" s="51" t="s">
        <v>34</v>
      </c>
      <c r="G50" s="53" t="s">
        <v>131</v>
      </c>
      <c r="H50" s="41"/>
      <c r="I50" s="8"/>
    </row>
    <row r="51">
      <c r="B51" s="43" t="s">
        <v>132</v>
      </c>
      <c r="C51" s="65">
        <v>1.0</v>
      </c>
      <c r="D51" s="45">
        <v>9800.0</v>
      </c>
      <c r="E51" s="48">
        <f t="shared" si="1"/>
        <v>9800</v>
      </c>
      <c r="F51" s="51" t="s">
        <v>34</v>
      </c>
      <c r="G51" s="53" t="s">
        <v>133</v>
      </c>
      <c r="H51" s="41"/>
      <c r="I51" s="8"/>
    </row>
    <row r="52">
      <c r="B52" s="43" t="s">
        <v>134</v>
      </c>
      <c r="C52" s="65">
        <v>5.0</v>
      </c>
      <c r="D52" s="45">
        <v>12000.0</v>
      </c>
      <c r="E52" s="48">
        <f t="shared" si="1"/>
        <v>60000</v>
      </c>
      <c r="F52" s="65" t="s">
        <v>135</v>
      </c>
      <c r="G52" s="53" t="s">
        <v>136</v>
      </c>
      <c r="H52" s="41"/>
      <c r="I52" s="8"/>
    </row>
    <row r="53">
      <c r="B53" s="84"/>
      <c r="C53" s="85"/>
      <c r="D53" s="85"/>
      <c r="E53" s="85"/>
      <c r="F53" s="85"/>
      <c r="G53" s="8"/>
      <c r="H53" s="41"/>
      <c r="I53" s="8"/>
    </row>
    <row r="54">
      <c r="B54" s="84" t="s">
        <v>137</v>
      </c>
      <c r="C54" s="85"/>
      <c r="D54" s="85"/>
      <c r="E54" s="86">
        <f>SUM(E8:E52)</f>
        <v>1734310</v>
      </c>
      <c r="F54" s="85"/>
      <c r="G54" s="8"/>
      <c r="H54" s="41"/>
      <c r="I54" s="8"/>
    </row>
    <row r="55">
      <c r="B55" s="50" t="s">
        <v>138</v>
      </c>
      <c r="C55" s="61"/>
      <c r="D55" s="61"/>
      <c r="E55" s="48">
        <f>SUM(E8:E10,E39)</f>
        <v>1004500</v>
      </c>
      <c r="F55" s="85"/>
      <c r="G55" s="8"/>
      <c r="H55" s="41"/>
      <c r="I55" s="8"/>
    </row>
    <row r="56">
      <c r="B56" s="84" t="s">
        <v>139</v>
      </c>
      <c r="C56" s="85"/>
      <c r="D56" s="85"/>
      <c r="E56" s="87">
        <f>13000*50</f>
        <v>650000</v>
      </c>
      <c r="F56" s="85"/>
      <c r="G56" s="8"/>
      <c r="H56" s="41"/>
      <c r="I56" s="8"/>
    </row>
    <row r="57">
      <c r="B57" s="91" t="s">
        <v>143</v>
      </c>
      <c r="C57" s="85"/>
      <c r="D57" s="85"/>
      <c r="E57" s="86">
        <f>E54-E55-E56</f>
        <v>79810</v>
      </c>
      <c r="F57" s="85"/>
      <c r="G57" s="8"/>
      <c r="H57" s="41"/>
    </row>
    <row r="58">
      <c r="B58" s="88"/>
      <c r="C58" s="85"/>
      <c r="D58" s="85"/>
      <c r="E58" s="85"/>
      <c r="F58" s="85"/>
      <c r="G58" s="8"/>
      <c r="H58" s="41"/>
    </row>
    <row r="59">
      <c r="B59" s="89" t="s">
        <v>141</v>
      </c>
      <c r="E59" s="90"/>
      <c r="F59" s="85"/>
      <c r="G59" s="8"/>
      <c r="H59" s="41"/>
    </row>
    <row r="60">
      <c r="B60" s="84" t="s">
        <v>142</v>
      </c>
      <c r="C60" s="85"/>
      <c r="D60" s="85"/>
      <c r="E60" s="85"/>
      <c r="F60" s="85"/>
      <c r="G60" s="8"/>
      <c r="H60" s="41"/>
    </row>
    <row r="61">
      <c r="B61" s="88"/>
      <c r="C61" s="85"/>
      <c r="D61" s="85"/>
      <c r="E61" s="85"/>
      <c r="F61" s="85"/>
      <c r="G61" s="8"/>
      <c r="H61" s="41"/>
    </row>
    <row r="62">
      <c r="B62" s="88"/>
      <c r="C62" s="85"/>
      <c r="D62" s="85"/>
      <c r="E62" s="85"/>
      <c r="F62" s="85"/>
      <c r="G62" s="8"/>
      <c r="H62" s="41"/>
    </row>
    <row r="63">
      <c r="B63" s="92"/>
      <c r="C63" s="93"/>
      <c r="D63" s="93"/>
      <c r="E63" s="93"/>
      <c r="F63" s="93"/>
      <c r="G63" s="94"/>
      <c r="H63" s="28"/>
    </row>
  </sheetData>
  <mergeCells count="67">
    <mergeCell ref="G47:H47"/>
    <mergeCell ref="G48:H48"/>
    <mergeCell ref="G49:H49"/>
    <mergeCell ref="G50:H50"/>
    <mergeCell ref="G51:H51"/>
    <mergeCell ref="G52:H52"/>
    <mergeCell ref="G53:H53"/>
    <mergeCell ref="G60:H60"/>
    <mergeCell ref="G61:H61"/>
    <mergeCell ref="G62:H62"/>
    <mergeCell ref="G63:H63"/>
    <mergeCell ref="G54:H54"/>
    <mergeCell ref="G55:H55"/>
    <mergeCell ref="G56:H56"/>
    <mergeCell ref="G57:H57"/>
    <mergeCell ref="G58:H58"/>
    <mergeCell ref="B59:E59"/>
    <mergeCell ref="G59:H59"/>
    <mergeCell ref="B2:E3"/>
    <mergeCell ref="C4:E4"/>
    <mergeCell ref="G4:H4"/>
    <mergeCell ref="B5:B6"/>
    <mergeCell ref="C5:C6"/>
    <mergeCell ref="D5:D6"/>
    <mergeCell ref="E5:E6"/>
    <mergeCell ref="F5:F6"/>
    <mergeCell ref="G5:H6"/>
    <mergeCell ref="G7:H7"/>
    <mergeCell ref="G8:H8"/>
    <mergeCell ref="G9:H9"/>
    <mergeCell ref="G10:H10"/>
    <mergeCell ref="G11:H11"/>
    <mergeCell ref="G12:H12"/>
    <mergeCell ref="G13:H13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36:H36"/>
    <mergeCell ref="G37:H37"/>
    <mergeCell ref="G38:H38"/>
    <mergeCell ref="G39:H39"/>
    <mergeCell ref="G40:H40"/>
    <mergeCell ref="G41:H41"/>
    <mergeCell ref="G42:H42"/>
    <mergeCell ref="G43:H43"/>
    <mergeCell ref="G44:H44"/>
    <mergeCell ref="G45:H45"/>
    <mergeCell ref="G46:H46"/>
  </mergeCells>
  <hyperlinks>
    <hyperlink r:id="rId1" ref="G11"/>
    <hyperlink r:id="rId2" ref="G12"/>
    <hyperlink r:id="rId3" ref="G13"/>
    <hyperlink r:id="rId4" ref="G14"/>
    <hyperlink r:id="rId5" ref="G15"/>
    <hyperlink r:id="rId6" ref="G16"/>
    <hyperlink r:id="rId7" ref="G17"/>
    <hyperlink r:id="rId8" ref="G18"/>
    <hyperlink r:id="rId9" ref="G19"/>
    <hyperlink r:id="rId10" ref="G20"/>
    <hyperlink r:id="rId11" ref="G21"/>
    <hyperlink r:id="rId12" ref="G22"/>
    <hyperlink r:id="rId13" ref="G24"/>
    <hyperlink r:id="rId14" ref="G25"/>
    <hyperlink r:id="rId15" ref="G26"/>
    <hyperlink r:id="rId16" ref="G27"/>
    <hyperlink r:id="rId17" ref="G28"/>
    <hyperlink r:id="rId18" ref="G29"/>
    <hyperlink r:id="rId19" ref="G30"/>
    <hyperlink r:id="rId20" ref="G31"/>
    <hyperlink r:id="rId21" ref="G32"/>
    <hyperlink r:id="rId22" ref="J32"/>
    <hyperlink r:id="rId23" ref="G33"/>
    <hyperlink r:id="rId24" ref="G34"/>
    <hyperlink r:id="rId25" ref="G35"/>
    <hyperlink r:id="rId26" ref="G36"/>
    <hyperlink r:id="rId27" ref="G37"/>
    <hyperlink r:id="rId28" ref="G39"/>
    <hyperlink r:id="rId29" ref="G40"/>
    <hyperlink r:id="rId30" ref="G41"/>
    <hyperlink r:id="rId31" ref="G42"/>
    <hyperlink r:id="rId32" ref="G43"/>
    <hyperlink r:id="rId33" ref="G44"/>
    <hyperlink r:id="rId34" ref="G45"/>
    <hyperlink r:id="rId35" ref="G46"/>
    <hyperlink r:id="rId36" ref="G47"/>
    <hyperlink r:id="rId37" ref="G48"/>
    <hyperlink r:id="rId38" ref="G49"/>
    <hyperlink r:id="rId39" ref="G50"/>
    <hyperlink r:id="rId40" ref="G51"/>
    <hyperlink r:id="rId41" ref="G52"/>
  </hyperlinks>
  <drawing r:id="rId4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3.5"/>
    <col customWidth="1" min="5" max="5" width="11.5"/>
    <col customWidth="1" min="8" max="8" width="70.38"/>
  </cols>
  <sheetData>
    <row r="1">
      <c r="B1" s="1" t="s">
        <v>1</v>
      </c>
    </row>
    <row r="2">
      <c r="B2" s="2" t="s">
        <v>0</v>
      </c>
      <c r="C2" s="3"/>
      <c r="D2" s="3"/>
      <c r="E2" s="4"/>
      <c r="F2" s="5" t="s">
        <v>2</v>
      </c>
      <c r="G2" s="6" t="s">
        <v>3</v>
      </c>
      <c r="H2" s="7" t="s">
        <v>4</v>
      </c>
      <c r="I2" s="8"/>
    </row>
    <row r="3">
      <c r="B3" s="9"/>
      <c r="C3" s="10"/>
      <c r="D3" s="10"/>
      <c r="E3" s="11"/>
      <c r="F3" s="12"/>
      <c r="G3" s="13"/>
      <c r="H3" s="14"/>
      <c r="I3" s="8"/>
    </row>
    <row r="4">
      <c r="B4" s="15" t="s">
        <v>5</v>
      </c>
      <c r="C4" s="16" t="s">
        <v>6</v>
      </c>
      <c r="D4" s="17"/>
      <c r="E4" s="18"/>
      <c r="F4" s="19" t="s">
        <v>7</v>
      </c>
      <c r="G4" s="20" t="s">
        <v>144</v>
      </c>
      <c r="H4" s="21"/>
      <c r="I4" s="8"/>
    </row>
    <row r="5">
      <c r="B5" s="15" t="s">
        <v>12</v>
      </c>
      <c r="C5" s="22">
        <v>45920.0</v>
      </c>
      <c r="D5" s="23" t="s">
        <v>13</v>
      </c>
      <c r="E5" s="24" t="s">
        <v>14</v>
      </c>
      <c r="F5" s="23" t="s">
        <v>15</v>
      </c>
      <c r="G5" s="20" t="s">
        <v>16</v>
      </c>
      <c r="H5" s="21"/>
      <c r="I5" s="8"/>
    </row>
    <row r="6">
      <c r="B6" s="25"/>
      <c r="C6" s="26"/>
      <c r="D6" s="26"/>
      <c r="E6" s="26"/>
      <c r="F6" s="26"/>
      <c r="G6" s="27"/>
      <c r="H6" s="28"/>
      <c r="I6" s="8"/>
    </row>
    <row r="7">
      <c r="B7" s="29" t="s">
        <v>17</v>
      </c>
      <c r="C7" s="30" t="s">
        <v>18</v>
      </c>
      <c r="D7" s="30" t="s">
        <v>19</v>
      </c>
      <c r="E7" s="31" t="s">
        <v>20</v>
      </c>
      <c r="F7" s="32" t="s">
        <v>21</v>
      </c>
      <c r="G7" s="33" t="s">
        <v>22</v>
      </c>
      <c r="H7" s="34"/>
      <c r="I7" s="8"/>
    </row>
    <row r="8">
      <c r="B8" s="35" t="s">
        <v>23</v>
      </c>
      <c r="C8" s="36">
        <v>50.0</v>
      </c>
      <c r="D8" s="42">
        <v>10000.0</v>
      </c>
      <c r="E8" s="37">
        <f t="shared" ref="E8:E52" si="1">C8*D8</f>
        <v>500000</v>
      </c>
      <c r="F8" s="38" t="s">
        <v>24</v>
      </c>
      <c r="G8" s="39"/>
      <c r="H8" s="41"/>
      <c r="I8" s="8"/>
    </row>
    <row r="9">
      <c r="B9" s="43" t="s">
        <v>26</v>
      </c>
      <c r="C9" s="44">
        <v>45.0</v>
      </c>
      <c r="D9" s="45">
        <v>10000.0</v>
      </c>
      <c r="E9" s="48">
        <f t="shared" si="1"/>
        <v>450000</v>
      </c>
      <c r="F9" s="44" t="s">
        <v>24</v>
      </c>
      <c r="G9" s="49"/>
      <c r="H9" s="41"/>
      <c r="I9" s="8"/>
    </row>
    <row r="10">
      <c r="B10" s="50" t="s">
        <v>27</v>
      </c>
      <c r="C10" s="44">
        <v>5.0</v>
      </c>
      <c r="D10" s="48">
        <v>10900.0</v>
      </c>
      <c r="E10" s="48">
        <f t="shared" si="1"/>
        <v>54500</v>
      </c>
      <c r="F10" s="52" t="s">
        <v>28</v>
      </c>
      <c r="G10" s="49"/>
      <c r="H10" s="41"/>
      <c r="I10" s="46" t="s">
        <v>29</v>
      </c>
    </row>
    <row r="11">
      <c r="B11" s="50" t="s">
        <v>30</v>
      </c>
      <c r="C11" s="44">
        <v>4.0</v>
      </c>
      <c r="D11" s="45">
        <v>6500.0</v>
      </c>
      <c r="E11" s="48">
        <f t="shared" si="1"/>
        <v>26000</v>
      </c>
      <c r="F11" s="51" t="s">
        <v>31</v>
      </c>
      <c r="G11" s="53" t="s">
        <v>32</v>
      </c>
      <c r="H11" s="41"/>
      <c r="I11" s="8"/>
    </row>
    <row r="12">
      <c r="B12" s="47" t="s">
        <v>33</v>
      </c>
      <c r="C12" s="44">
        <v>0.0</v>
      </c>
      <c r="D12" s="48">
        <v>3690.0</v>
      </c>
      <c r="E12" s="48">
        <f t="shared" si="1"/>
        <v>0</v>
      </c>
      <c r="F12" s="52" t="s">
        <v>34</v>
      </c>
      <c r="G12" s="54" t="s">
        <v>35</v>
      </c>
      <c r="H12" s="41"/>
      <c r="I12" s="8"/>
    </row>
    <row r="13">
      <c r="B13" s="43" t="s">
        <v>36</v>
      </c>
      <c r="C13" s="44">
        <v>1.0</v>
      </c>
      <c r="D13" s="48">
        <v>37490.0</v>
      </c>
      <c r="E13" s="48">
        <f t="shared" si="1"/>
        <v>37490</v>
      </c>
      <c r="F13" s="52" t="s">
        <v>34</v>
      </c>
      <c r="G13" s="55" t="s">
        <v>38</v>
      </c>
      <c r="H13" s="41"/>
      <c r="I13" s="8"/>
    </row>
    <row r="14">
      <c r="B14" s="43" t="s">
        <v>39</v>
      </c>
      <c r="C14" s="44">
        <v>2.0</v>
      </c>
      <c r="D14" s="48">
        <v>27710.0</v>
      </c>
      <c r="E14" s="48">
        <f t="shared" si="1"/>
        <v>55420</v>
      </c>
      <c r="F14" s="52" t="s">
        <v>34</v>
      </c>
      <c r="G14" s="56" t="s">
        <v>147</v>
      </c>
      <c r="H14" s="41"/>
      <c r="I14" s="8"/>
    </row>
    <row r="15">
      <c r="B15" s="43" t="s">
        <v>49</v>
      </c>
      <c r="C15" s="44">
        <v>2.0</v>
      </c>
      <c r="D15" s="48">
        <v>29300.0</v>
      </c>
      <c r="E15" s="48">
        <f t="shared" si="1"/>
        <v>58600</v>
      </c>
      <c r="F15" s="52" t="s">
        <v>34</v>
      </c>
      <c r="G15" s="55" t="s">
        <v>44</v>
      </c>
      <c r="H15" s="41"/>
      <c r="I15" s="8"/>
    </row>
    <row r="16">
      <c r="B16" s="47" t="s">
        <v>46</v>
      </c>
      <c r="C16" s="44">
        <v>0.0</v>
      </c>
      <c r="D16" s="48">
        <v>3900.0</v>
      </c>
      <c r="E16" s="48">
        <f t="shared" si="1"/>
        <v>0</v>
      </c>
      <c r="F16" s="52" t="s">
        <v>34</v>
      </c>
      <c r="G16" s="55" t="s">
        <v>47</v>
      </c>
      <c r="H16" s="41"/>
      <c r="I16" s="8"/>
    </row>
    <row r="17">
      <c r="B17" s="47" t="s">
        <v>48</v>
      </c>
      <c r="C17" s="44">
        <v>0.0</v>
      </c>
      <c r="D17" s="48">
        <v>3266.0</v>
      </c>
      <c r="E17" s="48">
        <f t="shared" si="1"/>
        <v>0</v>
      </c>
      <c r="F17" s="52" t="s">
        <v>34</v>
      </c>
      <c r="G17" s="57" t="s">
        <v>50</v>
      </c>
      <c r="H17" s="41"/>
      <c r="I17" s="8"/>
    </row>
    <row r="18">
      <c r="B18" s="43" t="s">
        <v>55</v>
      </c>
      <c r="C18" s="44">
        <v>1.0</v>
      </c>
      <c r="D18" s="45">
        <v>7500.0</v>
      </c>
      <c r="E18" s="48">
        <f t="shared" si="1"/>
        <v>7500</v>
      </c>
      <c r="F18" s="52" t="s">
        <v>34</v>
      </c>
      <c r="G18" s="57" t="s">
        <v>52</v>
      </c>
      <c r="H18" s="41"/>
      <c r="I18" s="8"/>
    </row>
    <row r="19">
      <c r="B19" s="43" t="s">
        <v>59</v>
      </c>
      <c r="C19" s="44">
        <v>1.0</v>
      </c>
      <c r="D19" s="48">
        <v>11900.0</v>
      </c>
      <c r="E19" s="48">
        <f t="shared" si="1"/>
        <v>11900</v>
      </c>
      <c r="F19" s="52" t="s">
        <v>34</v>
      </c>
      <c r="G19" s="58" t="s">
        <v>54</v>
      </c>
      <c r="H19" s="41"/>
      <c r="I19" s="8"/>
    </row>
    <row r="20">
      <c r="B20" s="43" t="s">
        <v>63</v>
      </c>
      <c r="C20" s="44">
        <v>1.0</v>
      </c>
      <c r="D20" s="45">
        <v>9100.0</v>
      </c>
      <c r="E20" s="48">
        <f t="shared" si="1"/>
        <v>9100</v>
      </c>
      <c r="F20" s="52" t="s">
        <v>34</v>
      </c>
      <c r="G20" s="55" t="s">
        <v>58</v>
      </c>
      <c r="H20" s="41"/>
      <c r="I20" s="8"/>
    </row>
    <row r="21">
      <c r="B21" s="47" t="s">
        <v>60</v>
      </c>
      <c r="C21" s="44">
        <v>0.0</v>
      </c>
      <c r="D21" s="48">
        <v>9820.0</v>
      </c>
      <c r="E21" s="48">
        <f t="shared" si="1"/>
        <v>0</v>
      </c>
      <c r="F21" s="52" t="s">
        <v>34</v>
      </c>
      <c r="G21" s="55" t="s">
        <v>61</v>
      </c>
      <c r="H21" s="41"/>
      <c r="I21" s="8"/>
    </row>
    <row r="22">
      <c r="B22" s="50" t="s">
        <v>62</v>
      </c>
      <c r="C22" s="59">
        <v>1.0</v>
      </c>
      <c r="D22" s="45">
        <v>98000.0</v>
      </c>
      <c r="E22" s="48">
        <f t="shared" si="1"/>
        <v>98000</v>
      </c>
      <c r="F22" s="52" t="s">
        <v>64</v>
      </c>
      <c r="G22" s="60" t="s">
        <v>65</v>
      </c>
      <c r="H22" s="41"/>
      <c r="I22" s="8"/>
    </row>
    <row r="23">
      <c r="B23" s="43" t="s">
        <v>66</v>
      </c>
      <c r="C23" s="61"/>
      <c r="D23" s="62"/>
      <c r="E23" s="48">
        <f t="shared" si="1"/>
        <v>0</v>
      </c>
      <c r="F23" s="61"/>
      <c r="G23" s="49"/>
      <c r="H23" s="41"/>
      <c r="I23" s="8"/>
    </row>
    <row r="24">
      <c r="B24" s="64" t="s">
        <v>67</v>
      </c>
      <c r="C24" s="44">
        <v>0.0</v>
      </c>
      <c r="D24" s="45">
        <v>35520.0</v>
      </c>
      <c r="E24" s="48">
        <f t="shared" si="1"/>
        <v>0</v>
      </c>
      <c r="F24" s="44" t="s">
        <v>34</v>
      </c>
      <c r="G24" s="58" t="s">
        <v>68</v>
      </c>
      <c r="H24" s="41"/>
      <c r="I24" s="8"/>
    </row>
    <row r="25">
      <c r="B25" s="50" t="s">
        <v>69</v>
      </c>
      <c r="C25" s="44">
        <v>3.0</v>
      </c>
      <c r="D25" s="48">
        <v>12000.0</v>
      </c>
      <c r="E25" s="48">
        <f t="shared" si="1"/>
        <v>36000</v>
      </c>
      <c r="F25" s="52" t="s">
        <v>64</v>
      </c>
      <c r="G25" s="55" t="s">
        <v>70</v>
      </c>
      <c r="H25" s="41"/>
      <c r="I25" s="8"/>
    </row>
    <row r="26">
      <c r="B26" s="50" t="s">
        <v>71</v>
      </c>
      <c r="C26" s="44">
        <v>1.0</v>
      </c>
      <c r="D26" s="48">
        <v>48800.0</v>
      </c>
      <c r="E26" s="48">
        <f t="shared" si="1"/>
        <v>48800</v>
      </c>
      <c r="F26" s="52" t="s">
        <v>34</v>
      </c>
      <c r="G26" s="56" t="s">
        <v>72</v>
      </c>
      <c r="H26" s="41"/>
      <c r="I26" s="8"/>
    </row>
    <row r="27">
      <c r="B27" s="50" t="s">
        <v>73</v>
      </c>
      <c r="C27" s="44">
        <v>1.0</v>
      </c>
      <c r="D27" s="48">
        <v>5500.0</v>
      </c>
      <c r="E27" s="48">
        <f t="shared" si="1"/>
        <v>5500</v>
      </c>
      <c r="F27" s="52" t="s">
        <v>34</v>
      </c>
      <c r="G27" s="56" t="s">
        <v>74</v>
      </c>
      <c r="H27" s="41"/>
      <c r="I27" s="8"/>
    </row>
    <row r="28">
      <c r="B28" s="47" t="s">
        <v>75</v>
      </c>
      <c r="C28" s="44">
        <v>0.0</v>
      </c>
      <c r="D28" s="48">
        <v>5200.0</v>
      </c>
      <c r="E28" s="48">
        <f t="shared" si="1"/>
        <v>0</v>
      </c>
      <c r="F28" s="52" t="s">
        <v>34</v>
      </c>
      <c r="G28" s="56" t="s">
        <v>76</v>
      </c>
      <c r="H28" s="41"/>
      <c r="I28" s="8"/>
    </row>
    <row r="29">
      <c r="B29" s="50" t="s">
        <v>77</v>
      </c>
      <c r="C29" s="44">
        <v>1.0</v>
      </c>
      <c r="D29" s="48">
        <v>9210.0</v>
      </c>
      <c r="E29" s="48">
        <f t="shared" si="1"/>
        <v>9210</v>
      </c>
      <c r="F29" s="52" t="s">
        <v>34</v>
      </c>
      <c r="G29" s="56" t="s">
        <v>78</v>
      </c>
      <c r="H29" s="41"/>
      <c r="I29" s="8"/>
    </row>
    <row r="30">
      <c r="B30" s="50" t="s">
        <v>79</v>
      </c>
      <c r="C30" s="44">
        <v>1.0</v>
      </c>
      <c r="D30" s="48">
        <v>9210.0</v>
      </c>
      <c r="E30" s="48">
        <f t="shared" si="1"/>
        <v>9210</v>
      </c>
      <c r="F30" s="52" t="s">
        <v>34</v>
      </c>
      <c r="G30" s="55" t="s">
        <v>80</v>
      </c>
      <c r="H30" s="41"/>
      <c r="I30" s="8"/>
    </row>
    <row r="31">
      <c r="B31" s="43" t="s">
        <v>85</v>
      </c>
      <c r="C31" s="65">
        <v>0.0</v>
      </c>
      <c r="D31" s="45">
        <v>29900.0</v>
      </c>
      <c r="E31" s="48">
        <f t="shared" si="1"/>
        <v>0</v>
      </c>
      <c r="F31" s="65" t="s">
        <v>34</v>
      </c>
      <c r="G31" s="53" t="s">
        <v>82</v>
      </c>
      <c r="H31" s="41"/>
      <c r="I31" s="8"/>
    </row>
    <row r="32">
      <c r="B32" s="47" t="s">
        <v>83</v>
      </c>
      <c r="C32" s="44">
        <v>0.0</v>
      </c>
      <c r="D32" s="45">
        <v>9890.0</v>
      </c>
      <c r="E32" s="48">
        <f t="shared" si="1"/>
        <v>0</v>
      </c>
      <c r="F32" s="52" t="s">
        <v>34</v>
      </c>
      <c r="G32" s="55" t="s">
        <v>84</v>
      </c>
      <c r="H32" s="41"/>
      <c r="I32" s="8"/>
      <c r="J32" s="66" t="s">
        <v>86</v>
      </c>
    </row>
    <row r="33">
      <c r="B33" s="71" t="s">
        <v>87</v>
      </c>
      <c r="C33" s="68">
        <v>11.0</v>
      </c>
      <c r="D33" s="69">
        <v>690.0</v>
      </c>
      <c r="E33" s="48">
        <f t="shared" si="1"/>
        <v>7590</v>
      </c>
      <c r="F33" s="70" t="s">
        <v>34</v>
      </c>
      <c r="G33" s="72" t="s">
        <v>88</v>
      </c>
      <c r="H33" s="41"/>
      <c r="I33" s="8"/>
    </row>
    <row r="34">
      <c r="B34" s="71" t="s">
        <v>89</v>
      </c>
      <c r="C34" s="68">
        <v>11.0</v>
      </c>
      <c r="D34" s="69">
        <v>690.0</v>
      </c>
      <c r="E34" s="48">
        <f t="shared" si="1"/>
        <v>7590</v>
      </c>
      <c r="F34" s="70" t="s">
        <v>34</v>
      </c>
      <c r="G34" s="72" t="s">
        <v>90</v>
      </c>
      <c r="H34" s="41"/>
      <c r="I34" s="8"/>
    </row>
    <row r="35">
      <c r="B35" s="71" t="s">
        <v>91</v>
      </c>
      <c r="C35" s="68">
        <v>10.0</v>
      </c>
      <c r="D35" s="69">
        <v>690.0</v>
      </c>
      <c r="E35" s="48">
        <f t="shared" si="1"/>
        <v>6900</v>
      </c>
      <c r="F35" s="70" t="s">
        <v>34</v>
      </c>
      <c r="G35" s="72" t="s">
        <v>92</v>
      </c>
      <c r="H35" s="41"/>
      <c r="I35" s="8"/>
    </row>
    <row r="36">
      <c r="B36" s="71" t="s">
        <v>93</v>
      </c>
      <c r="C36" s="68">
        <v>10.0</v>
      </c>
      <c r="D36" s="69">
        <v>690.0</v>
      </c>
      <c r="E36" s="48">
        <f t="shared" si="1"/>
        <v>6900</v>
      </c>
      <c r="F36" s="70" t="s">
        <v>34</v>
      </c>
      <c r="G36" s="72" t="s">
        <v>94</v>
      </c>
      <c r="H36" s="41"/>
      <c r="I36" s="8"/>
    </row>
    <row r="37">
      <c r="B37" s="71" t="s">
        <v>95</v>
      </c>
      <c r="C37" s="68">
        <v>10.0</v>
      </c>
      <c r="D37" s="69">
        <v>690.0</v>
      </c>
      <c r="E37" s="48">
        <f t="shared" si="1"/>
        <v>6900</v>
      </c>
      <c r="F37" s="70" t="s">
        <v>34</v>
      </c>
      <c r="G37" s="72" t="s">
        <v>96</v>
      </c>
      <c r="H37" s="41"/>
      <c r="I37" s="8"/>
    </row>
    <row r="38">
      <c r="B38" s="67" t="s">
        <v>101</v>
      </c>
      <c r="C38" s="68">
        <v>0.0</v>
      </c>
      <c r="D38" s="74">
        <v>12400.0</v>
      </c>
      <c r="E38" s="48">
        <f t="shared" si="1"/>
        <v>0</v>
      </c>
      <c r="F38" s="75" t="s">
        <v>98</v>
      </c>
      <c r="G38" s="76"/>
      <c r="H38" s="41"/>
      <c r="I38" s="8"/>
    </row>
    <row r="39">
      <c r="B39" s="67" t="s">
        <v>103</v>
      </c>
      <c r="C39" s="68">
        <v>0.0</v>
      </c>
      <c r="D39" s="74">
        <v>12400.0</v>
      </c>
      <c r="E39" s="48">
        <f t="shared" si="1"/>
        <v>0</v>
      </c>
      <c r="F39" s="82" t="s">
        <v>98</v>
      </c>
      <c r="G39" s="83" t="s">
        <v>100</v>
      </c>
      <c r="H39" s="41"/>
      <c r="I39" s="8"/>
    </row>
    <row r="40">
      <c r="B40" s="47" t="s">
        <v>102</v>
      </c>
      <c r="C40" s="44">
        <v>0.0</v>
      </c>
      <c r="D40" s="48">
        <v>11600.0</v>
      </c>
      <c r="E40" s="48">
        <f t="shared" si="1"/>
        <v>0</v>
      </c>
      <c r="F40" s="52" t="s">
        <v>34</v>
      </c>
      <c r="G40" s="56" t="s">
        <v>149</v>
      </c>
      <c r="H40" s="41"/>
      <c r="I40" s="8"/>
    </row>
    <row r="41">
      <c r="B41" s="43" t="s">
        <v>108</v>
      </c>
      <c r="C41" s="44">
        <v>1.0</v>
      </c>
      <c r="D41" s="45">
        <v>23840.0</v>
      </c>
      <c r="E41" s="48">
        <f t="shared" si="1"/>
        <v>23840</v>
      </c>
      <c r="F41" s="52" t="s">
        <v>34</v>
      </c>
      <c r="G41" s="56" t="s">
        <v>150</v>
      </c>
      <c r="H41" s="41"/>
      <c r="I41" s="8"/>
    </row>
    <row r="42">
      <c r="B42" s="50" t="s">
        <v>109</v>
      </c>
      <c r="C42" s="44">
        <v>2.0</v>
      </c>
      <c r="D42" s="48">
        <v>29280.0</v>
      </c>
      <c r="E42" s="48">
        <f t="shared" si="1"/>
        <v>58560</v>
      </c>
      <c r="F42" s="51" t="s">
        <v>34</v>
      </c>
      <c r="G42" s="56" t="s">
        <v>111</v>
      </c>
      <c r="H42" s="41"/>
      <c r="I42" s="8"/>
    </row>
    <row r="43">
      <c r="B43" s="47" t="s">
        <v>113</v>
      </c>
      <c r="C43" s="65">
        <v>0.0</v>
      </c>
      <c r="D43" s="48">
        <v>24150.0</v>
      </c>
      <c r="E43" s="48">
        <f t="shared" si="1"/>
        <v>0</v>
      </c>
      <c r="F43" s="51" t="s">
        <v>34</v>
      </c>
      <c r="G43" s="56" t="s">
        <v>115</v>
      </c>
      <c r="H43" s="41"/>
      <c r="I43" s="8"/>
    </row>
    <row r="44">
      <c r="B44" s="47" t="s">
        <v>116</v>
      </c>
      <c r="C44" s="65">
        <v>0.0</v>
      </c>
      <c r="D44" s="45">
        <v>25250.0</v>
      </c>
      <c r="E44" s="48">
        <f t="shared" si="1"/>
        <v>0</v>
      </c>
      <c r="F44" s="51" t="s">
        <v>34</v>
      </c>
      <c r="G44" s="56" t="s">
        <v>117</v>
      </c>
      <c r="H44" s="41"/>
      <c r="I44" s="8"/>
    </row>
    <row r="45">
      <c r="B45" s="47" t="s">
        <v>118</v>
      </c>
      <c r="C45" s="65">
        <v>0.0</v>
      </c>
      <c r="D45" s="48">
        <v>4750.0</v>
      </c>
      <c r="E45" s="48">
        <f t="shared" si="1"/>
        <v>0</v>
      </c>
      <c r="F45" s="51" t="s">
        <v>34</v>
      </c>
      <c r="G45" s="56" t="s">
        <v>119</v>
      </c>
      <c r="H45" s="41"/>
      <c r="I45" s="8"/>
    </row>
    <row r="46">
      <c r="B46" s="43" t="s">
        <v>121</v>
      </c>
      <c r="C46" s="65">
        <v>1.0</v>
      </c>
      <c r="D46" s="45">
        <v>62800.0</v>
      </c>
      <c r="E46" s="48">
        <f t="shared" si="1"/>
        <v>62800</v>
      </c>
      <c r="F46" s="51" t="s">
        <v>34</v>
      </c>
      <c r="G46" s="53" t="s">
        <v>122</v>
      </c>
      <c r="H46" s="41"/>
      <c r="I46" s="8"/>
    </row>
    <row r="47">
      <c r="B47" s="43" t="s">
        <v>124</v>
      </c>
      <c r="C47" s="65">
        <v>1.0</v>
      </c>
      <c r="D47" s="45">
        <v>32800.0</v>
      </c>
      <c r="E47" s="48">
        <f t="shared" si="1"/>
        <v>32800</v>
      </c>
      <c r="F47" s="51" t="s">
        <v>34</v>
      </c>
      <c r="G47" s="53" t="s">
        <v>125</v>
      </c>
      <c r="H47" s="41"/>
      <c r="I47" s="8"/>
    </row>
    <row r="48">
      <c r="B48" s="43" t="s">
        <v>126</v>
      </c>
      <c r="C48" s="65">
        <v>1.0</v>
      </c>
      <c r="D48" s="45">
        <v>15000.0</v>
      </c>
      <c r="E48" s="48">
        <f t="shared" si="1"/>
        <v>15000</v>
      </c>
      <c r="F48" s="51" t="s">
        <v>34</v>
      </c>
      <c r="G48" s="53" t="s">
        <v>127</v>
      </c>
      <c r="H48" s="41"/>
      <c r="I48" s="8"/>
    </row>
    <row r="49">
      <c r="B49" s="43" t="s">
        <v>128</v>
      </c>
      <c r="C49" s="65">
        <v>1.0</v>
      </c>
      <c r="D49" s="45">
        <v>9200.0</v>
      </c>
      <c r="E49" s="48">
        <f t="shared" si="1"/>
        <v>9200</v>
      </c>
      <c r="F49" s="51" t="s">
        <v>34</v>
      </c>
      <c r="G49" s="53" t="s">
        <v>129</v>
      </c>
      <c r="H49" s="41"/>
      <c r="I49" s="8"/>
    </row>
    <row r="50">
      <c r="B50" s="43" t="s">
        <v>130</v>
      </c>
      <c r="C50" s="65">
        <v>1.0</v>
      </c>
      <c r="D50" s="45">
        <v>9200.0</v>
      </c>
      <c r="E50" s="48">
        <f t="shared" si="1"/>
        <v>9200</v>
      </c>
      <c r="F50" s="51" t="s">
        <v>34</v>
      </c>
      <c r="G50" s="53" t="s">
        <v>131</v>
      </c>
      <c r="H50" s="41"/>
      <c r="I50" s="8"/>
    </row>
    <row r="51">
      <c r="B51" s="43" t="s">
        <v>132</v>
      </c>
      <c r="C51" s="65">
        <v>1.0</v>
      </c>
      <c r="D51" s="45">
        <v>9800.0</v>
      </c>
      <c r="E51" s="48">
        <f t="shared" si="1"/>
        <v>9800</v>
      </c>
      <c r="F51" s="51" t="s">
        <v>34</v>
      </c>
      <c r="G51" s="53" t="s">
        <v>133</v>
      </c>
      <c r="H51" s="41"/>
      <c r="I51" s="8"/>
    </row>
    <row r="52">
      <c r="B52" s="43" t="s">
        <v>134</v>
      </c>
      <c r="C52" s="65">
        <v>5.0</v>
      </c>
      <c r="D52" s="45">
        <v>12000.0</v>
      </c>
      <c r="E52" s="48">
        <f t="shared" si="1"/>
        <v>60000</v>
      </c>
      <c r="F52" s="65" t="s">
        <v>135</v>
      </c>
      <c r="G52" s="53" t="s">
        <v>136</v>
      </c>
      <c r="H52" s="41"/>
      <c r="I52" s="8"/>
    </row>
    <row r="53">
      <c r="B53" s="84"/>
      <c r="C53" s="85"/>
      <c r="D53" s="85"/>
      <c r="E53" s="85"/>
      <c r="F53" s="85"/>
      <c r="G53" s="8"/>
      <c r="H53" s="41"/>
      <c r="I53" s="8"/>
    </row>
    <row r="54">
      <c r="B54" s="84" t="s">
        <v>137</v>
      </c>
      <c r="C54" s="85"/>
      <c r="D54" s="85"/>
      <c r="E54" s="86">
        <f>SUM(E8:E52)</f>
        <v>1734310</v>
      </c>
      <c r="F54" s="85"/>
      <c r="G54" s="8"/>
      <c r="H54" s="41"/>
      <c r="I54" s="8"/>
    </row>
    <row r="55">
      <c r="B55" s="50" t="s">
        <v>138</v>
      </c>
      <c r="C55" s="61"/>
      <c r="D55" s="61"/>
      <c r="E55" s="48">
        <f>SUM(E8)</f>
        <v>500000</v>
      </c>
      <c r="F55" s="85"/>
      <c r="G55" s="8"/>
      <c r="H55" s="41"/>
      <c r="I55" s="8"/>
    </row>
    <row r="56">
      <c r="B56" s="84" t="s">
        <v>139</v>
      </c>
      <c r="C56" s="85"/>
      <c r="D56" s="85"/>
      <c r="E56" s="87">
        <f>13000*50</f>
        <v>650000</v>
      </c>
      <c r="F56" s="85"/>
      <c r="G56" s="8"/>
      <c r="H56" s="41"/>
      <c r="I56" s="8"/>
    </row>
    <row r="57">
      <c r="B57" s="91" t="s">
        <v>143</v>
      </c>
      <c r="C57" s="85"/>
      <c r="D57" s="85"/>
      <c r="E57" s="86">
        <f>E54-E55-E56</f>
        <v>584310</v>
      </c>
      <c r="F57" s="85"/>
      <c r="G57" s="8"/>
      <c r="H57" s="41"/>
    </row>
    <row r="58">
      <c r="B58" s="88"/>
      <c r="C58" s="85"/>
      <c r="D58" s="85"/>
      <c r="E58" s="85"/>
      <c r="F58" s="85"/>
      <c r="G58" s="8"/>
      <c r="H58" s="41"/>
    </row>
    <row r="59">
      <c r="B59" s="89" t="s">
        <v>141</v>
      </c>
      <c r="E59" s="90"/>
      <c r="F59" s="85"/>
      <c r="G59" s="8"/>
      <c r="H59" s="41"/>
    </row>
    <row r="60">
      <c r="B60" s="84" t="s">
        <v>142</v>
      </c>
      <c r="C60" s="85"/>
      <c r="D60" s="85"/>
      <c r="E60" s="85"/>
      <c r="F60" s="85"/>
      <c r="G60" s="8"/>
      <c r="H60" s="41"/>
    </row>
    <row r="61">
      <c r="B61" s="88"/>
      <c r="C61" s="85"/>
      <c r="D61" s="85"/>
      <c r="E61" s="85"/>
      <c r="F61" s="85"/>
      <c r="G61" s="8"/>
      <c r="H61" s="41"/>
    </row>
    <row r="62">
      <c r="B62" s="88"/>
      <c r="C62" s="85"/>
      <c r="D62" s="85"/>
      <c r="E62" s="85"/>
      <c r="F62" s="85"/>
      <c r="G62" s="8"/>
      <c r="H62" s="41"/>
    </row>
    <row r="63">
      <c r="B63" s="92"/>
      <c r="C63" s="93"/>
      <c r="D63" s="93"/>
      <c r="E63" s="93"/>
      <c r="F63" s="93"/>
      <c r="G63" s="94"/>
      <c r="H63" s="28"/>
    </row>
  </sheetData>
  <mergeCells count="67">
    <mergeCell ref="G47:H47"/>
    <mergeCell ref="G48:H48"/>
    <mergeCell ref="G49:H49"/>
    <mergeCell ref="G50:H50"/>
    <mergeCell ref="G51:H51"/>
    <mergeCell ref="G52:H52"/>
    <mergeCell ref="G53:H53"/>
    <mergeCell ref="G60:H60"/>
    <mergeCell ref="G61:H61"/>
    <mergeCell ref="G62:H62"/>
    <mergeCell ref="G63:H63"/>
    <mergeCell ref="G54:H54"/>
    <mergeCell ref="G55:H55"/>
    <mergeCell ref="G56:H56"/>
    <mergeCell ref="G57:H57"/>
    <mergeCell ref="G58:H58"/>
    <mergeCell ref="B59:E59"/>
    <mergeCell ref="G59:H59"/>
    <mergeCell ref="B2:E3"/>
    <mergeCell ref="C4:E4"/>
    <mergeCell ref="G4:H4"/>
    <mergeCell ref="B5:B6"/>
    <mergeCell ref="C5:C6"/>
    <mergeCell ref="D5:D6"/>
    <mergeCell ref="E5:E6"/>
    <mergeCell ref="F5:F6"/>
    <mergeCell ref="G5:H6"/>
    <mergeCell ref="G7:H7"/>
    <mergeCell ref="G8:H8"/>
    <mergeCell ref="G9:H9"/>
    <mergeCell ref="G10:H10"/>
    <mergeCell ref="G11:H11"/>
    <mergeCell ref="G12:H12"/>
    <mergeCell ref="G13:H13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36:H36"/>
    <mergeCell ref="G37:H37"/>
    <mergeCell ref="G38:H38"/>
    <mergeCell ref="G39:H39"/>
    <mergeCell ref="G40:H40"/>
    <mergeCell ref="G41:H41"/>
    <mergeCell ref="G42:H42"/>
    <mergeCell ref="G43:H43"/>
    <mergeCell ref="G44:H44"/>
    <mergeCell ref="G45:H45"/>
    <mergeCell ref="G46:H46"/>
  </mergeCells>
  <hyperlinks>
    <hyperlink r:id="rId1" ref="G11"/>
    <hyperlink r:id="rId2" ref="G12"/>
    <hyperlink r:id="rId3" ref="G13"/>
    <hyperlink r:id="rId4" ref="G14"/>
    <hyperlink r:id="rId5" ref="G15"/>
    <hyperlink r:id="rId6" ref="G16"/>
    <hyperlink r:id="rId7" ref="G17"/>
    <hyperlink r:id="rId8" ref="G18"/>
    <hyperlink r:id="rId9" ref="G19"/>
    <hyperlink r:id="rId10" ref="G20"/>
    <hyperlink r:id="rId11" ref="G21"/>
    <hyperlink r:id="rId12" ref="G22"/>
    <hyperlink r:id="rId13" ref="G24"/>
    <hyperlink r:id="rId14" ref="G25"/>
    <hyperlink r:id="rId15" ref="G26"/>
    <hyperlink r:id="rId16" ref="G27"/>
    <hyperlink r:id="rId17" ref="G28"/>
    <hyperlink r:id="rId18" ref="G29"/>
    <hyperlink r:id="rId19" ref="G30"/>
    <hyperlink r:id="rId20" ref="G31"/>
    <hyperlink r:id="rId21" ref="G32"/>
    <hyperlink r:id="rId22" ref="J32"/>
    <hyperlink r:id="rId23" ref="G33"/>
    <hyperlink r:id="rId24" ref="G34"/>
    <hyperlink r:id="rId25" ref="G35"/>
    <hyperlink r:id="rId26" ref="G36"/>
    <hyperlink r:id="rId27" ref="G37"/>
    <hyperlink r:id="rId28" ref="G39"/>
    <hyperlink r:id="rId29" ref="G40"/>
    <hyperlink r:id="rId30" ref="G41"/>
    <hyperlink r:id="rId31" ref="G42"/>
    <hyperlink r:id="rId32" ref="G43"/>
    <hyperlink r:id="rId33" ref="G44"/>
    <hyperlink r:id="rId34" ref="G45"/>
    <hyperlink r:id="rId35" ref="G46"/>
    <hyperlink r:id="rId36" ref="G47"/>
    <hyperlink r:id="rId37" ref="G48"/>
    <hyperlink r:id="rId38" ref="G49"/>
    <hyperlink r:id="rId39" ref="G50"/>
    <hyperlink r:id="rId40" ref="G51"/>
    <hyperlink r:id="rId41" ref="G52"/>
  </hyperlinks>
  <drawing r:id="rId4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3.5"/>
    <col customWidth="1" min="5" max="5" width="11.5"/>
    <col customWidth="1" min="8" max="8" width="70.38"/>
  </cols>
  <sheetData>
    <row r="1">
      <c r="B1" s="1" t="s">
        <v>145</v>
      </c>
    </row>
    <row r="2">
      <c r="B2" s="2" t="s">
        <v>0</v>
      </c>
      <c r="C2" s="3"/>
      <c r="D2" s="3"/>
      <c r="E2" s="4"/>
      <c r="F2" s="5" t="s">
        <v>2</v>
      </c>
      <c r="G2" s="6" t="s">
        <v>3</v>
      </c>
      <c r="H2" s="7" t="s">
        <v>4</v>
      </c>
      <c r="I2" s="8"/>
    </row>
    <row r="3">
      <c r="B3" s="9"/>
      <c r="C3" s="10"/>
      <c r="D3" s="10"/>
      <c r="E3" s="11"/>
      <c r="F3" s="12"/>
      <c r="G3" s="13"/>
      <c r="H3" s="14"/>
      <c r="I3" s="8"/>
    </row>
    <row r="4">
      <c r="B4" s="15" t="s">
        <v>5</v>
      </c>
      <c r="C4" s="16" t="s">
        <v>6</v>
      </c>
      <c r="D4" s="17"/>
      <c r="E4" s="18"/>
      <c r="F4" s="19" t="s">
        <v>7</v>
      </c>
      <c r="G4" s="20" t="s">
        <v>146</v>
      </c>
      <c r="H4" s="21"/>
      <c r="I4" s="8"/>
    </row>
    <row r="5">
      <c r="B5" s="15" t="s">
        <v>12</v>
      </c>
      <c r="C5" s="22">
        <v>45920.0</v>
      </c>
      <c r="D5" s="23" t="s">
        <v>13</v>
      </c>
      <c r="E5" s="24" t="s">
        <v>14</v>
      </c>
      <c r="F5" s="23" t="s">
        <v>15</v>
      </c>
      <c r="G5" s="20" t="s">
        <v>16</v>
      </c>
      <c r="H5" s="21"/>
      <c r="I5" s="8"/>
    </row>
    <row r="6">
      <c r="B6" s="25"/>
      <c r="C6" s="26"/>
      <c r="D6" s="26"/>
      <c r="E6" s="26"/>
      <c r="F6" s="26"/>
      <c r="G6" s="27"/>
      <c r="H6" s="28"/>
      <c r="I6" s="8"/>
    </row>
    <row r="7">
      <c r="B7" s="29" t="s">
        <v>17</v>
      </c>
      <c r="C7" s="30" t="s">
        <v>18</v>
      </c>
      <c r="D7" s="30" t="s">
        <v>19</v>
      </c>
      <c r="E7" s="31" t="s">
        <v>20</v>
      </c>
      <c r="F7" s="32" t="s">
        <v>21</v>
      </c>
      <c r="G7" s="33" t="s">
        <v>22</v>
      </c>
      <c r="H7" s="34"/>
      <c r="I7" s="8"/>
    </row>
    <row r="8">
      <c r="B8" s="35" t="s">
        <v>23</v>
      </c>
      <c r="C8" s="36">
        <v>50.0</v>
      </c>
      <c r="D8" s="37">
        <v>5200.0</v>
      </c>
      <c r="E8" s="37">
        <f t="shared" ref="E8:E52" si="1">C8*D8</f>
        <v>260000</v>
      </c>
      <c r="F8" s="38" t="s">
        <v>24</v>
      </c>
      <c r="G8" s="39"/>
      <c r="H8" s="41"/>
      <c r="I8" s="8"/>
    </row>
    <row r="9">
      <c r="B9" s="35" t="s">
        <v>26</v>
      </c>
      <c r="C9" s="36">
        <v>25.0</v>
      </c>
      <c r="D9" s="42">
        <v>5200.0</v>
      </c>
      <c r="E9" s="37">
        <f t="shared" si="1"/>
        <v>130000</v>
      </c>
      <c r="F9" s="36" t="s">
        <v>24</v>
      </c>
      <c r="G9" s="39"/>
      <c r="H9" s="41"/>
      <c r="I9" s="8"/>
    </row>
    <row r="10">
      <c r="B10" s="40" t="s">
        <v>27</v>
      </c>
      <c r="C10" s="36">
        <v>5.0</v>
      </c>
      <c r="D10" s="37">
        <v>10900.0</v>
      </c>
      <c r="E10" s="37">
        <f t="shared" si="1"/>
        <v>54500</v>
      </c>
      <c r="F10" s="38" t="s">
        <v>28</v>
      </c>
      <c r="G10" s="39"/>
      <c r="H10" s="41"/>
      <c r="I10" s="46" t="s">
        <v>29</v>
      </c>
    </row>
    <row r="11">
      <c r="B11" s="50" t="s">
        <v>30</v>
      </c>
      <c r="C11" s="44">
        <v>4.0</v>
      </c>
      <c r="D11" s="45">
        <v>6500.0</v>
      </c>
      <c r="E11" s="48">
        <f t="shared" si="1"/>
        <v>26000</v>
      </c>
      <c r="F11" s="51" t="s">
        <v>31</v>
      </c>
      <c r="G11" s="53" t="s">
        <v>32</v>
      </c>
      <c r="H11" s="41"/>
      <c r="I11" s="8"/>
    </row>
    <row r="12">
      <c r="B12" s="47" t="s">
        <v>33</v>
      </c>
      <c r="C12" s="44">
        <v>0.0</v>
      </c>
      <c r="D12" s="48">
        <v>3690.0</v>
      </c>
      <c r="E12" s="48">
        <f t="shared" si="1"/>
        <v>0</v>
      </c>
      <c r="F12" s="52" t="s">
        <v>34</v>
      </c>
      <c r="G12" s="54" t="s">
        <v>35</v>
      </c>
      <c r="H12" s="41"/>
      <c r="I12" s="8"/>
    </row>
    <row r="13">
      <c r="B13" s="43" t="s">
        <v>36</v>
      </c>
      <c r="C13" s="44">
        <v>1.0</v>
      </c>
      <c r="D13" s="48">
        <v>37490.0</v>
      </c>
      <c r="E13" s="48">
        <f t="shared" si="1"/>
        <v>37490</v>
      </c>
      <c r="F13" s="52" t="s">
        <v>34</v>
      </c>
      <c r="G13" s="55" t="s">
        <v>38</v>
      </c>
      <c r="H13" s="41"/>
      <c r="I13" s="8"/>
    </row>
    <row r="14">
      <c r="B14" s="43" t="s">
        <v>39</v>
      </c>
      <c r="C14" s="44">
        <v>2.0</v>
      </c>
      <c r="D14" s="48">
        <v>27710.0</v>
      </c>
      <c r="E14" s="48">
        <f t="shared" si="1"/>
        <v>55420</v>
      </c>
      <c r="F14" s="52" t="s">
        <v>34</v>
      </c>
      <c r="G14" s="56" t="s">
        <v>148</v>
      </c>
      <c r="H14" s="41"/>
      <c r="I14" s="8"/>
    </row>
    <row r="15">
      <c r="B15" s="43" t="s">
        <v>49</v>
      </c>
      <c r="C15" s="44">
        <v>2.0</v>
      </c>
      <c r="D15" s="48">
        <v>29300.0</v>
      </c>
      <c r="E15" s="48">
        <f t="shared" si="1"/>
        <v>58600</v>
      </c>
      <c r="F15" s="52" t="s">
        <v>34</v>
      </c>
      <c r="G15" s="55" t="s">
        <v>44</v>
      </c>
      <c r="H15" s="41"/>
      <c r="I15" s="8"/>
    </row>
    <row r="16">
      <c r="B16" s="47" t="s">
        <v>46</v>
      </c>
      <c r="C16" s="44">
        <v>0.0</v>
      </c>
      <c r="D16" s="48">
        <v>3900.0</v>
      </c>
      <c r="E16" s="48">
        <f t="shared" si="1"/>
        <v>0</v>
      </c>
      <c r="F16" s="52" t="s">
        <v>34</v>
      </c>
      <c r="G16" s="55" t="s">
        <v>47</v>
      </c>
      <c r="H16" s="41"/>
      <c r="I16" s="8"/>
    </row>
    <row r="17">
      <c r="B17" s="47" t="s">
        <v>48</v>
      </c>
      <c r="C17" s="44">
        <v>0.0</v>
      </c>
      <c r="D17" s="48">
        <v>3266.0</v>
      </c>
      <c r="E17" s="48">
        <f t="shared" si="1"/>
        <v>0</v>
      </c>
      <c r="F17" s="52" t="s">
        <v>34</v>
      </c>
      <c r="G17" s="57" t="s">
        <v>50</v>
      </c>
      <c r="H17" s="41"/>
      <c r="I17" s="8"/>
    </row>
    <row r="18">
      <c r="B18" s="43" t="s">
        <v>55</v>
      </c>
      <c r="C18" s="44">
        <v>1.0</v>
      </c>
      <c r="D18" s="45">
        <v>7500.0</v>
      </c>
      <c r="E18" s="48">
        <f t="shared" si="1"/>
        <v>7500</v>
      </c>
      <c r="F18" s="52" t="s">
        <v>34</v>
      </c>
      <c r="G18" s="57" t="s">
        <v>52</v>
      </c>
      <c r="H18" s="41"/>
      <c r="I18" s="8"/>
    </row>
    <row r="19">
      <c r="B19" s="43" t="s">
        <v>59</v>
      </c>
      <c r="C19" s="44">
        <v>1.0</v>
      </c>
      <c r="D19" s="48">
        <v>11900.0</v>
      </c>
      <c r="E19" s="48">
        <f t="shared" si="1"/>
        <v>11900</v>
      </c>
      <c r="F19" s="52" t="s">
        <v>34</v>
      </c>
      <c r="G19" s="58" t="s">
        <v>54</v>
      </c>
      <c r="H19" s="41"/>
      <c r="I19" s="8"/>
    </row>
    <row r="20">
      <c r="B20" s="43" t="s">
        <v>63</v>
      </c>
      <c r="C20" s="44">
        <v>1.0</v>
      </c>
      <c r="D20" s="45">
        <v>9100.0</v>
      </c>
      <c r="E20" s="48">
        <f t="shared" si="1"/>
        <v>9100</v>
      </c>
      <c r="F20" s="52" t="s">
        <v>34</v>
      </c>
      <c r="G20" s="55" t="s">
        <v>58</v>
      </c>
      <c r="H20" s="41"/>
      <c r="I20" s="8"/>
    </row>
    <row r="21">
      <c r="B21" s="47" t="s">
        <v>60</v>
      </c>
      <c r="C21" s="44">
        <v>0.0</v>
      </c>
      <c r="D21" s="48">
        <v>9820.0</v>
      </c>
      <c r="E21" s="48">
        <f t="shared" si="1"/>
        <v>0</v>
      </c>
      <c r="F21" s="52" t="s">
        <v>34</v>
      </c>
      <c r="G21" s="55" t="s">
        <v>61</v>
      </c>
      <c r="H21" s="41"/>
      <c r="I21" s="8"/>
    </row>
    <row r="22">
      <c r="B22" s="50" t="s">
        <v>62</v>
      </c>
      <c r="C22" s="59">
        <v>1.0</v>
      </c>
      <c r="D22" s="45">
        <v>98000.0</v>
      </c>
      <c r="E22" s="48">
        <f t="shared" si="1"/>
        <v>98000</v>
      </c>
      <c r="F22" s="52" t="s">
        <v>64</v>
      </c>
      <c r="G22" s="60" t="s">
        <v>65</v>
      </c>
      <c r="H22" s="41"/>
      <c r="I22" s="8"/>
    </row>
    <row r="23">
      <c r="B23" s="43" t="s">
        <v>66</v>
      </c>
      <c r="C23" s="61"/>
      <c r="D23" s="62"/>
      <c r="E23" s="48">
        <f t="shared" si="1"/>
        <v>0</v>
      </c>
      <c r="F23" s="61"/>
      <c r="G23" s="49"/>
      <c r="H23" s="41"/>
      <c r="I23" s="8"/>
    </row>
    <row r="24">
      <c r="B24" s="64" t="s">
        <v>67</v>
      </c>
      <c r="C24" s="44">
        <v>0.0</v>
      </c>
      <c r="D24" s="45">
        <v>35520.0</v>
      </c>
      <c r="E24" s="48">
        <f t="shared" si="1"/>
        <v>0</v>
      </c>
      <c r="F24" s="44" t="s">
        <v>34</v>
      </c>
      <c r="G24" s="58" t="s">
        <v>68</v>
      </c>
      <c r="H24" s="41"/>
      <c r="I24" s="8"/>
    </row>
    <row r="25">
      <c r="B25" s="50" t="s">
        <v>69</v>
      </c>
      <c r="C25" s="44">
        <v>3.0</v>
      </c>
      <c r="D25" s="48">
        <v>12000.0</v>
      </c>
      <c r="E25" s="48">
        <f t="shared" si="1"/>
        <v>36000</v>
      </c>
      <c r="F25" s="52" t="s">
        <v>64</v>
      </c>
      <c r="G25" s="55" t="s">
        <v>70</v>
      </c>
      <c r="H25" s="41"/>
      <c r="I25" s="8"/>
    </row>
    <row r="26">
      <c r="B26" s="50" t="s">
        <v>71</v>
      </c>
      <c r="C26" s="44">
        <v>1.0</v>
      </c>
      <c r="D26" s="48">
        <v>48800.0</v>
      </c>
      <c r="E26" s="48">
        <f t="shared" si="1"/>
        <v>48800</v>
      </c>
      <c r="F26" s="52" t="s">
        <v>34</v>
      </c>
      <c r="G26" s="56" t="s">
        <v>72</v>
      </c>
      <c r="H26" s="41"/>
      <c r="I26" s="8"/>
    </row>
    <row r="27">
      <c r="B27" s="50" t="s">
        <v>73</v>
      </c>
      <c r="C27" s="44">
        <v>1.0</v>
      </c>
      <c r="D27" s="48">
        <v>5500.0</v>
      </c>
      <c r="E27" s="48">
        <f t="shared" si="1"/>
        <v>5500</v>
      </c>
      <c r="F27" s="52" t="s">
        <v>34</v>
      </c>
      <c r="G27" s="56" t="s">
        <v>74</v>
      </c>
      <c r="H27" s="41"/>
      <c r="I27" s="8"/>
    </row>
    <row r="28">
      <c r="B28" s="47" t="s">
        <v>75</v>
      </c>
      <c r="C28" s="44">
        <v>0.0</v>
      </c>
      <c r="D28" s="48">
        <v>5200.0</v>
      </c>
      <c r="E28" s="48">
        <f t="shared" si="1"/>
        <v>0</v>
      </c>
      <c r="F28" s="52" t="s">
        <v>34</v>
      </c>
      <c r="G28" s="56" t="s">
        <v>76</v>
      </c>
      <c r="H28" s="41"/>
      <c r="I28" s="8"/>
    </row>
    <row r="29">
      <c r="B29" s="50" t="s">
        <v>77</v>
      </c>
      <c r="C29" s="44">
        <v>1.0</v>
      </c>
      <c r="D29" s="48">
        <v>9210.0</v>
      </c>
      <c r="E29" s="48">
        <f t="shared" si="1"/>
        <v>9210</v>
      </c>
      <c r="F29" s="52" t="s">
        <v>34</v>
      </c>
      <c r="G29" s="56" t="s">
        <v>78</v>
      </c>
      <c r="H29" s="41"/>
      <c r="I29" s="8"/>
    </row>
    <row r="30">
      <c r="B30" s="50" t="s">
        <v>79</v>
      </c>
      <c r="C30" s="44">
        <v>1.0</v>
      </c>
      <c r="D30" s="48">
        <v>9210.0</v>
      </c>
      <c r="E30" s="48">
        <f t="shared" si="1"/>
        <v>9210</v>
      </c>
      <c r="F30" s="52" t="s">
        <v>34</v>
      </c>
      <c r="G30" s="55" t="s">
        <v>80</v>
      </c>
      <c r="H30" s="41"/>
      <c r="I30" s="8"/>
    </row>
    <row r="31">
      <c r="B31" s="43" t="s">
        <v>85</v>
      </c>
      <c r="C31" s="65">
        <v>0.0</v>
      </c>
      <c r="D31" s="45">
        <v>29900.0</v>
      </c>
      <c r="E31" s="48">
        <f t="shared" si="1"/>
        <v>0</v>
      </c>
      <c r="F31" s="65" t="s">
        <v>34</v>
      </c>
      <c r="G31" s="53" t="s">
        <v>82</v>
      </c>
      <c r="H31" s="41"/>
      <c r="I31" s="8"/>
    </row>
    <row r="32">
      <c r="B32" s="47" t="s">
        <v>83</v>
      </c>
      <c r="C32" s="44">
        <v>0.0</v>
      </c>
      <c r="D32" s="45">
        <v>9890.0</v>
      </c>
      <c r="E32" s="48">
        <f t="shared" si="1"/>
        <v>0</v>
      </c>
      <c r="F32" s="52" t="s">
        <v>34</v>
      </c>
      <c r="G32" s="55" t="s">
        <v>84</v>
      </c>
      <c r="H32" s="41"/>
      <c r="I32" s="8"/>
      <c r="J32" s="66" t="s">
        <v>86</v>
      </c>
    </row>
    <row r="33">
      <c r="B33" s="71" t="s">
        <v>87</v>
      </c>
      <c r="C33" s="68">
        <v>11.0</v>
      </c>
      <c r="D33" s="69">
        <v>690.0</v>
      </c>
      <c r="E33" s="48">
        <f t="shared" si="1"/>
        <v>7590</v>
      </c>
      <c r="F33" s="70" t="s">
        <v>34</v>
      </c>
      <c r="G33" s="72" t="s">
        <v>88</v>
      </c>
      <c r="H33" s="41"/>
      <c r="I33" s="8"/>
    </row>
    <row r="34">
      <c r="B34" s="71" t="s">
        <v>89</v>
      </c>
      <c r="C34" s="68">
        <v>11.0</v>
      </c>
      <c r="D34" s="69">
        <v>690.0</v>
      </c>
      <c r="E34" s="48">
        <f t="shared" si="1"/>
        <v>7590</v>
      </c>
      <c r="F34" s="70" t="s">
        <v>34</v>
      </c>
      <c r="G34" s="72" t="s">
        <v>90</v>
      </c>
      <c r="H34" s="41"/>
      <c r="I34" s="8"/>
    </row>
    <row r="35">
      <c r="B35" s="71" t="s">
        <v>91</v>
      </c>
      <c r="C35" s="68">
        <v>10.0</v>
      </c>
      <c r="D35" s="69">
        <v>690.0</v>
      </c>
      <c r="E35" s="48">
        <f t="shared" si="1"/>
        <v>6900</v>
      </c>
      <c r="F35" s="70" t="s">
        <v>34</v>
      </c>
      <c r="G35" s="72" t="s">
        <v>92</v>
      </c>
      <c r="H35" s="41"/>
      <c r="I35" s="8"/>
    </row>
    <row r="36">
      <c r="B36" s="71" t="s">
        <v>93</v>
      </c>
      <c r="C36" s="68">
        <v>10.0</v>
      </c>
      <c r="D36" s="69">
        <v>690.0</v>
      </c>
      <c r="E36" s="48">
        <f t="shared" si="1"/>
        <v>6900</v>
      </c>
      <c r="F36" s="70" t="s">
        <v>34</v>
      </c>
      <c r="G36" s="72" t="s">
        <v>94</v>
      </c>
      <c r="H36" s="41"/>
      <c r="I36" s="8"/>
    </row>
    <row r="37">
      <c r="B37" s="71" t="s">
        <v>95</v>
      </c>
      <c r="C37" s="68">
        <v>10.0</v>
      </c>
      <c r="D37" s="69">
        <v>690.0</v>
      </c>
      <c r="E37" s="48">
        <f t="shared" si="1"/>
        <v>6900</v>
      </c>
      <c r="F37" s="70" t="s">
        <v>34</v>
      </c>
      <c r="G37" s="72" t="s">
        <v>96</v>
      </c>
      <c r="H37" s="41"/>
      <c r="I37" s="8"/>
    </row>
    <row r="38">
      <c r="B38" s="67" t="s">
        <v>101</v>
      </c>
      <c r="C38" s="68">
        <v>0.0</v>
      </c>
      <c r="D38" s="74">
        <v>12400.0</v>
      </c>
      <c r="E38" s="48">
        <f t="shared" si="1"/>
        <v>0</v>
      </c>
      <c r="F38" s="75" t="s">
        <v>98</v>
      </c>
      <c r="G38" s="76"/>
      <c r="H38" s="41"/>
      <c r="I38" s="8"/>
    </row>
    <row r="39">
      <c r="B39" s="67" t="s">
        <v>103</v>
      </c>
      <c r="C39" s="68">
        <v>0.0</v>
      </c>
      <c r="D39" s="74">
        <v>12400.0</v>
      </c>
      <c r="E39" s="48">
        <f t="shared" si="1"/>
        <v>0</v>
      </c>
      <c r="F39" s="82" t="s">
        <v>98</v>
      </c>
      <c r="G39" s="83" t="s">
        <v>100</v>
      </c>
      <c r="H39" s="41"/>
      <c r="I39" s="8"/>
    </row>
    <row r="40">
      <c r="B40" s="47" t="s">
        <v>102</v>
      </c>
      <c r="C40" s="44">
        <v>0.0</v>
      </c>
      <c r="D40" s="48">
        <v>11600.0</v>
      </c>
      <c r="E40" s="48">
        <f t="shared" si="1"/>
        <v>0</v>
      </c>
      <c r="F40" s="52" t="s">
        <v>34</v>
      </c>
      <c r="G40" s="56" t="s">
        <v>151</v>
      </c>
      <c r="H40" s="41"/>
      <c r="I40" s="8"/>
    </row>
    <row r="41">
      <c r="B41" s="43" t="s">
        <v>108</v>
      </c>
      <c r="C41" s="44">
        <v>1.0</v>
      </c>
      <c r="D41" s="45">
        <v>23840.0</v>
      </c>
      <c r="E41" s="48">
        <f t="shared" si="1"/>
        <v>23840</v>
      </c>
      <c r="F41" s="52" t="s">
        <v>34</v>
      </c>
      <c r="G41" s="56" t="s">
        <v>152</v>
      </c>
      <c r="H41" s="41"/>
      <c r="I41" s="8"/>
    </row>
    <row r="42">
      <c r="B42" s="50" t="s">
        <v>109</v>
      </c>
      <c r="C42" s="44">
        <v>2.0</v>
      </c>
      <c r="D42" s="48">
        <v>29280.0</v>
      </c>
      <c r="E42" s="48">
        <f t="shared" si="1"/>
        <v>58560</v>
      </c>
      <c r="F42" s="51" t="s">
        <v>34</v>
      </c>
      <c r="G42" s="56" t="s">
        <v>111</v>
      </c>
      <c r="H42" s="41"/>
      <c r="I42" s="8"/>
    </row>
    <row r="43">
      <c r="B43" s="47" t="s">
        <v>113</v>
      </c>
      <c r="C43" s="65">
        <v>0.0</v>
      </c>
      <c r="D43" s="48">
        <v>24150.0</v>
      </c>
      <c r="E43" s="48">
        <f t="shared" si="1"/>
        <v>0</v>
      </c>
      <c r="F43" s="51" t="s">
        <v>34</v>
      </c>
      <c r="G43" s="56" t="s">
        <v>115</v>
      </c>
      <c r="H43" s="41"/>
      <c r="I43" s="8"/>
    </row>
    <row r="44">
      <c r="B44" s="47" t="s">
        <v>116</v>
      </c>
      <c r="C44" s="65">
        <v>0.0</v>
      </c>
      <c r="D44" s="45">
        <v>25250.0</v>
      </c>
      <c r="E44" s="48">
        <f t="shared" si="1"/>
        <v>0</v>
      </c>
      <c r="F44" s="51" t="s">
        <v>34</v>
      </c>
      <c r="G44" s="56" t="s">
        <v>117</v>
      </c>
      <c r="H44" s="41"/>
      <c r="I44" s="8"/>
    </row>
    <row r="45">
      <c r="B45" s="47" t="s">
        <v>118</v>
      </c>
      <c r="C45" s="65">
        <v>0.0</v>
      </c>
      <c r="D45" s="48">
        <v>4750.0</v>
      </c>
      <c r="E45" s="48">
        <f t="shared" si="1"/>
        <v>0</v>
      </c>
      <c r="F45" s="51" t="s">
        <v>34</v>
      </c>
      <c r="G45" s="56" t="s">
        <v>119</v>
      </c>
      <c r="H45" s="41"/>
      <c r="I45" s="8"/>
    </row>
    <row r="46">
      <c r="B46" s="43" t="s">
        <v>121</v>
      </c>
      <c r="C46" s="65">
        <v>1.0</v>
      </c>
      <c r="D46" s="45">
        <v>62800.0</v>
      </c>
      <c r="E46" s="48">
        <f t="shared" si="1"/>
        <v>62800</v>
      </c>
      <c r="F46" s="51" t="s">
        <v>34</v>
      </c>
      <c r="G46" s="53" t="s">
        <v>122</v>
      </c>
      <c r="H46" s="41"/>
      <c r="I46" s="8"/>
    </row>
    <row r="47">
      <c r="B47" s="43" t="s">
        <v>124</v>
      </c>
      <c r="C47" s="65">
        <v>1.0</v>
      </c>
      <c r="D47" s="45">
        <v>32800.0</v>
      </c>
      <c r="E47" s="48">
        <f t="shared" si="1"/>
        <v>32800</v>
      </c>
      <c r="F47" s="51" t="s">
        <v>34</v>
      </c>
      <c r="G47" s="53" t="s">
        <v>125</v>
      </c>
      <c r="H47" s="41"/>
      <c r="I47" s="8"/>
    </row>
    <row r="48">
      <c r="B48" s="43" t="s">
        <v>126</v>
      </c>
      <c r="C48" s="65">
        <v>1.0</v>
      </c>
      <c r="D48" s="45">
        <v>15000.0</v>
      </c>
      <c r="E48" s="48">
        <f t="shared" si="1"/>
        <v>15000</v>
      </c>
      <c r="F48" s="51" t="s">
        <v>34</v>
      </c>
      <c r="G48" s="53" t="s">
        <v>127</v>
      </c>
      <c r="H48" s="41"/>
      <c r="I48" s="8"/>
    </row>
    <row r="49">
      <c r="B49" s="43" t="s">
        <v>128</v>
      </c>
      <c r="C49" s="65">
        <v>1.0</v>
      </c>
      <c r="D49" s="45">
        <v>9200.0</v>
      </c>
      <c r="E49" s="48">
        <f t="shared" si="1"/>
        <v>9200</v>
      </c>
      <c r="F49" s="51" t="s">
        <v>34</v>
      </c>
      <c r="G49" s="53" t="s">
        <v>129</v>
      </c>
      <c r="H49" s="41"/>
      <c r="I49" s="8"/>
    </row>
    <row r="50">
      <c r="B50" s="43" t="s">
        <v>130</v>
      </c>
      <c r="C50" s="65">
        <v>1.0</v>
      </c>
      <c r="D50" s="45">
        <v>9200.0</v>
      </c>
      <c r="E50" s="48">
        <f t="shared" si="1"/>
        <v>9200</v>
      </c>
      <c r="F50" s="51" t="s">
        <v>34</v>
      </c>
      <c r="G50" s="53" t="s">
        <v>131</v>
      </c>
      <c r="H50" s="41"/>
      <c r="I50" s="8"/>
    </row>
    <row r="51">
      <c r="B51" s="43" t="s">
        <v>132</v>
      </c>
      <c r="C51" s="65">
        <v>1.0</v>
      </c>
      <c r="D51" s="45">
        <v>9800.0</v>
      </c>
      <c r="E51" s="48">
        <f t="shared" si="1"/>
        <v>9800</v>
      </c>
      <c r="F51" s="51" t="s">
        <v>34</v>
      </c>
      <c r="G51" s="53" t="s">
        <v>133</v>
      </c>
      <c r="H51" s="41"/>
      <c r="I51" s="8"/>
    </row>
    <row r="52">
      <c r="B52" s="43" t="s">
        <v>134</v>
      </c>
      <c r="C52" s="65">
        <v>5.0</v>
      </c>
      <c r="D52" s="45">
        <v>12000.0</v>
      </c>
      <c r="E52" s="48">
        <f t="shared" si="1"/>
        <v>60000</v>
      </c>
      <c r="F52" s="65" t="s">
        <v>135</v>
      </c>
      <c r="G52" s="53" t="s">
        <v>136</v>
      </c>
      <c r="H52" s="41"/>
      <c r="I52" s="8"/>
    </row>
    <row r="53">
      <c r="B53" s="84"/>
      <c r="C53" s="85"/>
      <c r="D53" s="85"/>
      <c r="E53" s="85"/>
      <c r="F53" s="85"/>
      <c r="G53" s="8"/>
      <c r="H53" s="41"/>
      <c r="I53" s="8"/>
    </row>
    <row r="54">
      <c r="B54" s="84" t="s">
        <v>137</v>
      </c>
      <c r="C54" s="85"/>
      <c r="D54" s="85"/>
      <c r="E54" s="86">
        <f>SUM(E8:E52)</f>
        <v>1174310</v>
      </c>
      <c r="F54" s="85"/>
      <c r="G54" s="8"/>
      <c r="H54" s="41"/>
      <c r="I54" s="8"/>
    </row>
    <row r="55">
      <c r="B55" s="50" t="s">
        <v>138</v>
      </c>
      <c r="C55" s="61"/>
      <c r="D55" s="61"/>
      <c r="E55" s="48">
        <f>SUM(E8:E10,E39)</f>
        <v>444500</v>
      </c>
      <c r="F55" s="85"/>
      <c r="G55" s="8"/>
      <c r="H55" s="41"/>
      <c r="I55" s="8"/>
    </row>
    <row r="56">
      <c r="B56" s="84" t="s">
        <v>139</v>
      </c>
      <c r="C56" s="85"/>
      <c r="D56" s="85"/>
      <c r="E56" s="87">
        <f>13000*30</f>
        <v>390000</v>
      </c>
      <c r="F56" s="85"/>
      <c r="G56" s="8"/>
      <c r="H56" s="41"/>
      <c r="I56" s="8"/>
    </row>
    <row r="57">
      <c r="B57" s="91" t="s">
        <v>143</v>
      </c>
      <c r="C57" s="85"/>
      <c r="D57" s="85"/>
      <c r="E57" s="86">
        <f>E54-E55-E56</f>
        <v>339810</v>
      </c>
      <c r="F57" s="85"/>
      <c r="G57" s="8"/>
      <c r="H57" s="41"/>
    </row>
    <row r="58">
      <c r="B58" s="88"/>
      <c r="C58" s="85"/>
      <c r="D58" s="85"/>
      <c r="E58" s="85"/>
      <c r="F58" s="85"/>
      <c r="G58" s="8"/>
      <c r="H58" s="41"/>
    </row>
    <row r="59">
      <c r="B59" s="89" t="s">
        <v>141</v>
      </c>
      <c r="E59" s="90"/>
      <c r="F59" s="85"/>
      <c r="G59" s="8"/>
      <c r="H59" s="41"/>
    </row>
    <row r="60">
      <c r="B60" s="84" t="s">
        <v>142</v>
      </c>
      <c r="C60" s="85"/>
      <c r="D60" s="85"/>
      <c r="E60" s="85"/>
      <c r="F60" s="85"/>
      <c r="G60" s="8"/>
      <c r="H60" s="41"/>
    </row>
    <row r="61">
      <c r="B61" s="88"/>
      <c r="C61" s="85"/>
      <c r="D61" s="85"/>
      <c r="E61" s="85"/>
      <c r="F61" s="85"/>
      <c r="G61" s="8"/>
      <c r="H61" s="41"/>
    </row>
    <row r="62">
      <c r="B62" s="88"/>
      <c r="C62" s="85"/>
      <c r="D62" s="85"/>
      <c r="E62" s="85"/>
      <c r="F62" s="85"/>
      <c r="G62" s="8"/>
      <c r="H62" s="41"/>
    </row>
    <row r="63">
      <c r="B63" s="92"/>
      <c r="C63" s="93"/>
      <c r="D63" s="93"/>
      <c r="E63" s="93"/>
      <c r="F63" s="93"/>
      <c r="G63" s="94"/>
      <c r="H63" s="28"/>
    </row>
  </sheetData>
  <mergeCells count="67">
    <mergeCell ref="G47:H47"/>
    <mergeCell ref="G48:H48"/>
    <mergeCell ref="G49:H49"/>
    <mergeCell ref="G50:H50"/>
    <mergeCell ref="G51:H51"/>
    <mergeCell ref="G52:H52"/>
    <mergeCell ref="G53:H53"/>
    <mergeCell ref="G60:H60"/>
    <mergeCell ref="G61:H61"/>
    <mergeCell ref="G62:H62"/>
    <mergeCell ref="G63:H63"/>
    <mergeCell ref="G54:H54"/>
    <mergeCell ref="G55:H55"/>
    <mergeCell ref="G56:H56"/>
    <mergeCell ref="G57:H57"/>
    <mergeCell ref="G58:H58"/>
    <mergeCell ref="B59:E59"/>
    <mergeCell ref="G59:H59"/>
    <mergeCell ref="B2:E3"/>
    <mergeCell ref="C4:E4"/>
    <mergeCell ref="G4:H4"/>
    <mergeCell ref="B5:B6"/>
    <mergeCell ref="C5:C6"/>
    <mergeCell ref="D5:D6"/>
    <mergeCell ref="E5:E6"/>
    <mergeCell ref="F5:F6"/>
    <mergeCell ref="G5:H6"/>
    <mergeCell ref="G7:H7"/>
    <mergeCell ref="G8:H8"/>
    <mergeCell ref="G9:H9"/>
    <mergeCell ref="G10:H10"/>
    <mergeCell ref="G11:H11"/>
    <mergeCell ref="G12:H12"/>
    <mergeCell ref="G13:H13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36:H36"/>
    <mergeCell ref="G37:H37"/>
    <mergeCell ref="G38:H38"/>
    <mergeCell ref="G39:H39"/>
    <mergeCell ref="G40:H40"/>
    <mergeCell ref="G41:H41"/>
    <mergeCell ref="G42:H42"/>
    <mergeCell ref="G43:H43"/>
    <mergeCell ref="G44:H44"/>
    <mergeCell ref="G45:H45"/>
    <mergeCell ref="G46:H46"/>
  </mergeCells>
  <hyperlinks>
    <hyperlink r:id="rId1" ref="G11"/>
    <hyperlink r:id="rId2" ref="G12"/>
    <hyperlink r:id="rId3" ref="G13"/>
    <hyperlink r:id="rId4" ref="G14"/>
    <hyperlink r:id="rId5" ref="G15"/>
    <hyperlink r:id="rId6" ref="G16"/>
    <hyperlink r:id="rId7" ref="G17"/>
    <hyperlink r:id="rId8" ref="G18"/>
    <hyperlink r:id="rId9" ref="G19"/>
    <hyperlink r:id="rId10" ref="G20"/>
    <hyperlink r:id="rId11" ref="G21"/>
    <hyperlink r:id="rId12" ref="G22"/>
    <hyperlink r:id="rId13" ref="G24"/>
    <hyperlink r:id="rId14" ref="G25"/>
    <hyperlink r:id="rId15" ref="G26"/>
    <hyperlink r:id="rId16" ref="G27"/>
    <hyperlink r:id="rId17" ref="G28"/>
    <hyperlink r:id="rId18" ref="G29"/>
    <hyperlink r:id="rId19" ref="G30"/>
    <hyperlink r:id="rId20" ref="G31"/>
    <hyperlink r:id="rId21" ref="G32"/>
    <hyperlink r:id="rId22" ref="J32"/>
    <hyperlink r:id="rId23" ref="G33"/>
    <hyperlink r:id="rId24" ref="G34"/>
    <hyperlink r:id="rId25" ref="G35"/>
    <hyperlink r:id="rId26" ref="G36"/>
    <hyperlink r:id="rId27" ref="G37"/>
    <hyperlink r:id="rId28" ref="G39"/>
    <hyperlink r:id="rId29" ref="G40"/>
    <hyperlink r:id="rId30" ref="G41"/>
    <hyperlink r:id="rId31" ref="G42"/>
    <hyperlink r:id="rId32" ref="G43"/>
    <hyperlink r:id="rId33" ref="G44"/>
    <hyperlink r:id="rId34" ref="G45"/>
    <hyperlink r:id="rId35" ref="G46"/>
    <hyperlink r:id="rId36" ref="G47"/>
    <hyperlink r:id="rId37" ref="G48"/>
    <hyperlink r:id="rId38" ref="G49"/>
    <hyperlink r:id="rId39" ref="G50"/>
    <hyperlink r:id="rId40" ref="G51"/>
    <hyperlink r:id="rId41" ref="G52"/>
  </hyperlinks>
  <drawing r:id="rId42"/>
</worksheet>
</file>