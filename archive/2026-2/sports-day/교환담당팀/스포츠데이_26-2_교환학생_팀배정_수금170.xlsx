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팀배정_전체" sheetId="1" r:id="rId4"/>
    <sheet state="visible" name="팀별_명단" sheetId="2" r:id="rId5"/>
    <sheet state="visible" name="집계_검증" sheetId="3" r:id="rId6"/>
  </sheets>
  <definedNames>
    <definedName hidden="1" localSheetId="0" name="_xlnm._FilterDatabase">'팀배정_전체'!$A$1:$L$1</definedName>
  </definedNames>
  <calcPr/>
  <extLst>
    <ext uri="GoogleSheetsCustomDataVersion2">
      <go:sheetsCustomData xmlns:go="http://customooxmlschemas.google.com/" r:id="rId7" roundtripDataChecksum="+c+V5TIYF/jsGlw7ObaaPy//ga7FXyHZTk3/bkwWhzI="/>
    </ext>
  </extLst>
</workbook>
</file>

<file path=xl/sharedStrings.xml><?xml version="1.0" encoding="utf-8"?>
<sst xmlns="http://schemas.openxmlformats.org/spreadsheetml/2006/main" count="1788" uniqueCount="494">
  <si>
    <t>No</t>
  </si>
  <si>
    <t>팀</t>
  </si>
  <si>
    <t>이름</t>
  </si>
  <si>
    <r>
      <rPr>
        <rFont val="Arial"/>
        <b/>
        <color theme="1"/>
        <sz val="13.0"/>
      </rPr>
      <t xml:space="preserve">26-2 </t>
    </r>
    <r>
      <rPr>
        <rFont val="Noto Sans CJK SC"/>
        <b/>
        <color theme="1"/>
        <sz val="13.0"/>
      </rPr>
      <t xml:space="preserve">스포츠데이 팀 배정 집계 </t>
    </r>
    <r>
      <rPr>
        <rFont val="Arial"/>
        <b/>
        <color theme="1"/>
        <sz val="13.0"/>
      </rPr>
      <t>(</t>
    </r>
    <r>
      <rPr>
        <rFont val="Noto Sans CJK SC"/>
        <b/>
        <color theme="1"/>
        <sz val="13.0"/>
      </rPr>
      <t>교환학생</t>
    </r>
    <r>
      <rPr>
        <rFont val="Arial"/>
        <b/>
        <color theme="1"/>
        <sz val="13.0"/>
      </rPr>
      <t>)</t>
    </r>
  </si>
  <si>
    <t>학번</t>
  </si>
  <si>
    <t>성별</t>
  </si>
  <si>
    <r>
      <rPr>
        <rFont val="Noto Sans CJK SC"/>
        <i/>
        <color rgb="FF666666"/>
        <sz val="10.0"/>
      </rPr>
      <t xml:space="preserve">인사이드 아웃 </t>
    </r>
    <r>
      <rPr>
        <rFont val="Arial"/>
        <i/>
        <color rgb="FF666666"/>
        <sz val="10.0"/>
      </rPr>
      <t>6</t>
    </r>
    <r>
      <rPr>
        <rFont val="Noto Sans CJK SC"/>
        <i/>
        <color rgb="FF666666"/>
        <sz val="10.0"/>
      </rPr>
      <t xml:space="preserve">팀 </t>
    </r>
    <r>
      <rPr>
        <rFont val="Arial"/>
        <i/>
        <color rgb="FF666666"/>
        <sz val="10.0"/>
      </rPr>
      <t xml:space="preserve">· </t>
    </r>
    <r>
      <rPr>
        <rFont val="Noto Sans CJK SC"/>
        <i/>
        <color rgb="FF666666"/>
        <sz val="10.0"/>
      </rPr>
      <t>수금 완료</t>
    </r>
    <r>
      <rPr>
        <rFont val="Arial"/>
        <i/>
        <color rgb="FF666666"/>
        <sz val="10.0"/>
      </rPr>
      <t>(pay=TRUE) 170</t>
    </r>
    <r>
      <rPr>
        <rFont val="Noto Sans CJK SC"/>
        <i/>
        <color rgb="FF666666"/>
        <sz val="10.0"/>
      </rPr>
      <t>명 기준</t>
    </r>
  </si>
  <si>
    <t>티셔츠</t>
  </si>
  <si>
    <t>출발지</t>
  </si>
  <si>
    <t>■ 팀별 인원 집계</t>
  </si>
  <si>
    <t>식단 제약</t>
  </si>
  <si>
    <t>TEAM JOY</t>
  </si>
  <si>
    <r>
      <rPr>
        <rFont val="Noto Sans CJK SC"/>
        <b/>
        <color rgb="FFFFFFFF"/>
        <sz val="10.0"/>
      </rPr>
      <t>친구 요청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원문</t>
    </r>
    <r>
      <rPr>
        <rFont val="Arial"/>
        <b/>
        <color rgb="FFFFFFFF"/>
        <sz val="10.0"/>
      </rPr>
      <t>)</t>
    </r>
  </si>
  <si>
    <t>총원</t>
  </si>
  <si>
    <t>친구그룹</t>
  </si>
  <si>
    <r>
      <rPr>
        <rFont val="Noto Sans CJK SC"/>
        <b/>
        <color rgb="FFFFFFFF"/>
        <sz val="10.0"/>
      </rPr>
      <t>여</t>
    </r>
    <r>
      <rPr>
        <rFont val="Arial"/>
        <b/>
        <color rgb="FFFFFFFF"/>
        <sz val="10.0"/>
      </rPr>
      <t>(F)</t>
    </r>
  </si>
  <si>
    <t>명단 대조</t>
  </si>
  <si>
    <r>
      <rPr>
        <rFont val="Noto Sans CJK SC"/>
        <b/>
        <color rgb="FFFFFFFF"/>
        <sz val="10.0"/>
      </rPr>
      <t>남</t>
    </r>
    <r>
      <rPr>
        <rFont val="Arial"/>
        <b/>
        <color rgb="FFFFFFFF"/>
        <sz val="10.0"/>
      </rPr>
      <t>(M)</t>
    </r>
  </si>
  <si>
    <t>친구그룹 검증</t>
  </si>
  <si>
    <t>여 비율</t>
  </si>
  <si>
    <t>TEAM SADNESS</t>
  </si>
  <si>
    <t>S~M</t>
  </si>
  <si>
    <t>L 이상</t>
  </si>
  <si>
    <t>JOY</t>
  </si>
  <si>
    <t>Abdallah Alhamidi</t>
  </si>
  <si>
    <t>TEAM ANGER</t>
  </si>
  <si>
    <t>2026318827</t>
  </si>
  <si>
    <t>M</t>
  </si>
  <si>
    <t>L</t>
  </si>
  <si>
    <t>Suwon</t>
  </si>
  <si>
    <t>No pork</t>
  </si>
  <si>
    <t>TEAM DISGUST</t>
  </si>
  <si>
    <t>TEAM FEAR</t>
  </si>
  <si>
    <t>TEAM ANXIETY</t>
  </si>
  <si>
    <t>Alberto Gil Carvalho</t>
  </si>
  <si>
    <t>2026319184</t>
  </si>
  <si>
    <t>Rafael Cunha, Beatriz Costa, Ines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</si>
  <si>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</si>
  <si>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Alexandra Becker</t>
  </si>
  <si>
    <t>2026318952</t>
  </si>
  <si>
    <t>F</t>
  </si>
  <si>
    <t>Seoul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</si>
  <si>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</si>
  <si>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</si>
  <si>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Artyom Tsoy</t>
  </si>
  <si>
    <t>2026319226</t>
  </si>
  <si>
    <t>Peter Naur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</si>
  <si>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</si>
  <si>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Beatriz Costa</t>
  </si>
  <si>
    <t>2026318588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</si>
  <si>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</si>
  <si>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Alberto Carvalho, Rafael Cunha, Ines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</si>
  <si>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</si>
  <si>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Ben Daniel Gerhard Murrmann</t>
  </si>
  <si>
    <t>2026318926</t>
  </si>
  <si>
    <t>XL</t>
  </si>
  <si>
    <t>Luis</t>
  </si>
  <si>
    <t>Boglarka Peter</t>
  </si>
  <si>
    <t>2026319032</t>
  </si>
  <si>
    <t>S</t>
  </si>
  <si>
    <t>Aaron Dumlao</t>
  </si>
  <si>
    <t>Caleb Snow</t>
  </si>
  <si>
    <t>Alexander Brand</t>
  </si>
  <si>
    <t>Alicia Zimmermann</t>
  </si>
  <si>
    <t>Adedoyin Hannah Bajulaiye</t>
  </si>
  <si>
    <t>Carla Mas Juncosa</t>
  </si>
  <si>
    <t>2026318575</t>
  </si>
  <si>
    <t>Alessandro Noia</t>
  </si>
  <si>
    <t>Carina Chin</t>
  </si>
  <si>
    <t>Eeva Joensuu</t>
  </si>
  <si>
    <t>2026318617</t>
  </si>
  <si>
    <t>Andrea Nordbaeck</t>
  </si>
  <si>
    <t>Ella Heikinheimo</t>
  </si>
  <si>
    <t>Amber Allen</t>
  </si>
  <si>
    <t>Aybike Saricay</t>
  </si>
  <si>
    <t>Alice Nicoli</t>
  </si>
  <si>
    <t>Christina Xing Min Chen</t>
  </si>
  <si>
    <t>2026318726</t>
  </si>
  <si>
    <t>Andrew White</t>
  </si>
  <si>
    <t>2XL</t>
  </si>
  <si>
    <t>Cameron Rodwell</t>
  </si>
  <si>
    <t>No red meat</t>
  </si>
  <si>
    <t>Boaz Verbeek</t>
  </si>
  <si>
    <t>3XL</t>
  </si>
  <si>
    <t>Amber Mae Britchford</t>
  </si>
  <si>
    <t>Cristina Toso</t>
  </si>
  <si>
    <t>Anita Shani Hufnagl</t>
  </si>
  <si>
    <t>Finesse Johnson Stewart</t>
  </si>
  <si>
    <t>2026739005</t>
  </si>
  <si>
    <t>Chaimae Ait Lemzend</t>
  </si>
  <si>
    <t>Caroline Borko</t>
  </si>
  <si>
    <t>Jalynn Hinton</t>
  </si>
  <si>
    <t>Anika Dartsch</t>
  </si>
  <si>
    <t>Dante Butler</t>
  </si>
  <si>
    <t>Apiou Jade</t>
  </si>
  <si>
    <t>Dylan Ian Broderick</t>
  </si>
  <si>
    <t>Deni Elembaev</t>
  </si>
  <si>
    <t>Florian Schaal</t>
  </si>
  <si>
    <t>2026318744</t>
  </si>
  <si>
    <t>Augustin Kuntz</t>
  </si>
  <si>
    <t>Derry Fernaldy</t>
  </si>
  <si>
    <t>Asmira Tleuova</t>
  </si>
  <si>
    <t>Essence White</t>
  </si>
  <si>
    <t>Diana Escalante Garcia</t>
  </si>
  <si>
    <t>Farouk Ousseini</t>
  </si>
  <si>
    <t>Frida Siffring</t>
  </si>
  <si>
    <t>2026318724</t>
  </si>
  <si>
    <t>Evelyn Grace Begent</t>
  </si>
  <si>
    <t>Carina von Deyn</t>
  </si>
  <si>
    <t>Giacomo Vernucci</t>
  </si>
  <si>
    <t>Edoardo De Bettin</t>
  </si>
  <si>
    <t>Faruk Husovic</t>
  </si>
  <si>
    <t>Gero Bresgen</t>
  </si>
  <si>
    <t>Giovanni Fragiacomo</t>
  </si>
  <si>
    <t>2026318615</t>
  </si>
  <si>
    <t>Christiaan van Olst</t>
  </si>
  <si>
    <t>합계</t>
  </si>
  <si>
    <t>Haendel Johannes</t>
  </si>
  <si>
    <t>Frieda Pollmann</t>
  </si>
  <si>
    <t>Guerlin Leborgne</t>
  </si>
  <si>
    <r>
      <rPr>
        <rFont val="Noto Sans CJK SC"/>
        <b/>
        <color theme="1"/>
        <sz val="10.0"/>
      </rPr>
      <t xml:space="preserve">■ 검증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 xml:space="preserve">모두 </t>
    </r>
    <r>
      <rPr>
        <rFont val="Arial"/>
        <b/>
        <color theme="1"/>
        <sz val="10.0"/>
      </rPr>
      <t xml:space="preserve">OK </t>
    </r>
    <r>
      <rPr>
        <rFont val="Noto Sans CJK SC"/>
        <b/>
        <color theme="1"/>
        <sz val="10.0"/>
      </rPr>
      <t>여야 함</t>
    </r>
    <r>
      <rPr>
        <rFont val="Arial"/>
        <b/>
        <color theme="1"/>
        <sz val="10.0"/>
      </rPr>
      <t>)</t>
    </r>
  </si>
  <si>
    <t>Hardy Benjamin Louis</t>
  </si>
  <si>
    <t>검증 항목</t>
  </si>
  <si>
    <t>결과</t>
  </si>
  <si>
    <t>Corey Cooper</t>
  </si>
  <si>
    <t>판정</t>
  </si>
  <si>
    <t>Ines Goncalves</t>
  </si>
  <si>
    <t>2026319210</t>
  </si>
  <si>
    <r>
      <rPr>
        <rFont val="Noto Sans CJK SC"/>
        <color theme="1"/>
        <sz val="10.0"/>
      </rPr>
      <t xml:space="preserve">전체 응답 인원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팀배정</t>
    </r>
    <r>
      <rPr>
        <rFont val="Arial"/>
        <color theme="1"/>
        <sz val="10.0"/>
      </rPr>
      <t>_</t>
    </r>
    <r>
      <rPr>
        <rFont val="Noto Sans CJK SC"/>
        <color theme="1"/>
        <sz val="10.0"/>
      </rPr>
      <t>전체 행 수</t>
    </r>
    <r>
      <rPr>
        <rFont val="Arial"/>
        <color theme="1"/>
        <sz val="10.0"/>
      </rPr>
      <t>)</t>
    </r>
  </si>
  <si>
    <t>Hanna Maria Wild</t>
  </si>
  <si>
    <t>Beatriz Costa, Rafael Cunha, Alberto</t>
  </si>
  <si>
    <t>Gaia Bolcato</t>
  </si>
  <si>
    <t>Henry Boyle</t>
  </si>
  <si>
    <t>Ida Trabold</t>
  </si>
  <si>
    <t>팀 배정 인원 합계</t>
  </si>
  <si>
    <t>Daniels Kristapaitis</t>
  </si>
  <si>
    <t>Henna Kinnunen</t>
  </si>
  <si>
    <t>Isabella van der Kruk</t>
  </si>
  <si>
    <t>Geicianny Martins</t>
  </si>
  <si>
    <t>2026318968</t>
  </si>
  <si>
    <r>
      <rPr>
        <rFont val="Noto Sans CJK SC"/>
        <color theme="1"/>
        <sz val="10.0"/>
      </rPr>
      <t>팀 미배정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빈칸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인원</t>
    </r>
  </si>
  <si>
    <t>Jasmin Schaefer</t>
  </si>
  <si>
    <t>Ivanna Perez Gonzalez</t>
  </si>
  <si>
    <t>Elizabeth Kang</t>
  </si>
  <si>
    <t>Holly Waters</t>
  </si>
  <si>
    <t>이름 중복 건수</t>
  </si>
  <si>
    <t>Hannah Elysha Budding</t>
  </si>
  <si>
    <t>Jalynn De'nea Hinton</t>
  </si>
  <si>
    <t>Jessica Williams</t>
  </si>
  <si>
    <t>2026739006</t>
  </si>
  <si>
    <t>Janina Sarina Asaf</t>
  </si>
  <si>
    <t>Genc Haxhija</t>
  </si>
  <si>
    <t>Finesse Johnson</t>
  </si>
  <si>
    <t>Ishan Sharma</t>
  </si>
  <si>
    <t>Jeppe Vase</t>
  </si>
  <si>
    <t>Josef Hofvenstam</t>
  </si>
  <si>
    <t>Julian Kuehling</t>
  </si>
  <si>
    <t>2026318967</t>
  </si>
  <si>
    <t>Job Johannes van Gasteren</t>
  </si>
  <si>
    <t>Hannah Bower</t>
  </si>
  <si>
    <t>Jasmin Darwich</t>
  </si>
  <si>
    <t>학번 중복 건수</t>
  </si>
  <si>
    <t>Leonard Mueller</t>
  </si>
  <si>
    <t>Josefa Merk</t>
  </si>
  <si>
    <t>Kiara Gibsom</t>
  </si>
  <si>
    <t>Kamila Chaibi</t>
  </si>
  <si>
    <t>2026319177</t>
  </si>
  <si>
    <t>Jade Brok</t>
  </si>
  <si>
    <t>Jona Johannes Luedenbach</t>
  </si>
  <si>
    <t>Lolli Alberto Paolo</t>
  </si>
  <si>
    <t>Julia Yalin Ye</t>
  </si>
  <si>
    <t>Laura Genin</t>
  </si>
  <si>
    <r>
      <rPr>
        <rFont val="Noto Sans CJK SC"/>
        <color theme="1"/>
        <sz val="10.0"/>
      </rPr>
      <t>학번 자릿수 이상</t>
    </r>
    <r>
      <rPr>
        <rFont val="Arial"/>
        <color theme="1"/>
        <sz val="10.0"/>
      </rPr>
      <t>(10</t>
    </r>
    <r>
      <rPr>
        <rFont val="Noto Sans CJK SC"/>
        <color theme="1"/>
        <sz val="10.0"/>
      </rPr>
      <t>자리 아님</t>
    </r>
    <r>
      <rPr>
        <rFont val="Arial"/>
        <color theme="1"/>
        <sz val="10.0"/>
      </rPr>
      <t>)</t>
    </r>
  </si>
  <si>
    <t>Jonathan Johnsen</t>
  </si>
  <si>
    <t>Leo Benk</t>
  </si>
  <si>
    <t>Lucas Hoefner</t>
  </si>
  <si>
    <r>
      <rPr>
        <rFont val="Noto Sans CJK SC"/>
        <color theme="1"/>
        <sz val="10.0"/>
      </rPr>
      <t>팀별</t>
    </r>
    <r>
      <rPr>
        <rFont val="Arial"/>
        <color theme="1"/>
        <sz val="10.0"/>
      </rPr>
      <t>_</t>
    </r>
    <r>
      <rPr>
        <rFont val="Noto Sans CJK SC"/>
        <color theme="1"/>
        <sz val="10.0"/>
      </rPr>
      <t>명단 총 인원</t>
    </r>
  </si>
  <si>
    <t>Lea Loren Koric</t>
  </si>
  <si>
    <t>Linus Dircks</t>
  </si>
  <si>
    <t>Luis Deckert</t>
  </si>
  <si>
    <t>2026318979</t>
  </si>
  <si>
    <t>Juli Sievert</t>
  </si>
  <si>
    <t>Louanne Dempt</t>
  </si>
  <si>
    <t>Lukas Krammer</t>
  </si>
  <si>
    <t>Ben Murrmann</t>
  </si>
  <si>
    <t>Linda Stuetzle</t>
  </si>
  <si>
    <r>
      <rPr>
        <rFont val="Noto Sans CJK SC"/>
        <color theme="1"/>
        <sz val="10.0"/>
      </rPr>
      <t>두 시트 간 이름 누락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중복 건수</t>
    </r>
  </si>
  <si>
    <t>Luis Santiago De Narvaez Oicata</t>
  </si>
  <si>
    <t>Kocausta Sila Celine</t>
  </si>
  <si>
    <t>Maria Stollenwerk</t>
  </si>
  <si>
    <t>Michaela Svidova</t>
  </si>
  <si>
    <r>
      <rPr>
        <rFont val="Noto Sans CJK SC"/>
        <color theme="1"/>
        <sz val="10.0"/>
      </rPr>
      <t>최대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최소 팀 인원 차</t>
    </r>
  </si>
  <si>
    <t>Matina Asgari</t>
  </si>
  <si>
    <t>2026318887</t>
  </si>
  <si>
    <t>Lisa Hoogenboom</t>
  </si>
  <si>
    <t>Maloum Leonard</t>
  </si>
  <si>
    <t>Lisa Oelschlagel</t>
  </si>
  <si>
    <r>
      <rPr>
        <rFont val="Noto Sans CJK SC"/>
        <color theme="1"/>
        <sz val="10.0"/>
      </rPr>
      <t>최대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최소 팀 여성 인원 차</t>
    </r>
  </si>
  <si>
    <t>Kristina Knaub</t>
  </si>
  <si>
    <t>Marilou Gendt</t>
  </si>
  <si>
    <t>Miro Anttila</t>
  </si>
  <si>
    <t>친구 그룹 분리 건수</t>
  </si>
  <si>
    <t>Lisa Pacher</t>
  </si>
  <si>
    <t>Maria Josefsen</t>
  </si>
  <si>
    <t>Naira Yang</t>
  </si>
  <si>
    <t>2026318808</t>
  </si>
  <si>
    <t>Lisa Tran</t>
  </si>
  <si>
    <t>친구 요청 반영 인원</t>
  </si>
  <si>
    <t>Marit Versloot</t>
  </si>
  <si>
    <t>Nikoline Egede Petersen</t>
  </si>
  <si>
    <t>Lois Sturkenboom</t>
  </si>
  <si>
    <r>
      <rPr>
        <rFont val="Noto Sans CJK SC"/>
        <b/>
        <color theme="1"/>
        <sz val="10.0"/>
      </rPr>
      <t xml:space="preserve">■ 티셔츠 사이즈 집계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>전체</t>
    </r>
    <r>
      <rPr>
        <rFont val="Arial"/>
        <b/>
        <color theme="1"/>
        <sz val="10.0"/>
      </rPr>
      <t>)</t>
    </r>
  </si>
  <si>
    <t>사이즈</t>
  </si>
  <si>
    <t>Mats Pieter Ummelen</t>
  </si>
  <si>
    <t>Marie Lantto</t>
  </si>
  <si>
    <t>Marla Klussmann</t>
  </si>
  <si>
    <t>Nina Kellermann</t>
  </si>
  <si>
    <t>Narandavaa Nyamdorj</t>
  </si>
  <si>
    <t>인원</t>
  </si>
  <si>
    <t>2026319298</t>
  </si>
  <si>
    <t>Lynn Neuhofer</t>
  </si>
  <si>
    <t>Melissa Smith</t>
  </si>
  <si>
    <t>Mert Cem Aybars</t>
  </si>
  <si>
    <t>Meghan Mcginty</t>
  </si>
  <si>
    <t>Ptashnyk Oksana Oleksandrivna</t>
  </si>
  <si>
    <t>Marly Gracia Rufyiritana</t>
  </si>
  <si>
    <t>Mimosa Honkanen</t>
  </si>
  <si>
    <t>Penru Minha</t>
  </si>
  <si>
    <t>2026318884</t>
  </si>
  <si>
    <t>Michele Sandri</t>
  </si>
  <si>
    <t>Miro Duman</t>
  </si>
  <si>
    <t>Rosalie Picard</t>
  </si>
  <si>
    <r>
      <rPr>
        <rFont val="Noto Sans CJK SC"/>
        <b/>
        <color theme="1"/>
        <sz val="10.0"/>
      </rPr>
      <t xml:space="preserve">■ 출발지 집계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 xml:space="preserve">버스 </t>
    </r>
    <r>
      <rPr>
        <rFont val="Arial"/>
        <b/>
        <color theme="1"/>
        <sz val="10.0"/>
      </rPr>
      <t>80</t>
    </r>
    <r>
      <rPr>
        <rFont val="Noto Sans CJK SC"/>
        <b/>
        <color theme="1"/>
        <sz val="10.0"/>
      </rPr>
      <t>석 확인용</t>
    </r>
    <r>
      <rPr>
        <rFont val="Arial"/>
        <b/>
        <color theme="1"/>
        <sz val="10.0"/>
      </rPr>
      <t>)</t>
    </r>
  </si>
  <si>
    <r>
      <rPr>
        <rFont val="Arial"/>
        <color theme="1"/>
        <sz val="10.0"/>
      </rPr>
      <t>Seoul Campus (</t>
    </r>
    <r>
      <rPr>
        <rFont val="Noto Sans CJK SC"/>
        <color theme="1"/>
        <sz val="10.0"/>
      </rPr>
      <t>버스</t>
    </r>
    <r>
      <rPr>
        <rFont val="Arial"/>
        <color theme="1"/>
        <sz val="10.0"/>
      </rPr>
      <t>)</t>
    </r>
  </si>
  <si>
    <t>Nancy Ellen</t>
  </si>
  <si>
    <t>Monique Palmer Hetharia</t>
  </si>
  <si>
    <t>Pascal Julian Schaufuss</t>
  </si>
  <si>
    <t>Paolo Castro Palanisamy</t>
  </si>
  <si>
    <t>Peter Moeller Naur</t>
  </si>
  <si>
    <r>
      <rPr>
        <rFont val="Arial"/>
        <color theme="1"/>
        <sz val="10.0"/>
      </rPr>
      <t>Suwon Campus (</t>
    </r>
    <r>
      <rPr>
        <rFont val="Noto Sans CJK SC"/>
        <color theme="1"/>
        <sz val="10.0"/>
      </rPr>
      <t>현장 집합</t>
    </r>
    <r>
      <rPr>
        <rFont val="Arial"/>
        <color theme="1"/>
        <sz val="10.0"/>
      </rPr>
      <t>)</t>
    </r>
  </si>
  <si>
    <t>2026319200</t>
  </si>
  <si>
    <t>Sini Maunu</t>
  </si>
  <si>
    <r>
      <rPr>
        <rFont val="Noto Sans CJK SC"/>
        <b/>
        <color theme="1"/>
        <sz val="10.0"/>
      </rPr>
      <t>버스 정원</t>
    </r>
    <r>
      <rPr>
        <rFont val="Arial"/>
        <b/>
        <color theme="1"/>
        <sz val="10.0"/>
      </rPr>
      <t xml:space="preserve">(80) </t>
    </r>
    <r>
      <rPr>
        <rFont val="Noto Sans CJK SC"/>
        <b/>
        <color theme="1"/>
        <sz val="10.0"/>
      </rPr>
      <t>초과 인원</t>
    </r>
  </si>
  <si>
    <t>Radhiyya Yusuf Dafi</t>
  </si>
  <si>
    <t>Theis Hove</t>
  </si>
  <si>
    <t>Nea Kinnunen</t>
  </si>
  <si>
    <t>■ 수동 확인 필요</t>
  </si>
  <si>
    <t>대상</t>
  </si>
  <si>
    <t>Simon Sievert</t>
  </si>
  <si>
    <t>내용</t>
  </si>
  <si>
    <t>Paul Moench</t>
  </si>
  <si>
    <t>Titus Toivanen</t>
  </si>
  <si>
    <t>Petra Tuunanen</t>
  </si>
  <si>
    <t>2026318730</t>
  </si>
  <si>
    <t>미납 제외</t>
  </si>
  <si>
    <r>
      <rPr>
        <rFont val="Noto Sans CJK SC"/>
        <color theme="1"/>
        <sz val="10.0"/>
      </rPr>
      <t xml:space="preserve">수금부스 </t>
    </r>
    <r>
      <rPr>
        <rFont val="Arial"/>
        <color theme="1"/>
        <sz val="10.0"/>
      </rPr>
      <t>pay=FALSE 10</t>
    </r>
    <r>
      <rPr>
        <rFont val="Noto Sans CJK SC"/>
        <color theme="1"/>
        <sz val="10.0"/>
      </rPr>
      <t>명을 명단에서 제외함</t>
    </r>
    <r>
      <rPr>
        <rFont val="Arial"/>
        <color theme="1"/>
        <sz val="10.0"/>
      </rPr>
      <t>: Jennifer Parathithasan, Emerald Trinh (</t>
    </r>
    <r>
      <rPr>
        <rFont val="Noto Sans CJK SC"/>
        <color theme="1"/>
        <sz val="10.0"/>
      </rPr>
      <t xml:space="preserve">취소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인스타 디엠</t>
    </r>
    <r>
      <rPr>
        <rFont val="Arial"/>
        <color theme="1"/>
        <sz val="10.0"/>
      </rPr>
      <t>), Yeonseo Jo (</t>
    </r>
    <r>
      <rPr>
        <rFont val="Noto Sans CJK SC"/>
        <color theme="1"/>
        <sz val="10.0"/>
      </rPr>
      <t>수금표 학번 미기재</t>
    </r>
    <r>
      <rPr>
        <rFont val="Arial"/>
        <color theme="1"/>
        <sz val="10.0"/>
      </rPr>
      <t>), Trinh Ngoc Thuc Anh, Nazel Goersoy, Mortada Guesmia, Emil Tenhagen (</t>
    </r>
    <r>
      <rPr>
        <rFont val="Noto Sans CJK SC"/>
        <color theme="1"/>
        <sz val="10.0"/>
      </rPr>
      <t>인스타 디엠 보내놓음</t>
    </r>
    <r>
      <rPr>
        <rFont val="Arial"/>
        <color theme="1"/>
        <sz val="10.0"/>
      </rPr>
      <t>), Cassandra Brandner (</t>
    </r>
    <r>
      <rPr>
        <rFont val="Noto Sans CJK SC"/>
        <color theme="1"/>
        <sz val="10.0"/>
      </rPr>
      <t xml:space="preserve">취소 </t>
    </r>
    <r>
      <rPr>
        <rFont val="Arial"/>
        <color theme="1"/>
        <sz val="10.0"/>
      </rPr>
      <t xml:space="preserve">- </t>
    </r>
    <r>
      <rPr>
        <rFont val="Noto Sans CJK SC"/>
        <color theme="1"/>
        <sz val="10.0"/>
      </rPr>
      <t>인스타 연락</t>
    </r>
    <r>
      <rPr>
        <rFont val="Arial"/>
        <color theme="1"/>
        <sz val="10.0"/>
      </rPr>
      <t>), Lorick Forest, Tobias Sejling Tops</t>
    </r>
  </si>
  <si>
    <t>Siiri Tammisto</t>
  </si>
  <si>
    <t>Noora Lehtonen</t>
  </si>
  <si>
    <t>2026318785</t>
  </si>
  <si>
    <t>Tereza Junkova</t>
  </si>
  <si>
    <r>
      <rPr>
        <rFont val="Noto Sans CJK SC"/>
        <color theme="1"/>
        <sz val="10.0"/>
      </rPr>
      <t xml:space="preserve">연락처 새로 남겨주심 </t>
    </r>
    <r>
      <rPr>
        <rFont val="Arial"/>
        <color theme="1"/>
        <sz val="10.0"/>
      </rPr>
      <t xml:space="preserve">(gero.bresgen@gmx.de / +49 15159401074), </t>
    </r>
    <r>
      <rPr>
        <rFont val="Noto Sans CJK SC"/>
        <color theme="1"/>
        <sz val="10.0"/>
      </rPr>
      <t>기존 컨택 방법 없음</t>
    </r>
  </si>
  <si>
    <t>Paula Galindo Infante</t>
  </si>
  <si>
    <t>2026318971</t>
  </si>
  <si>
    <t>Vera Krom</t>
  </si>
  <si>
    <r>
      <rPr>
        <rFont val="Noto Sans CJK SC"/>
        <color theme="1"/>
        <sz val="10.0"/>
      </rPr>
      <t>학번 정정</t>
    </r>
    <r>
      <rPr>
        <rFont val="Arial"/>
        <color theme="1"/>
        <sz val="10.0"/>
      </rPr>
      <t>: 202631897 → 2026318971</t>
    </r>
  </si>
  <si>
    <t>2026318973</t>
  </si>
  <si>
    <r>
      <rPr>
        <rFont val="Noto Sans CJK SC"/>
        <color theme="1"/>
        <sz val="10.0"/>
      </rPr>
      <t xml:space="preserve">티셔츠 </t>
    </r>
    <r>
      <rPr>
        <rFont val="Arial"/>
        <color theme="1"/>
        <sz val="10.0"/>
      </rPr>
      <t xml:space="preserve">L → 2XL </t>
    </r>
    <r>
      <rPr>
        <rFont val="Noto Sans CJK SC"/>
        <color theme="1"/>
        <sz val="10.0"/>
      </rPr>
      <t>변경</t>
    </r>
  </si>
  <si>
    <t>Sofia Felicetti</t>
  </si>
  <si>
    <t>Noora Sipponen</t>
  </si>
  <si>
    <t>Rafael Cunha</t>
  </si>
  <si>
    <t>2026318759</t>
  </si>
  <si>
    <t>2026319108</t>
  </si>
  <si>
    <r>
      <rPr>
        <rFont val="Noto Sans CJK SC"/>
        <color theme="1"/>
        <sz val="10.0"/>
      </rPr>
      <t xml:space="preserve">티셔츠 </t>
    </r>
    <r>
      <rPr>
        <rFont val="Arial"/>
        <color theme="1"/>
        <sz val="10.0"/>
      </rPr>
      <t xml:space="preserve">L → M </t>
    </r>
    <r>
      <rPr>
        <rFont val="Noto Sans CJK SC"/>
        <color theme="1"/>
        <sz val="10.0"/>
      </rPr>
      <t>변경</t>
    </r>
  </si>
  <si>
    <t>Vaillant Ambre Sylvette Simone</t>
  </si>
  <si>
    <t>Romina Raissizadeh</t>
  </si>
  <si>
    <t>Vergil Lam</t>
  </si>
  <si>
    <t>Alberto Carvalho, Beatriz Costa, Ines</t>
  </si>
  <si>
    <t>2026318578</t>
  </si>
  <si>
    <t>Suzuka Tawara</t>
  </si>
  <si>
    <r>
      <rPr>
        <rFont val="Noto Sans CJK SC"/>
        <color theme="1"/>
        <sz val="10.0"/>
      </rPr>
      <t>이름 확인</t>
    </r>
    <r>
      <rPr>
        <rFont val="Arial"/>
        <color theme="1"/>
        <sz val="10.0"/>
      </rPr>
      <t>: Sofia Feucetti (</t>
    </r>
    <r>
      <rPr>
        <rFont val="Noto Sans CJK SC"/>
        <color theme="1"/>
        <sz val="10.0"/>
      </rPr>
      <t xml:space="preserve">폼 이메일은 </t>
    </r>
    <r>
      <rPr>
        <rFont val="Arial"/>
        <color theme="1"/>
        <sz val="10.0"/>
      </rPr>
      <t>Felicetti)</t>
    </r>
  </si>
  <si>
    <t>Sebastian Binke</t>
  </si>
  <si>
    <t>2026319042</t>
  </si>
  <si>
    <t>학번 확인 필요</t>
  </si>
  <si>
    <t>Yanis Moustaghfir</t>
  </si>
  <si>
    <t>Selma Schumacher</t>
  </si>
  <si>
    <t>Serafima Pavlova</t>
  </si>
  <si>
    <t>2026318898</t>
  </si>
  <si>
    <t>2026318577</t>
  </si>
  <si>
    <r>
      <rPr>
        <rFont val="Noto Sans CJK SC"/>
        <color theme="1"/>
        <sz val="10.0"/>
      </rPr>
      <t xml:space="preserve">티셔츠 </t>
    </r>
    <r>
      <rPr>
        <rFont val="Arial"/>
        <color theme="1"/>
        <sz val="10.0"/>
      </rPr>
      <t xml:space="preserve">L </t>
    </r>
    <r>
      <rPr>
        <rFont val="Noto Sans CJK SC"/>
        <color theme="1"/>
        <sz val="10.0"/>
      </rPr>
      <t>확인</t>
    </r>
  </si>
  <si>
    <t>Viggo Renman</t>
  </si>
  <si>
    <t>2026318954</t>
  </si>
  <si>
    <t>수원에서 수금</t>
  </si>
  <si>
    <t>Tom Nathanael Paumard</t>
  </si>
  <si>
    <t>2026319215</t>
  </si>
  <si>
    <t>율전 수금</t>
  </si>
  <si>
    <t>Valerie Del Campo</t>
  </si>
  <si>
    <t>Yosra El Bazoui Lamouaddar</t>
  </si>
  <si>
    <t>2026318710</t>
  </si>
  <si>
    <r>
      <rPr>
        <rFont val="Noto Sans CJK SC"/>
        <color theme="1"/>
        <sz val="10.0"/>
      </rPr>
      <t>서울에서 수금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컨택 방법 없음</t>
    </r>
  </si>
  <si>
    <t>Tim Yang</t>
  </si>
  <si>
    <t>Weng Lingchih</t>
  </si>
  <si>
    <t>서울에서 수금</t>
  </si>
  <si>
    <t>Theis Oestergaard Hove</t>
  </si>
  <si>
    <t>2026318814</t>
  </si>
  <si>
    <t>Yuliana Alcaraz</t>
  </si>
  <si>
    <t>2026318771</t>
  </si>
  <si>
    <t>2026319060</t>
  </si>
  <si>
    <t>2026318645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</si>
  <si>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"Lisa Oelschlagel" — </t>
    </r>
    <r>
      <rPr>
        <rFont val="Noto Sans CJK SC"/>
        <color theme="1"/>
        <sz val="10.0"/>
      </rPr>
      <t>응답자 명단에 없어 매칭 안 됨</t>
    </r>
  </si>
  <si>
    <t>SADNESS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</si>
  <si>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"Ryan Cherevko, Ruth, Sue, Hannah" — </t>
    </r>
    <r>
      <rPr>
        <rFont val="Noto Sans CJK SC"/>
        <color theme="1"/>
        <sz val="10.0"/>
      </rPr>
      <t>응답자 명단에 없어 매칭 안 됨</t>
    </r>
  </si>
  <si>
    <t>2026318585</t>
  </si>
  <si>
    <t>Trinh Ngoc Thuc Anh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</si>
  <si>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"Vanessa"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</si>
  <si>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"Lena"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</si>
  <si>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"jiayi"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</si>
  <si>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"Mirella" — </t>
    </r>
    <r>
      <rPr>
        <rFont val="Noto Sans CJK SC"/>
        <color theme="1"/>
        <sz val="10.0"/>
      </rPr>
      <t>응답자 명단에 없어 매칭 안 됨</t>
    </r>
  </si>
  <si>
    <t>2026318573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</si>
  <si>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"Natalie"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</si>
  <si>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"Lucas Paul"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</si>
  <si>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>"</t>
    </r>
    <r>
      <rPr>
        <rFont val="Noto Sans CJK SC"/>
        <color theme="1"/>
        <sz val="10.0"/>
      </rPr>
      <t xml:space="preserve">서연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한국인</t>
    </r>
    <r>
      <rPr>
        <rFont val="Arial"/>
        <color theme="1"/>
        <sz val="10.0"/>
      </rPr>
      <t xml:space="preserve">)" — </t>
    </r>
    <r>
      <rPr>
        <rFont val="Noto Sans CJK SC"/>
        <color theme="1"/>
        <sz val="10.0"/>
      </rPr>
      <t>응답자 명단에 없어 매칭 안 됨</t>
    </r>
  </si>
  <si>
    <t>2026318735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</si>
  <si>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"Anna Viklund" — </t>
    </r>
    <r>
      <rPr>
        <rFont val="Noto Sans CJK SC"/>
        <color theme="1"/>
        <sz val="10.0"/>
      </rPr>
      <t>응답자 명단에 없어 매칭 안 됨</t>
    </r>
  </si>
  <si>
    <t>Alessandro Noia, Sofia Felicetti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</si>
  <si>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"Carlos Moreiras"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</si>
  <si>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>"L (</t>
    </r>
    <r>
      <rPr>
        <rFont val="Noto Sans CJK SC"/>
        <color theme="1"/>
        <sz val="10.0"/>
      </rPr>
      <t>식별 불가</t>
    </r>
    <r>
      <rPr>
        <rFont val="Arial"/>
        <color theme="1"/>
        <sz val="10.0"/>
      </rPr>
      <t xml:space="preserve">)" — </t>
    </r>
    <r>
      <rPr>
        <rFont val="Noto Sans CJK SC"/>
        <color theme="1"/>
        <sz val="10.0"/>
      </rPr>
      <t>응답자 명단에 없어 매칭 안 됨</t>
    </r>
  </si>
  <si>
    <t>Mortada Guesmia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</si>
  <si>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"None"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</si>
  <si>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"N/A" — </t>
    </r>
    <r>
      <rPr>
        <rFont val="Noto Sans CJK SC"/>
        <color theme="1"/>
        <sz val="10.0"/>
      </rPr>
      <t>응답자 명단에 없어 매칭 안 됨</t>
    </r>
  </si>
  <si>
    <t>2026318156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</si>
  <si>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>"</t>
    </r>
    <r>
      <rPr>
        <rFont val="Noto Sans CJK SC"/>
        <color theme="1"/>
        <sz val="10.0"/>
      </rPr>
      <t>친구 없음이라 응답</t>
    </r>
    <r>
      <rPr>
        <rFont val="Arial"/>
        <color theme="1"/>
        <sz val="10.0"/>
      </rPr>
      <t xml:space="preserve">" — </t>
    </r>
    <r>
      <rPr>
        <rFont val="Noto Sans CJK SC"/>
        <color theme="1"/>
        <sz val="10.0"/>
      </rPr>
      <t>응답자 명단에 없어 매칭 안 됨</t>
    </r>
  </si>
  <si>
    <t>2026318866</t>
  </si>
  <si>
    <t>Lea Koric</t>
  </si>
  <si>
    <t>2026319293</t>
  </si>
  <si>
    <t>2026318586</t>
  </si>
  <si>
    <t>Halal</t>
  </si>
  <si>
    <t>2026319173</t>
  </si>
  <si>
    <t>2026318745</t>
  </si>
  <si>
    <t>2026318912</t>
  </si>
  <si>
    <t>2026318825</t>
  </si>
  <si>
    <t>2026318906</t>
  </si>
  <si>
    <t>2026318945</t>
  </si>
  <si>
    <t>2026319095</t>
  </si>
  <si>
    <t>No meat</t>
  </si>
  <si>
    <t>2026319191</t>
  </si>
  <si>
    <t>2026318902</t>
  </si>
  <si>
    <t>2026319052</t>
  </si>
  <si>
    <t>2026318923</t>
  </si>
  <si>
    <t>2026319059</t>
  </si>
  <si>
    <t>2026318983</t>
  </si>
  <si>
    <t>2026318929</t>
  </si>
  <si>
    <t>2026319157</t>
  </si>
  <si>
    <t>2026318840</t>
  </si>
  <si>
    <t>Gracia Rufyiritana</t>
  </si>
  <si>
    <t>2026318618</t>
  </si>
  <si>
    <t>No pork/alcohol</t>
  </si>
  <si>
    <t>2026318693</t>
  </si>
  <si>
    <t>2026318755</t>
  </si>
  <si>
    <t>2026318824</t>
  </si>
  <si>
    <t>ANGER</t>
  </si>
  <si>
    <t>2026319289</t>
  </si>
  <si>
    <t>2026319013</t>
  </si>
  <si>
    <t>2026319241</t>
  </si>
  <si>
    <t>2026318766</t>
  </si>
  <si>
    <t>2026319039</t>
  </si>
  <si>
    <t>Mats Ummelen, Linus Dircks</t>
  </si>
  <si>
    <t>2026318670</t>
  </si>
  <si>
    <t>2026318943</t>
  </si>
  <si>
    <t>Mats Ummelen</t>
  </si>
  <si>
    <t>2026318750</t>
  </si>
  <si>
    <t>2026318807</t>
  </si>
  <si>
    <t>2026318881</t>
  </si>
  <si>
    <t>2026319207</t>
  </si>
  <si>
    <t>Santiago</t>
  </si>
  <si>
    <t>2026318964</t>
  </si>
  <si>
    <t>Monique Palmer</t>
  </si>
  <si>
    <t>2026318892</t>
  </si>
  <si>
    <t>2026318801</t>
  </si>
  <si>
    <t>2026319005</t>
  </si>
  <si>
    <t>2026319045</t>
  </si>
  <si>
    <t>2026319244</t>
  </si>
  <si>
    <t>2026319279</t>
  </si>
  <si>
    <t>2026318678</t>
  </si>
  <si>
    <t>2026319035</t>
  </si>
  <si>
    <t>Kiara Gibson</t>
  </si>
  <si>
    <t>2026318800</t>
  </si>
  <si>
    <t>2026319068</t>
  </si>
  <si>
    <t>2026318663</t>
  </si>
  <si>
    <t>2026319061</t>
  </si>
  <si>
    <t>Vegetarian</t>
  </si>
  <si>
    <t>Gero</t>
  </si>
  <si>
    <t>2026318919</t>
  </si>
  <si>
    <t>DISGUST</t>
  </si>
  <si>
    <t>2026318742</t>
  </si>
  <si>
    <t>2026319269</t>
  </si>
  <si>
    <t>2026319063</t>
  </si>
  <si>
    <t>Sila Kocausta</t>
  </si>
  <si>
    <t>2026318901</t>
  </si>
  <si>
    <t>2026318828</t>
  </si>
  <si>
    <t>Kristina</t>
  </si>
  <si>
    <t>2026318683</t>
  </si>
  <si>
    <t>2026318667</t>
  </si>
  <si>
    <t>Peanut allergy</t>
  </si>
  <si>
    <t>2026318934</t>
  </si>
  <si>
    <t>2026318721</t>
  </si>
  <si>
    <t>2026318639</t>
  </si>
  <si>
    <t>2026319146</t>
  </si>
  <si>
    <t>Liz</t>
  </si>
  <si>
    <t>2026318584</t>
  </si>
  <si>
    <t>No fish/seafood</t>
  </si>
  <si>
    <t>2026318728</t>
  </si>
  <si>
    <t>2026319114</t>
  </si>
  <si>
    <t>Veggie</t>
  </si>
  <si>
    <t>Lisa</t>
  </si>
  <si>
    <t>2026318981</t>
  </si>
  <si>
    <t>Jade Apiou</t>
  </si>
  <si>
    <t>2026318607</t>
  </si>
  <si>
    <t>2026319285</t>
  </si>
  <si>
    <t>Juli</t>
  </si>
  <si>
    <t>2026318646</t>
  </si>
  <si>
    <t>2026318986</t>
  </si>
  <si>
    <t>2026319176</t>
  </si>
  <si>
    <t>2026319078</t>
  </si>
  <si>
    <t>2026319132</t>
  </si>
  <si>
    <t>2026318864</t>
  </si>
  <si>
    <t>2026318905</t>
  </si>
  <si>
    <t>2026318924</t>
  </si>
  <si>
    <t>Halal meat</t>
  </si>
  <si>
    <t>FEAR</t>
  </si>
  <si>
    <t>2026319168</t>
  </si>
  <si>
    <t>2026318674</t>
  </si>
  <si>
    <t>2026319125</t>
  </si>
  <si>
    <t>Hanna Wild</t>
  </si>
  <si>
    <t>2026319142</t>
  </si>
  <si>
    <t>2026319172</t>
  </si>
  <si>
    <t>Giacomo Vernucci, Miro Duman</t>
  </si>
  <si>
    <t>2026319096</t>
  </si>
  <si>
    <t>2026319047</t>
  </si>
  <si>
    <t>Dylan Broderick, Miro Duman</t>
  </si>
  <si>
    <t>2026319158</t>
  </si>
  <si>
    <t>2026319284</t>
  </si>
  <si>
    <t>2026318907</t>
  </si>
  <si>
    <t>2026319121</t>
  </si>
  <si>
    <t>Paolo Palanisamy</t>
  </si>
  <si>
    <t>2026319027</t>
  </si>
  <si>
    <t>2026319282</t>
  </si>
  <si>
    <t>2026319237</t>
  </si>
  <si>
    <t>Emil Tenhagen</t>
  </si>
  <si>
    <t>2026318662</t>
  </si>
  <si>
    <t>2026319003</t>
  </si>
  <si>
    <t>2026318752</t>
  </si>
  <si>
    <t>Nuts</t>
  </si>
  <si>
    <t>2026319143</t>
  </si>
  <si>
    <t>2026318796</t>
  </si>
  <si>
    <t>Dylan Broderick, Giacomo Vernucci</t>
  </si>
  <si>
    <t>2026318659</t>
  </si>
  <si>
    <t>No pork/beef</t>
  </si>
  <si>
    <t>2026318992</t>
  </si>
  <si>
    <t>2026318684</t>
  </si>
  <si>
    <t>2026318600</t>
  </si>
  <si>
    <t>2026319206</t>
  </si>
  <si>
    <t>ANXIETY</t>
  </si>
  <si>
    <t>2026319102</t>
  </si>
  <si>
    <t>2026319273</t>
  </si>
  <si>
    <t>2026318652</t>
  </si>
  <si>
    <t>2026319126</t>
  </si>
  <si>
    <t>2026319087</t>
  </si>
  <si>
    <t>Virgil</t>
  </si>
  <si>
    <t>2026318627</t>
  </si>
  <si>
    <t>2026318712</t>
  </si>
  <si>
    <t>Alberto Lolli</t>
  </si>
  <si>
    <t>2026318666</t>
  </si>
  <si>
    <t>2026318741</t>
  </si>
  <si>
    <t>Gluten</t>
  </si>
  <si>
    <t>2026318767</t>
  </si>
  <si>
    <t>2026318837</t>
  </si>
  <si>
    <t>2026318949</t>
  </si>
  <si>
    <t>2026318648</t>
  </si>
  <si>
    <t>2026319144</t>
  </si>
  <si>
    <t>2026319134</t>
  </si>
  <si>
    <t>2026319297</t>
  </si>
  <si>
    <t>2026319106</t>
  </si>
  <si>
    <t>2026318699</t>
  </si>
  <si>
    <t>2026319252</t>
  </si>
  <si>
    <t>2026319131</t>
  </si>
  <si>
    <t>2026318779</t>
  </si>
  <si>
    <t>2026318989</t>
  </si>
  <si>
    <t>2026318675</t>
  </si>
  <si>
    <t>Oksana Ptashnyk</t>
  </si>
  <si>
    <t>2026318917</t>
  </si>
  <si>
    <t>Deni</t>
  </si>
  <si>
    <t>2026318969</t>
  </si>
  <si>
    <t>2026319247</t>
  </si>
  <si>
    <t>2026319212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</si>
</sst>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FFFFFF"/>
      <name val="Noto Sans"/>
    </font>
    <font>
      <b/>
      <sz val="13.0"/>
      <color theme="1"/>
      <name val="Arial"/>
    </font>
    <font>
      <i/>
      <sz val="10.0"/>
      <color rgb="FF666666"/>
      <name val="Noto Sans"/>
    </font>
    <font>
      <b/>
      <sz val="10.0"/>
      <color theme="1"/>
      <name val="Noto Sans"/>
    </font>
    <font>
      <b/>
      <sz val="12.0"/>
      <color rgb="FF1A1A1A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Noto Sans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F3E50"/>
        <bgColor rgb="FF2F3E50"/>
      </patternFill>
    </fill>
    <fill>
      <patternFill patternType="solid">
        <fgColor rgb="FFFFE066"/>
        <bgColor rgb="FFFFE066"/>
      </patternFill>
    </fill>
    <fill>
      <patternFill patternType="solid">
        <fgColor rgb="FF7FB2E5"/>
        <bgColor rgb="FF7FB2E5"/>
      </patternFill>
    </fill>
    <fill>
      <patternFill patternType="solid">
        <fgColor rgb="FFF08A7A"/>
        <bgColor rgb="FFF08A7A"/>
      </patternFill>
    </fill>
    <fill>
      <patternFill patternType="solid">
        <fgColor rgb="FF9BD17B"/>
        <bgColor rgb="FF9BD17B"/>
      </patternFill>
    </fill>
    <fill>
      <patternFill patternType="solid">
        <fgColor rgb="FFC6A9E0"/>
        <bgColor rgb="FFC6A9E0"/>
      </patternFill>
    </fill>
    <fill>
      <patternFill patternType="solid">
        <fgColor rgb="FFF5B14C"/>
        <bgColor rgb="FFF5B14C"/>
      </patternFill>
    </fill>
    <fill>
      <patternFill patternType="solid">
        <fgColor rgb="FFEDEDED"/>
        <bgColor rgb="FFEDEDED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horizontal="center" shrinkToFit="0" vertical="center" wrapText="0"/>
    </xf>
    <xf borderId="3" fillId="0" fontId="7" numFmtId="0" xfId="0" applyBorder="1" applyFont="1"/>
    <xf borderId="4" fillId="0" fontId="7" numFmtId="0" xfId="0" applyBorder="1" applyFont="1"/>
    <xf borderId="1" fillId="0" fontId="8" numFmtId="0" xfId="0" applyAlignment="1" applyBorder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4" fontId="6" numFmtId="0" xfId="0" applyAlignment="1" applyBorder="1" applyFill="1" applyFont="1">
      <alignment horizontal="center" shrinkToFit="0" vertical="center" wrapText="0"/>
    </xf>
    <xf borderId="1" fillId="3" fontId="8" numFmtId="0" xfId="0" applyAlignment="1" applyBorder="1" applyFill="1" applyFont="1">
      <alignment horizontal="center" shrinkToFit="0" vertical="center" wrapText="0"/>
    </xf>
    <xf borderId="1" fillId="3" fontId="9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2" fillId="5" fontId="6" numFmtId="0" xfId="0" applyAlignment="1" applyBorder="1" applyFill="1" applyFont="1">
      <alignment horizontal="center" shrinkToFit="0" vertical="center" wrapText="0"/>
    </xf>
    <xf borderId="2" fillId="6" fontId="6" numFmtId="0" xfId="0" applyAlignment="1" applyBorder="1" applyFill="1" applyFont="1">
      <alignment horizontal="center" shrinkToFit="0" vertical="center" wrapText="0"/>
    </xf>
    <xf borderId="2" fillId="7" fontId="6" numFmtId="0" xfId="0" applyAlignment="1" applyBorder="1" applyFill="1" applyFont="1">
      <alignment horizontal="center" shrinkToFit="0" vertical="center" wrapText="0"/>
    </xf>
    <xf borderId="2" fillId="8" fontId="6" numFmtId="0" xfId="0" applyAlignment="1" applyBorder="1" applyFill="1" applyFont="1">
      <alignment horizontal="center" shrinkToFit="0" vertical="center" wrapText="0"/>
    </xf>
    <xf borderId="1" fillId="0" fontId="8" numFmtId="164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1" fillId="4" fontId="9" numFmtId="0" xfId="0" applyAlignment="1" applyBorder="1" applyFill="1" applyFont="1">
      <alignment shrinkToFit="0" vertical="bottom" wrapText="0"/>
    </xf>
    <xf borderId="1" fillId="5" fontId="9" numFmtId="0" xfId="0" applyAlignment="1" applyBorder="1" applyFill="1" applyFont="1">
      <alignment shrinkToFit="0" vertical="bottom" wrapText="0"/>
    </xf>
    <xf borderId="1" fillId="6" fontId="9" numFmtId="0" xfId="0" applyAlignment="1" applyBorder="1" applyFill="1" applyFont="1">
      <alignment shrinkToFit="0" vertical="bottom" wrapText="0"/>
    </xf>
    <xf borderId="1" fillId="7" fontId="9" numFmtId="0" xfId="0" applyAlignment="1" applyBorder="1" applyFill="1" applyFont="1">
      <alignment shrinkToFit="0" vertical="bottom" wrapText="0"/>
    </xf>
    <xf borderId="1" fillId="8" fontId="9" numFmtId="0" xfId="0" applyAlignment="1" applyBorder="1" applyFill="1" applyFont="1">
      <alignment shrinkToFit="0" vertical="bottom" wrapText="0"/>
    </xf>
    <xf borderId="1" fillId="9" fontId="5" numFmtId="0" xfId="0" applyAlignment="1" applyBorder="1" applyFill="1" applyFont="1">
      <alignment shrinkToFit="0" vertical="bottom" wrapText="0"/>
    </xf>
    <xf borderId="1" fillId="9" fontId="9" numFmtId="0" xfId="0" applyAlignment="1" applyBorder="1" applyFill="1" applyFont="1">
      <alignment horizontal="center" shrinkToFit="0" vertical="center" wrapText="0"/>
    </xf>
    <xf borderId="1" fillId="9" fontId="9" numFmtId="164" xfId="0" applyAlignment="1" applyBorder="1" applyFill="1" applyFont="1" applyNumberFormat="1">
      <alignment horizontal="center" shrinkToFit="0" vertical="center" wrapText="0"/>
    </xf>
    <xf borderId="1" fillId="0" fontId="10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bottom" wrapText="0"/>
    </xf>
    <xf borderId="5" fillId="2" fontId="2" numFmtId="0" xfId="0" applyAlignment="1" applyBorder="1" applyFill="1" applyFont="1">
      <alignment horizontal="center" shrinkToFit="0" vertical="center" wrapText="0"/>
    </xf>
    <xf borderId="6" fillId="0" fontId="7" numFmtId="0" xfId="0" applyBorder="1" applyFont="1"/>
    <xf borderId="7" fillId="0" fontId="7" numFmtId="0" xfId="0" applyBorder="1" applyFont="1"/>
    <xf borderId="5" fillId="0" fontId="10" numFmtId="0" xfId="0" applyAlignment="1" applyBorder="1" applyFont="1">
      <alignment shrinkToFit="0" vertical="bottom" wrapText="0"/>
    </xf>
    <xf borderId="1" fillId="4" fontId="8" numFmtId="0" xfId="0" applyAlignment="1" applyBorder="1" applyFill="1" applyFont="1">
      <alignment horizontal="center" shrinkToFit="0" vertical="center" wrapText="0"/>
    </xf>
    <xf borderId="1" fillId="5" fontId="8" numFmtId="0" xfId="0" applyAlignment="1" applyBorder="1" applyFill="1" applyFont="1">
      <alignment horizontal="center" shrinkToFit="0" vertical="center" wrapText="0"/>
    </xf>
    <xf borderId="1" fillId="6" fontId="8" numFmtId="0" xfId="0" applyAlignment="1" applyBorder="1" applyFill="1" applyFont="1">
      <alignment horizontal="center" shrinkToFit="0" vertical="center" wrapText="0"/>
    </xf>
    <xf borderId="1" fillId="7" fontId="8" numFmtId="0" xfId="0" applyAlignment="1" applyBorder="1" applyFill="1" applyFont="1">
      <alignment horizontal="center" shrinkToFit="0" vertical="center" wrapText="0"/>
    </xf>
    <xf borderId="1" fillId="8" fontId="8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CE4EC"/>
          <bgColor rgb="FFFCE4EC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E8F5E9"/>
          <bgColor rgb="FFE8F5E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0.0"/>
    <col customWidth="1" min="4" max="4" width="12.0"/>
    <col customWidth="1" min="5" max="5" width="7.0"/>
    <col customWidth="1" min="6" max="6" width="9.0"/>
    <col customWidth="1" min="7" max="7" width="10.0"/>
    <col customWidth="1" min="8" max="8" width="18.0"/>
    <col customWidth="1" min="9" max="9" width="34.0"/>
    <col customWidth="1" min="10" max="11" width="10.0"/>
    <col customWidth="1" min="12" max="12" width="12.0"/>
    <col customWidth="1" min="13" max="26" width="8.71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10</v>
      </c>
      <c r="I1" s="2" t="s">
        <v>12</v>
      </c>
      <c r="J1" s="2" t="s">
        <v>14</v>
      </c>
      <c r="K1" s="2" t="s">
        <v>16</v>
      </c>
      <c r="L1" s="2" t="s">
        <v>18</v>
      </c>
    </row>
    <row r="2">
      <c r="A2" s="9">
        <v>1.0</v>
      </c>
      <c r="B2" s="12" t="s">
        <v>23</v>
      </c>
      <c r="C2" s="14" t="s">
        <v>24</v>
      </c>
      <c r="D2" s="9" t="s">
        <v>26</v>
      </c>
      <c r="E2" s="9" t="s">
        <v>27</v>
      </c>
      <c r="F2" s="9" t="s">
        <v>28</v>
      </c>
      <c r="G2" s="9" t="s">
        <v>29</v>
      </c>
      <c r="H2" s="14" t="s">
        <v>30</v>
      </c>
      <c r="I2" s="14"/>
      <c r="J2" s="9"/>
      <c r="K2" s="9" t="str">
        <f>IF(COUNTIF('팀별_명단'!$A$5:$W$34,$C2)=1,"OK","확인")</f>
        <v>OK</v>
      </c>
      <c r="L2" s="9" t="str">
        <f t="shared" ref="L2:L171" si="1">IF($J2="","-",IF(COUNTIFS($J$2:$J$171,$J2,$B$2:$B$171,$B2)=COUNTIF($J$2:$J$171,$J2),"OK","확인"))</f>
        <v>-</v>
      </c>
    </row>
    <row r="3">
      <c r="A3" s="9">
        <v>2.0</v>
      </c>
      <c r="B3" s="12" t="s">
        <v>23</v>
      </c>
      <c r="C3" s="14" t="s">
        <v>34</v>
      </c>
      <c r="D3" s="9" t="s">
        <v>35</v>
      </c>
      <c r="E3" s="9" t="s">
        <v>27</v>
      </c>
      <c r="F3" s="9" t="s">
        <v>27</v>
      </c>
      <c r="G3" s="9" t="s">
        <v>29</v>
      </c>
      <c r="H3" s="14"/>
      <c r="I3" s="14" t="s">
        <v>36</v>
      </c>
      <c r="J3" s="9">
        <v>143.0</v>
      </c>
      <c r="K3" s="9" t="str">
        <f>IF(COUNTIF('팀별_명단'!$A$5:$W$34,$C3)=1,"OK","확인")</f>
        <v>OK</v>
      </c>
      <c r="L3" s="9" t="str">
        <f t="shared" si="1"/>
        <v>OK</v>
      </c>
    </row>
    <row r="4">
      <c r="A4" s="9">
        <v>3.0</v>
      </c>
      <c r="B4" s="12" t="s">
        <v>23</v>
      </c>
      <c r="C4" s="14" t="s">
        <v>38</v>
      </c>
      <c r="D4" s="9" t="s">
        <v>39</v>
      </c>
      <c r="E4" s="9" t="s">
        <v>40</v>
      </c>
      <c r="F4" s="9" t="s">
        <v>28</v>
      </c>
      <c r="G4" s="9" t="s">
        <v>41</v>
      </c>
      <c r="H4" s="14"/>
      <c r="I4" s="14"/>
      <c r="J4" s="9"/>
      <c r="K4" s="9" t="str">
        <f>IF(COUNTIF('팀별_명단'!$A$5:$W$34,$C4)=1,"OK","확인")</f>
        <v>OK</v>
      </c>
      <c r="L4" s="9" t="str">
        <f t="shared" si="1"/>
        <v>-</v>
      </c>
    </row>
    <row r="5">
      <c r="A5" s="9">
        <v>4.0</v>
      </c>
      <c r="B5" s="12" t="s">
        <v>23</v>
      </c>
      <c r="C5" s="14" t="s">
        <v>44</v>
      </c>
      <c r="D5" s="9" t="s">
        <v>45</v>
      </c>
      <c r="E5" s="9" t="s">
        <v>27</v>
      </c>
      <c r="F5" s="9" t="s">
        <v>28</v>
      </c>
      <c r="G5" s="9" t="s">
        <v>29</v>
      </c>
      <c r="H5" s="14"/>
      <c r="I5" s="14" t="s">
        <v>46</v>
      </c>
      <c r="J5" s="9">
        <v>138.0</v>
      </c>
      <c r="K5" s="9" t="str">
        <f>IF(COUNTIF('팀별_명단'!$A$5:$W$34,$C5)=1,"OK","확인")</f>
        <v>OK</v>
      </c>
      <c r="L5" s="9" t="str">
        <f t="shared" si="1"/>
        <v>OK</v>
      </c>
    </row>
    <row r="6">
      <c r="A6" s="9">
        <v>5.0</v>
      </c>
      <c r="B6" s="12" t="s">
        <v>23</v>
      </c>
      <c r="C6" s="14" t="s">
        <v>48</v>
      </c>
      <c r="D6" s="9" t="s">
        <v>49</v>
      </c>
      <c r="E6" s="9" t="s">
        <v>40</v>
      </c>
      <c r="F6" s="9" t="s">
        <v>27</v>
      </c>
      <c r="G6" s="9" t="s">
        <v>29</v>
      </c>
      <c r="H6" s="14"/>
      <c r="I6" s="14" t="s">
        <v>51</v>
      </c>
      <c r="J6" s="9">
        <v>143.0</v>
      </c>
      <c r="K6" s="9" t="str">
        <f>IF(COUNTIF('팀별_명단'!$A$5:$W$34,$C6)=1,"OK","확인")</f>
        <v>OK</v>
      </c>
      <c r="L6" s="9" t="str">
        <f t="shared" si="1"/>
        <v>OK</v>
      </c>
    </row>
    <row r="7">
      <c r="A7" s="9">
        <v>6.0</v>
      </c>
      <c r="B7" s="12" t="s">
        <v>23</v>
      </c>
      <c r="C7" s="14" t="s">
        <v>53</v>
      </c>
      <c r="D7" s="9" t="s">
        <v>54</v>
      </c>
      <c r="E7" s="9" t="s">
        <v>27</v>
      </c>
      <c r="F7" s="9" t="s">
        <v>55</v>
      </c>
      <c r="G7" s="9" t="s">
        <v>41</v>
      </c>
      <c r="H7" s="14"/>
      <c r="I7" s="14" t="s">
        <v>56</v>
      </c>
      <c r="J7" s="9">
        <v>13.0</v>
      </c>
      <c r="K7" s="9" t="str">
        <f>IF(COUNTIF('팀별_명단'!$A$5:$W$34,$C7)=1,"OK","확인")</f>
        <v>OK</v>
      </c>
      <c r="L7" s="9" t="str">
        <f t="shared" si="1"/>
        <v>OK</v>
      </c>
    </row>
    <row r="8">
      <c r="A8" s="9">
        <v>7.0</v>
      </c>
      <c r="B8" s="12" t="s">
        <v>23</v>
      </c>
      <c r="C8" s="14" t="s">
        <v>57</v>
      </c>
      <c r="D8" s="9" t="s">
        <v>58</v>
      </c>
      <c r="E8" s="9" t="s">
        <v>40</v>
      </c>
      <c r="F8" s="9" t="s">
        <v>59</v>
      </c>
      <c r="G8" s="9" t="s">
        <v>41</v>
      </c>
      <c r="H8" s="14"/>
      <c r="I8" s="14"/>
      <c r="J8" s="9"/>
      <c r="K8" s="9" t="str">
        <f>IF(COUNTIF('팀별_명단'!$A$5:$W$34,$C8)=1,"OK","확인")</f>
        <v>OK</v>
      </c>
      <c r="L8" s="9" t="str">
        <f t="shared" si="1"/>
        <v>-</v>
      </c>
    </row>
    <row r="9">
      <c r="A9" s="9">
        <v>8.0</v>
      </c>
      <c r="B9" s="12" t="s">
        <v>23</v>
      </c>
      <c r="C9" s="14" t="s">
        <v>65</v>
      </c>
      <c r="D9" s="9" t="s">
        <v>66</v>
      </c>
      <c r="E9" s="9" t="s">
        <v>40</v>
      </c>
      <c r="F9" s="9" t="s">
        <v>28</v>
      </c>
      <c r="G9" s="9" t="s">
        <v>41</v>
      </c>
      <c r="H9" s="14"/>
      <c r="I9" s="14"/>
      <c r="J9" s="9">
        <v>102.0</v>
      </c>
      <c r="K9" s="9" t="str">
        <f>IF(COUNTIF('팀별_명단'!$A$5:$W$34,$C9)=1,"OK","확인")</f>
        <v>OK</v>
      </c>
      <c r="L9" s="9" t="str">
        <f t="shared" si="1"/>
        <v>OK</v>
      </c>
    </row>
    <row r="10">
      <c r="A10" s="9">
        <v>9.0</v>
      </c>
      <c r="B10" s="12" t="s">
        <v>23</v>
      </c>
      <c r="C10" s="14" t="s">
        <v>69</v>
      </c>
      <c r="D10" s="9" t="s">
        <v>70</v>
      </c>
      <c r="E10" s="9" t="s">
        <v>40</v>
      </c>
      <c r="F10" s="9" t="s">
        <v>28</v>
      </c>
      <c r="G10" s="9" t="s">
        <v>41</v>
      </c>
      <c r="H10" s="14"/>
      <c r="I10" s="14" t="s">
        <v>72</v>
      </c>
      <c r="J10" s="9">
        <v>24.0</v>
      </c>
      <c r="K10" s="9" t="str">
        <f>IF(COUNTIF('팀별_명단'!$A$5:$W$34,$C10)=1,"OK","확인")</f>
        <v>OK</v>
      </c>
      <c r="L10" s="9" t="str">
        <f t="shared" si="1"/>
        <v>OK</v>
      </c>
    </row>
    <row r="11">
      <c r="A11" s="9">
        <v>10.0</v>
      </c>
      <c r="B11" s="12" t="s">
        <v>23</v>
      </c>
      <c r="C11" s="14" t="s">
        <v>72</v>
      </c>
      <c r="D11" s="9" t="s">
        <v>77</v>
      </c>
      <c r="E11" s="9" t="s">
        <v>40</v>
      </c>
      <c r="F11" s="9" t="s">
        <v>28</v>
      </c>
      <c r="G11" s="9" t="s">
        <v>41</v>
      </c>
      <c r="H11" s="14" t="s">
        <v>81</v>
      </c>
      <c r="I11" s="14" t="s">
        <v>69</v>
      </c>
      <c r="J11" s="9">
        <v>24.0</v>
      </c>
      <c r="K11" s="9" t="str">
        <f>IF(COUNTIF('팀별_명단'!$A$5:$W$34,$C11)=1,"OK","확인")</f>
        <v>OK</v>
      </c>
      <c r="L11" s="9" t="str">
        <f t="shared" si="1"/>
        <v>OK</v>
      </c>
    </row>
    <row r="12">
      <c r="A12" s="9">
        <v>11.0</v>
      </c>
      <c r="B12" s="12" t="s">
        <v>23</v>
      </c>
      <c r="C12" s="14" t="s">
        <v>87</v>
      </c>
      <c r="D12" s="9" t="s">
        <v>88</v>
      </c>
      <c r="E12" s="9" t="s">
        <v>40</v>
      </c>
      <c r="F12" s="9" t="s">
        <v>27</v>
      </c>
      <c r="G12" s="9" t="s">
        <v>41</v>
      </c>
      <c r="H12" s="14"/>
      <c r="I12" s="14" t="s">
        <v>91</v>
      </c>
      <c r="J12" s="9">
        <v>84.0</v>
      </c>
      <c r="K12" s="9" t="str">
        <f>IF(COUNTIF('팀별_명단'!$A$5:$W$34,$C12)=1,"OK","확인")</f>
        <v>OK</v>
      </c>
      <c r="L12" s="9" t="str">
        <f t="shared" si="1"/>
        <v>OK</v>
      </c>
    </row>
    <row r="13">
      <c r="A13" s="9">
        <v>12.0</v>
      </c>
      <c r="B13" s="12" t="s">
        <v>23</v>
      </c>
      <c r="C13" s="14" t="s">
        <v>97</v>
      </c>
      <c r="D13" s="9" t="s">
        <v>98</v>
      </c>
      <c r="E13" s="9" t="s">
        <v>27</v>
      </c>
      <c r="F13" s="9" t="s">
        <v>27</v>
      </c>
      <c r="G13" s="9" t="s">
        <v>41</v>
      </c>
      <c r="H13" s="14"/>
      <c r="I13" s="14"/>
      <c r="J13" s="9"/>
      <c r="K13" s="9" t="str">
        <f>IF(COUNTIF('팀별_명단'!$A$5:$W$34,$C13)=1,"OK","확인")</f>
        <v>OK</v>
      </c>
      <c r="L13" s="9" t="str">
        <f t="shared" si="1"/>
        <v>-</v>
      </c>
    </row>
    <row r="14">
      <c r="A14" s="9">
        <v>13.0</v>
      </c>
      <c r="B14" s="12" t="s">
        <v>23</v>
      </c>
      <c r="C14" s="14" t="s">
        <v>105</v>
      </c>
      <c r="D14" s="9" t="s">
        <v>106</v>
      </c>
      <c r="E14" s="9" t="s">
        <v>40</v>
      </c>
      <c r="F14" s="9" t="s">
        <v>79</v>
      </c>
      <c r="G14" s="9" t="s">
        <v>41</v>
      </c>
      <c r="H14" s="14"/>
      <c r="I14" s="14"/>
      <c r="J14" s="9"/>
      <c r="K14" s="9" t="str">
        <f>IF(COUNTIF('팀별_명단'!$A$5:$W$34,$C14)=1,"OK","확인")</f>
        <v>OK</v>
      </c>
      <c r="L14" s="9" t="str">
        <f t="shared" si="1"/>
        <v>-</v>
      </c>
    </row>
    <row r="15">
      <c r="A15" s="9">
        <v>14.0</v>
      </c>
      <c r="B15" s="12" t="s">
        <v>23</v>
      </c>
      <c r="C15" s="14" t="s">
        <v>113</v>
      </c>
      <c r="D15" s="9" t="s">
        <v>114</v>
      </c>
      <c r="E15" s="9" t="s">
        <v>27</v>
      </c>
      <c r="F15" s="9" t="s">
        <v>27</v>
      </c>
      <c r="G15" s="9" t="s">
        <v>29</v>
      </c>
      <c r="H15" s="14"/>
      <c r="I15" s="14"/>
      <c r="J15" s="9"/>
      <c r="K15" s="9" t="str">
        <f>IF(COUNTIF('팀별_명단'!$A$5:$W$34,$C15)=1,"OK","확인")</f>
        <v>OK</v>
      </c>
      <c r="L15" s="9" t="str">
        <f t="shared" si="1"/>
        <v>-</v>
      </c>
    </row>
    <row r="16">
      <c r="A16" s="9">
        <v>15.0</v>
      </c>
      <c r="B16" s="12" t="s">
        <v>23</v>
      </c>
      <c r="C16" s="14" t="s">
        <v>126</v>
      </c>
      <c r="D16" s="9" t="s">
        <v>127</v>
      </c>
      <c r="E16" s="9" t="s">
        <v>40</v>
      </c>
      <c r="F16" s="9" t="s">
        <v>59</v>
      </c>
      <c r="G16" s="9" t="s">
        <v>29</v>
      </c>
      <c r="H16" s="14"/>
      <c r="I16" s="14" t="s">
        <v>130</v>
      </c>
      <c r="J16" s="9">
        <v>143.0</v>
      </c>
      <c r="K16" s="9" t="str">
        <f>IF(COUNTIF('팀별_명단'!$A$5:$W$34,$C16)=1,"OK","확인")</f>
        <v>OK</v>
      </c>
      <c r="L16" s="9" t="str">
        <f t="shared" si="1"/>
        <v>OK</v>
      </c>
    </row>
    <row r="17">
      <c r="A17" s="9">
        <v>16.0</v>
      </c>
      <c r="B17" s="12" t="s">
        <v>23</v>
      </c>
      <c r="C17" s="14" t="s">
        <v>137</v>
      </c>
      <c r="D17" s="9" t="s">
        <v>139</v>
      </c>
      <c r="E17" s="9" t="s">
        <v>40</v>
      </c>
      <c r="F17" s="9" t="s">
        <v>28</v>
      </c>
      <c r="G17" s="9" t="s">
        <v>41</v>
      </c>
      <c r="H17" s="14"/>
      <c r="I17" s="14"/>
      <c r="J17" s="9"/>
      <c r="K17" s="9" t="str">
        <f>IF(COUNTIF('팀별_명단'!$A$5:$W$34,$C17)=1,"OK","확인")</f>
        <v>OK</v>
      </c>
      <c r="L17" s="9" t="str">
        <f t="shared" si="1"/>
        <v>-</v>
      </c>
    </row>
    <row r="18">
      <c r="A18" s="9">
        <v>17.0</v>
      </c>
      <c r="B18" s="12" t="s">
        <v>23</v>
      </c>
      <c r="C18" s="14" t="s">
        <v>147</v>
      </c>
      <c r="D18" s="9" t="s">
        <v>149</v>
      </c>
      <c r="E18" s="9" t="s">
        <v>40</v>
      </c>
      <c r="F18" s="9" t="s">
        <v>27</v>
      </c>
      <c r="G18" s="9" t="s">
        <v>41</v>
      </c>
      <c r="H18" s="14"/>
      <c r="I18" s="14" t="s">
        <v>152</v>
      </c>
      <c r="J18" s="9">
        <v>84.0</v>
      </c>
      <c r="K18" s="9" t="str">
        <f>IF(COUNTIF('팀별_명단'!$A$5:$W$34,$C18)=1,"OK","확인")</f>
        <v>OK</v>
      </c>
      <c r="L18" s="9" t="str">
        <f t="shared" si="1"/>
        <v>OK</v>
      </c>
    </row>
    <row r="19">
      <c r="A19" s="9">
        <v>18.0</v>
      </c>
      <c r="B19" s="12" t="s">
        <v>23</v>
      </c>
      <c r="C19" s="14" t="s">
        <v>156</v>
      </c>
      <c r="D19" s="9" t="s">
        <v>157</v>
      </c>
      <c r="E19" s="9" t="s">
        <v>27</v>
      </c>
      <c r="F19" s="9" t="s">
        <v>55</v>
      </c>
      <c r="G19" s="9" t="s">
        <v>41</v>
      </c>
      <c r="H19" s="14"/>
      <c r="I19" s="14"/>
      <c r="J19" s="9"/>
      <c r="K19" s="9" t="str">
        <f>IF(COUNTIF('팀별_명단'!$A$5:$W$34,$C19)=1,"OK","확인")</f>
        <v>OK</v>
      </c>
      <c r="L19" s="9" t="str">
        <f t="shared" si="1"/>
        <v>-</v>
      </c>
    </row>
    <row r="20">
      <c r="A20" s="9">
        <v>19.0</v>
      </c>
      <c r="B20" s="12" t="s">
        <v>23</v>
      </c>
      <c r="C20" s="14" t="s">
        <v>165</v>
      </c>
      <c r="D20" s="9" t="s">
        <v>166</v>
      </c>
      <c r="E20" s="9" t="s">
        <v>40</v>
      </c>
      <c r="F20" s="9" t="s">
        <v>59</v>
      </c>
      <c r="G20" s="9" t="s">
        <v>29</v>
      </c>
      <c r="H20" s="14" t="s">
        <v>30</v>
      </c>
      <c r="I20" s="14"/>
      <c r="J20" s="9"/>
      <c r="K20" s="9" t="str">
        <f>IF(COUNTIF('팀별_명단'!$A$5:$W$34,$C20)=1,"OK","확인")</f>
        <v>OK</v>
      </c>
      <c r="L20" s="9" t="str">
        <f t="shared" si="1"/>
        <v>-</v>
      </c>
    </row>
    <row r="21" ht="15.75" customHeight="1">
      <c r="A21" s="9">
        <v>20.0</v>
      </c>
      <c r="B21" s="12" t="s">
        <v>23</v>
      </c>
      <c r="C21" s="14" t="s">
        <v>179</v>
      </c>
      <c r="D21" s="9" t="s">
        <v>180</v>
      </c>
      <c r="E21" s="9" t="s">
        <v>27</v>
      </c>
      <c r="F21" s="9" t="s">
        <v>59</v>
      </c>
      <c r="G21" s="9" t="s">
        <v>41</v>
      </c>
      <c r="H21" s="14"/>
      <c r="I21" s="14" t="s">
        <v>184</v>
      </c>
      <c r="J21" s="9">
        <v>13.0</v>
      </c>
      <c r="K21" s="9" t="str">
        <f>IF(COUNTIF('팀별_명단'!$A$5:$W$34,$C21)=1,"OK","확인")</f>
        <v>OK</v>
      </c>
      <c r="L21" s="9" t="str">
        <f t="shared" si="1"/>
        <v>OK</v>
      </c>
    </row>
    <row r="22" ht="15.75" customHeight="1">
      <c r="A22" s="9">
        <v>21.0</v>
      </c>
      <c r="B22" s="12" t="s">
        <v>23</v>
      </c>
      <c r="C22" s="14" t="s">
        <v>192</v>
      </c>
      <c r="D22" s="9" t="s">
        <v>193</v>
      </c>
      <c r="E22" s="9" t="s">
        <v>40</v>
      </c>
      <c r="F22" s="9" t="s">
        <v>59</v>
      </c>
      <c r="G22" s="9" t="s">
        <v>41</v>
      </c>
      <c r="H22" s="14"/>
      <c r="I22" s="14" t="s">
        <v>196</v>
      </c>
      <c r="J22" s="9"/>
      <c r="K22" s="9" t="str">
        <f>IF(COUNTIF('팀별_명단'!$A$5:$W$34,$C22)=1,"OK","확인")</f>
        <v>OK</v>
      </c>
      <c r="L22" s="9" t="str">
        <f t="shared" si="1"/>
        <v>-</v>
      </c>
    </row>
    <row r="23" ht="15.75" customHeight="1">
      <c r="A23" s="9">
        <v>22.0</v>
      </c>
      <c r="B23" s="12" t="s">
        <v>23</v>
      </c>
      <c r="C23" s="14" t="s">
        <v>204</v>
      </c>
      <c r="D23" s="9" t="s">
        <v>205</v>
      </c>
      <c r="E23" s="9" t="s">
        <v>40</v>
      </c>
      <c r="F23" s="9" t="s">
        <v>59</v>
      </c>
      <c r="G23" s="9" t="s">
        <v>41</v>
      </c>
      <c r="H23" s="14"/>
      <c r="I23" s="14" t="s">
        <v>65</v>
      </c>
      <c r="J23" s="9">
        <v>102.0</v>
      </c>
      <c r="K23" s="9" t="str">
        <f>IF(COUNTIF('팀별_명단'!$A$5:$W$34,$C23)=1,"OK","확인")</f>
        <v>OK</v>
      </c>
      <c r="L23" s="9" t="str">
        <f t="shared" si="1"/>
        <v>OK</v>
      </c>
    </row>
    <row r="24" ht="15.75" customHeight="1">
      <c r="A24" s="9">
        <v>23.0</v>
      </c>
      <c r="B24" s="12" t="s">
        <v>23</v>
      </c>
      <c r="C24" s="14" t="s">
        <v>217</v>
      </c>
      <c r="D24" s="9" t="s">
        <v>219</v>
      </c>
      <c r="E24" s="9" t="s">
        <v>27</v>
      </c>
      <c r="F24" s="9" t="s">
        <v>28</v>
      </c>
      <c r="G24" s="9" t="s">
        <v>29</v>
      </c>
      <c r="H24" s="14"/>
      <c r="I24" s="14"/>
      <c r="J24" s="9"/>
      <c r="K24" s="9" t="str">
        <f>IF(COUNTIF('팀별_명단'!$A$5:$W$34,$C24)=1,"OK","확인")</f>
        <v>OK</v>
      </c>
      <c r="L24" s="9" t="str">
        <f t="shared" si="1"/>
        <v>-</v>
      </c>
    </row>
    <row r="25" ht="15.75" customHeight="1">
      <c r="A25" s="9">
        <v>24.0</v>
      </c>
      <c r="B25" s="12" t="s">
        <v>23</v>
      </c>
      <c r="C25" s="14" t="s">
        <v>227</v>
      </c>
      <c r="D25" s="9" t="s">
        <v>228</v>
      </c>
      <c r="E25" s="9" t="s">
        <v>40</v>
      </c>
      <c r="F25" s="9" t="s">
        <v>55</v>
      </c>
      <c r="G25" s="9" t="s">
        <v>41</v>
      </c>
      <c r="H25" s="14"/>
      <c r="I25" s="14"/>
      <c r="J25" s="9"/>
      <c r="K25" s="9" t="str">
        <f>IF(COUNTIF('팀별_명단'!$A$5:$W$34,$C25)=1,"OK","확인")</f>
        <v>OK</v>
      </c>
      <c r="L25" s="9" t="str">
        <f t="shared" si="1"/>
        <v>-</v>
      </c>
    </row>
    <row r="26" ht="15.75" customHeight="1">
      <c r="A26" s="9">
        <v>25.0</v>
      </c>
      <c r="B26" s="12" t="s">
        <v>23</v>
      </c>
      <c r="C26" s="14" t="s">
        <v>238</v>
      </c>
      <c r="D26" s="9" t="s">
        <v>240</v>
      </c>
      <c r="E26" s="9" t="s">
        <v>27</v>
      </c>
      <c r="F26" s="9" t="s">
        <v>79</v>
      </c>
      <c r="G26" s="9" t="s">
        <v>29</v>
      </c>
      <c r="H26" s="14"/>
      <c r="I26" s="14" t="s">
        <v>244</v>
      </c>
      <c r="J26" s="9">
        <v>138.0</v>
      </c>
      <c r="K26" s="9" t="str">
        <f>IF(COUNTIF('팀별_명단'!$A$5:$W$34,$C26)=1,"OK","확인")</f>
        <v>OK</v>
      </c>
      <c r="L26" s="9" t="str">
        <f t="shared" si="1"/>
        <v>OK</v>
      </c>
    </row>
    <row r="27" ht="15.75" customHeight="1">
      <c r="A27" s="9">
        <v>26.0</v>
      </c>
      <c r="B27" s="12" t="s">
        <v>23</v>
      </c>
      <c r="C27" s="14" t="s">
        <v>252</v>
      </c>
      <c r="D27" s="9" t="s">
        <v>253</v>
      </c>
      <c r="E27" s="9" t="s">
        <v>40</v>
      </c>
      <c r="F27" s="9" t="s">
        <v>79</v>
      </c>
      <c r="G27" s="9" t="s">
        <v>41</v>
      </c>
      <c r="H27" s="14"/>
      <c r="I27" s="14"/>
      <c r="J27" s="9"/>
      <c r="K27" s="9" t="str">
        <f>IF(COUNTIF('팀별_명단'!$A$5:$W$34,$C27)=1,"OK","확인")</f>
        <v>OK</v>
      </c>
      <c r="L27" s="9" t="str">
        <f t="shared" si="1"/>
        <v>-</v>
      </c>
    </row>
    <row r="28" ht="15.75" customHeight="1">
      <c r="A28" s="9">
        <v>27.0</v>
      </c>
      <c r="B28" s="12" t="s">
        <v>23</v>
      </c>
      <c r="C28" s="14" t="s">
        <v>269</v>
      </c>
      <c r="D28" s="9" t="s">
        <v>271</v>
      </c>
      <c r="E28" s="9" t="s">
        <v>27</v>
      </c>
      <c r="F28" s="9" t="s">
        <v>27</v>
      </c>
      <c r="G28" s="9" t="s">
        <v>29</v>
      </c>
      <c r="H28" s="14"/>
      <c r="I28" s="14" t="s">
        <v>276</v>
      </c>
      <c r="J28" s="9">
        <v>143.0</v>
      </c>
      <c r="K28" s="9" t="str">
        <f>IF(COUNTIF('팀별_명단'!$A$5:$W$34,$C28)=1,"OK","확인")</f>
        <v>OK</v>
      </c>
      <c r="L28" s="9" t="str">
        <f t="shared" si="1"/>
        <v>OK</v>
      </c>
    </row>
    <row r="29" ht="15.75" customHeight="1">
      <c r="A29" s="9">
        <v>28.0</v>
      </c>
      <c r="B29" s="12" t="s">
        <v>23</v>
      </c>
      <c r="C29" s="14" t="s">
        <v>285</v>
      </c>
      <c r="D29" s="9" t="s">
        <v>287</v>
      </c>
      <c r="E29" s="9" t="s">
        <v>40</v>
      </c>
      <c r="F29" s="9" t="s">
        <v>28</v>
      </c>
      <c r="G29" s="9" t="s">
        <v>41</v>
      </c>
      <c r="H29" s="14"/>
      <c r="I29" s="14"/>
      <c r="J29" s="9"/>
      <c r="K29" s="9" t="str">
        <f>IF(COUNTIF('팀별_명단'!$A$5:$W$34,$C29)=1,"OK","확인")</f>
        <v>OK</v>
      </c>
      <c r="L29" s="9" t="str">
        <f t="shared" si="1"/>
        <v>-</v>
      </c>
    </row>
    <row r="30" ht="15.75" customHeight="1">
      <c r="A30" s="9">
        <v>29.0</v>
      </c>
      <c r="B30" s="12" t="s">
        <v>23</v>
      </c>
      <c r="C30" s="14" t="s">
        <v>302</v>
      </c>
      <c r="D30" s="9" t="s">
        <v>303</v>
      </c>
      <c r="E30" s="9" t="s">
        <v>27</v>
      </c>
      <c r="F30" s="9" t="s">
        <v>55</v>
      </c>
      <c r="G30" s="9" t="s">
        <v>29</v>
      </c>
      <c r="H30" s="14"/>
      <c r="I30" s="14"/>
      <c r="J30" s="9">
        <v>138.0</v>
      </c>
      <c r="K30" s="9" t="str">
        <f>IF(COUNTIF('팀별_명단'!$A$5:$W$34,$C30)=1,"OK","확인")</f>
        <v>OK</v>
      </c>
      <c r="L30" s="9" t="str">
        <f t="shared" si="1"/>
        <v>OK</v>
      </c>
    </row>
    <row r="31" ht="15.75" customHeight="1">
      <c r="A31" s="9">
        <v>30.0</v>
      </c>
      <c r="B31" s="38" t="s">
        <v>309</v>
      </c>
      <c r="C31" s="14" t="s">
        <v>60</v>
      </c>
      <c r="D31" s="9" t="s">
        <v>311</v>
      </c>
      <c r="E31" s="9" t="s">
        <v>27</v>
      </c>
      <c r="F31" s="9" t="s">
        <v>28</v>
      </c>
      <c r="G31" s="9" t="s">
        <v>29</v>
      </c>
      <c r="H31" s="14"/>
      <c r="I31" s="14"/>
      <c r="J31" s="9">
        <v>141.0</v>
      </c>
      <c r="K31" s="9" t="str">
        <f>IF(COUNTIF('팀별_명단'!$A$5:$W$34,$C31)=1,"OK","확인")</f>
        <v>OK</v>
      </c>
      <c r="L31" s="9" t="str">
        <f t="shared" si="1"/>
        <v>OK</v>
      </c>
    </row>
    <row r="32" ht="15.75" customHeight="1">
      <c r="A32" s="9">
        <v>31.0</v>
      </c>
      <c r="B32" s="38" t="s">
        <v>309</v>
      </c>
      <c r="C32" s="14" t="s">
        <v>67</v>
      </c>
      <c r="D32" s="9" t="s">
        <v>317</v>
      </c>
      <c r="E32" s="9" t="s">
        <v>27</v>
      </c>
      <c r="F32" s="9" t="s">
        <v>27</v>
      </c>
      <c r="G32" s="9" t="s">
        <v>41</v>
      </c>
      <c r="H32" s="14"/>
      <c r="I32" s="14"/>
      <c r="J32" s="9">
        <v>66.0</v>
      </c>
      <c r="K32" s="9" t="str">
        <f>IF(COUNTIF('팀별_명단'!$A$5:$W$34,$C32)=1,"OK","확인")</f>
        <v>OK</v>
      </c>
      <c r="L32" s="9" t="str">
        <f t="shared" si="1"/>
        <v>OK</v>
      </c>
    </row>
    <row r="33" ht="15.75" customHeight="1">
      <c r="A33" s="9">
        <v>32.0</v>
      </c>
      <c r="B33" s="38" t="s">
        <v>309</v>
      </c>
      <c r="C33" s="14" t="s">
        <v>75</v>
      </c>
      <c r="D33" s="9" t="s">
        <v>321</v>
      </c>
      <c r="E33" s="9" t="s">
        <v>40</v>
      </c>
      <c r="F33" s="9" t="s">
        <v>27</v>
      </c>
      <c r="G33" s="9" t="s">
        <v>41</v>
      </c>
      <c r="H33" s="14"/>
      <c r="I33" s="14" t="s">
        <v>323</v>
      </c>
      <c r="J33" s="9">
        <v>66.0</v>
      </c>
      <c r="K33" s="9" t="str">
        <f>IF(COUNTIF('팀별_명단'!$A$5:$W$34,$C33)=1,"OK","확인")</f>
        <v>OK</v>
      </c>
      <c r="L33" s="9" t="str">
        <f t="shared" si="1"/>
        <v>OK</v>
      </c>
    </row>
    <row r="34" ht="15.75" customHeight="1">
      <c r="A34" s="9">
        <v>33.0</v>
      </c>
      <c r="B34" s="38" t="s">
        <v>309</v>
      </c>
      <c r="C34" s="14" t="s">
        <v>84</v>
      </c>
      <c r="D34" s="9" t="s">
        <v>329</v>
      </c>
      <c r="E34" s="9" t="s">
        <v>40</v>
      </c>
      <c r="F34" s="9" t="s">
        <v>27</v>
      </c>
      <c r="G34" s="9" t="s">
        <v>41</v>
      </c>
      <c r="H34" s="14"/>
      <c r="I34" s="14"/>
      <c r="J34" s="9"/>
      <c r="K34" s="9" t="str">
        <f>IF(COUNTIF('팀별_명단'!$A$5:$W$34,$C34)=1,"OK","확인")</f>
        <v>OK</v>
      </c>
      <c r="L34" s="9" t="str">
        <f t="shared" si="1"/>
        <v>-</v>
      </c>
    </row>
    <row r="35" ht="15.75" customHeight="1">
      <c r="A35" s="9">
        <v>34.0</v>
      </c>
      <c r="B35" s="38" t="s">
        <v>309</v>
      </c>
      <c r="C35" s="14" t="s">
        <v>92</v>
      </c>
      <c r="D35" s="9" t="s">
        <v>331</v>
      </c>
      <c r="E35" s="9" t="s">
        <v>40</v>
      </c>
      <c r="F35" s="9" t="s">
        <v>27</v>
      </c>
      <c r="G35" s="9" t="s">
        <v>41</v>
      </c>
      <c r="H35" s="14"/>
      <c r="I35" s="14" t="s">
        <v>332</v>
      </c>
      <c r="J35" s="9">
        <v>67.0</v>
      </c>
      <c r="K35" s="9" t="str">
        <f>IF(COUNTIF('팀별_명단'!$A$5:$W$34,$C35)=1,"OK","확인")</f>
        <v>OK</v>
      </c>
      <c r="L35" s="9" t="str">
        <f t="shared" si="1"/>
        <v>OK</v>
      </c>
    </row>
    <row r="36" ht="15.75" customHeight="1">
      <c r="A36" s="9">
        <v>35.0</v>
      </c>
      <c r="B36" s="38" t="s">
        <v>309</v>
      </c>
      <c r="C36" s="14" t="s">
        <v>99</v>
      </c>
      <c r="D36" s="9" t="s">
        <v>333</v>
      </c>
      <c r="E36" s="9" t="s">
        <v>27</v>
      </c>
      <c r="F36" s="9" t="s">
        <v>27</v>
      </c>
      <c r="G36" s="9" t="s">
        <v>41</v>
      </c>
      <c r="H36" s="14"/>
      <c r="I36" s="14"/>
      <c r="J36" s="9"/>
      <c r="K36" s="9" t="str">
        <f>IF(COUNTIF('팀별_명단'!$A$5:$W$34,$C36)=1,"OK","확인")</f>
        <v>OK</v>
      </c>
      <c r="L36" s="9" t="str">
        <f t="shared" si="1"/>
        <v>-</v>
      </c>
    </row>
    <row r="37" ht="15.75" customHeight="1">
      <c r="A37" s="9">
        <v>36.0</v>
      </c>
      <c r="B37" s="38" t="s">
        <v>309</v>
      </c>
      <c r="C37" s="14" t="s">
        <v>104</v>
      </c>
      <c r="D37" s="9" t="s">
        <v>334</v>
      </c>
      <c r="E37" s="9" t="s">
        <v>27</v>
      </c>
      <c r="F37" s="9" t="s">
        <v>28</v>
      </c>
      <c r="G37" s="9" t="s">
        <v>41</v>
      </c>
      <c r="H37" s="14" t="s">
        <v>335</v>
      </c>
      <c r="I37" s="14" t="s">
        <v>111</v>
      </c>
      <c r="J37" s="9">
        <v>83.0</v>
      </c>
      <c r="K37" s="9" t="str">
        <f>IF(COUNTIF('팀별_명단'!$A$5:$W$34,$C37)=1,"OK","확인")</f>
        <v>OK</v>
      </c>
      <c r="L37" s="9" t="str">
        <f t="shared" si="1"/>
        <v>OK</v>
      </c>
    </row>
    <row r="38" ht="15.75" customHeight="1">
      <c r="A38" s="9">
        <v>37.0</v>
      </c>
      <c r="B38" s="38" t="s">
        <v>309</v>
      </c>
      <c r="C38" s="14" t="s">
        <v>111</v>
      </c>
      <c r="D38" s="9" t="s">
        <v>336</v>
      </c>
      <c r="E38" s="9" t="s">
        <v>27</v>
      </c>
      <c r="F38" s="9" t="s">
        <v>28</v>
      </c>
      <c r="G38" s="9" t="s">
        <v>41</v>
      </c>
      <c r="H38" s="14"/>
      <c r="I38" s="14" t="s">
        <v>104</v>
      </c>
      <c r="J38" s="9">
        <v>83.0</v>
      </c>
      <c r="K38" s="9" t="str">
        <f>IF(COUNTIF('팀별_명단'!$A$5:$W$34,$C38)=1,"OK","확인")</f>
        <v>OK</v>
      </c>
      <c r="L38" s="9" t="str">
        <f t="shared" si="1"/>
        <v>OK</v>
      </c>
    </row>
    <row r="39" ht="15.75" customHeight="1">
      <c r="A39" s="9">
        <v>38.0</v>
      </c>
      <c r="B39" s="38" t="s">
        <v>309</v>
      </c>
      <c r="C39" s="14" t="s">
        <v>119</v>
      </c>
      <c r="D39" s="9" t="s">
        <v>337</v>
      </c>
      <c r="E39" s="9" t="s">
        <v>27</v>
      </c>
      <c r="F39" s="9" t="s">
        <v>27</v>
      </c>
      <c r="G39" s="9" t="s">
        <v>41</v>
      </c>
      <c r="H39" s="14"/>
      <c r="I39" s="14"/>
      <c r="J39" s="9"/>
      <c r="K39" s="9" t="str">
        <f>IF(COUNTIF('팀별_명단'!$A$5:$W$34,$C39)=1,"OK","확인")</f>
        <v>OK</v>
      </c>
      <c r="L39" s="9" t="str">
        <f t="shared" si="1"/>
        <v>-</v>
      </c>
    </row>
    <row r="40" ht="15.75" customHeight="1">
      <c r="A40" s="9">
        <v>39.0</v>
      </c>
      <c r="B40" s="38" t="s">
        <v>309</v>
      </c>
      <c r="C40" s="14" t="s">
        <v>132</v>
      </c>
      <c r="D40" s="9" t="s">
        <v>338</v>
      </c>
      <c r="E40" s="9" t="s">
        <v>27</v>
      </c>
      <c r="F40" s="9" t="s">
        <v>28</v>
      </c>
      <c r="G40" s="9" t="s">
        <v>41</v>
      </c>
      <c r="H40" s="14"/>
      <c r="I40" s="14" t="s">
        <v>155</v>
      </c>
      <c r="J40" s="9">
        <v>114.0</v>
      </c>
      <c r="K40" s="9" t="str">
        <f>IF(COUNTIF('팀별_명단'!$A$5:$W$34,$C40)=1,"OK","확인")</f>
        <v>OK</v>
      </c>
      <c r="L40" s="9" t="str">
        <f t="shared" si="1"/>
        <v>OK</v>
      </c>
    </row>
    <row r="41" ht="15.75" customHeight="1">
      <c r="A41" s="9">
        <v>40.0</v>
      </c>
      <c r="B41" s="38" t="s">
        <v>309</v>
      </c>
      <c r="C41" s="14" t="s">
        <v>141</v>
      </c>
      <c r="D41" s="9" t="s">
        <v>339</v>
      </c>
      <c r="E41" s="9" t="s">
        <v>40</v>
      </c>
      <c r="F41" s="9" t="s">
        <v>27</v>
      </c>
      <c r="G41" s="9" t="s">
        <v>41</v>
      </c>
      <c r="H41" s="14"/>
      <c r="I41" s="14"/>
      <c r="J41" s="9"/>
      <c r="K41" s="9" t="str">
        <f>IF(COUNTIF('팀별_명단'!$A$5:$W$34,$C41)=1,"OK","확인")</f>
        <v>OK</v>
      </c>
      <c r="L41" s="9" t="str">
        <f t="shared" si="1"/>
        <v>-</v>
      </c>
    </row>
    <row r="42" ht="15.75" customHeight="1">
      <c r="A42" s="9">
        <v>41.0</v>
      </c>
      <c r="B42" s="38" t="s">
        <v>309</v>
      </c>
      <c r="C42" s="14" t="s">
        <v>148</v>
      </c>
      <c r="D42" s="9" t="s">
        <v>340</v>
      </c>
      <c r="E42" s="9" t="s">
        <v>40</v>
      </c>
      <c r="F42" s="9" t="s">
        <v>79</v>
      </c>
      <c r="G42" s="9" t="s">
        <v>41</v>
      </c>
      <c r="H42" s="14"/>
      <c r="I42" s="14"/>
      <c r="J42" s="9"/>
      <c r="K42" s="9" t="str">
        <f>IF(COUNTIF('팀별_명단'!$A$5:$W$34,$C42)=1,"OK","확인")</f>
        <v>OK</v>
      </c>
      <c r="L42" s="9" t="str">
        <f t="shared" si="1"/>
        <v>-</v>
      </c>
    </row>
    <row r="43" ht="15.75" customHeight="1">
      <c r="A43" s="9">
        <v>42.0</v>
      </c>
      <c r="B43" s="38" t="s">
        <v>309</v>
      </c>
      <c r="C43" s="14" t="s">
        <v>155</v>
      </c>
      <c r="D43" s="9" t="s">
        <v>341</v>
      </c>
      <c r="E43" s="9" t="s">
        <v>27</v>
      </c>
      <c r="F43" s="9" t="s">
        <v>28</v>
      </c>
      <c r="G43" s="9" t="s">
        <v>41</v>
      </c>
      <c r="H43" s="14"/>
      <c r="I43" s="14" t="s">
        <v>132</v>
      </c>
      <c r="J43" s="9">
        <v>114.0</v>
      </c>
      <c r="K43" s="9" t="str">
        <f>IF(COUNTIF('팀별_명단'!$A$5:$W$34,$C43)=1,"OK","확인")</f>
        <v>OK</v>
      </c>
      <c r="L43" s="9" t="str">
        <f t="shared" si="1"/>
        <v>OK</v>
      </c>
    </row>
    <row r="44" ht="15.75" customHeight="1">
      <c r="A44" s="9">
        <v>43.0</v>
      </c>
      <c r="B44" s="38" t="s">
        <v>309</v>
      </c>
      <c r="C44" s="14" t="s">
        <v>163</v>
      </c>
      <c r="D44" s="9" t="s">
        <v>342</v>
      </c>
      <c r="E44" s="9" t="s">
        <v>40</v>
      </c>
      <c r="F44" s="9" t="s">
        <v>59</v>
      </c>
      <c r="G44" s="9" t="s">
        <v>29</v>
      </c>
      <c r="H44" s="14" t="s">
        <v>343</v>
      </c>
      <c r="I44" s="14"/>
      <c r="J44" s="9"/>
      <c r="K44" s="9" t="str">
        <f>IF(COUNTIF('팀별_명단'!$A$5:$W$34,$C44)=1,"OK","확인")</f>
        <v>OK</v>
      </c>
      <c r="L44" s="9" t="str">
        <f t="shared" si="1"/>
        <v>-</v>
      </c>
    </row>
    <row r="45" ht="15.75" customHeight="1">
      <c r="A45" s="9">
        <v>44.0</v>
      </c>
      <c r="B45" s="38" t="s">
        <v>309</v>
      </c>
      <c r="C45" s="14" t="s">
        <v>170</v>
      </c>
      <c r="D45" s="9" t="s">
        <v>344</v>
      </c>
      <c r="E45" s="9" t="s">
        <v>40</v>
      </c>
      <c r="F45" s="9" t="s">
        <v>59</v>
      </c>
      <c r="G45" s="9" t="s">
        <v>41</v>
      </c>
      <c r="H45" s="14"/>
      <c r="I45" s="14"/>
      <c r="J45" s="9"/>
      <c r="K45" s="9" t="str">
        <f>IF(COUNTIF('팀별_명단'!$A$5:$W$34,$C45)=1,"OK","확인")</f>
        <v>OK</v>
      </c>
      <c r="L45" s="9" t="str">
        <f t="shared" si="1"/>
        <v>-</v>
      </c>
    </row>
    <row r="46" ht="15.75" customHeight="1">
      <c r="A46" s="9">
        <v>45.0</v>
      </c>
      <c r="B46" s="38" t="s">
        <v>309</v>
      </c>
      <c r="C46" s="14" t="s">
        <v>177</v>
      </c>
      <c r="D46" s="9" t="s">
        <v>345</v>
      </c>
      <c r="E46" s="9" t="s">
        <v>40</v>
      </c>
      <c r="F46" s="9" t="s">
        <v>28</v>
      </c>
      <c r="G46" s="9" t="s">
        <v>41</v>
      </c>
      <c r="H46" s="14"/>
      <c r="I46" s="14" t="s">
        <v>92</v>
      </c>
      <c r="J46" s="9">
        <v>67.0</v>
      </c>
      <c r="K46" s="9" t="str">
        <f>IF(COUNTIF('팀별_명단'!$A$5:$W$34,$C46)=1,"OK","확인")</f>
        <v>OK</v>
      </c>
      <c r="L46" s="9" t="str">
        <f t="shared" si="1"/>
        <v>OK</v>
      </c>
    </row>
    <row r="47" ht="15.75" customHeight="1">
      <c r="A47" s="9">
        <v>46.0</v>
      </c>
      <c r="B47" s="38" t="s">
        <v>309</v>
      </c>
      <c r="C47" s="14" t="s">
        <v>185</v>
      </c>
      <c r="D47" s="9" t="s">
        <v>346</v>
      </c>
      <c r="E47" s="9" t="s">
        <v>40</v>
      </c>
      <c r="F47" s="9" t="s">
        <v>27</v>
      </c>
      <c r="G47" s="9" t="s">
        <v>29</v>
      </c>
      <c r="H47" s="14"/>
      <c r="I47" s="14"/>
      <c r="J47" s="9"/>
      <c r="K47" s="9" t="str">
        <f>IF(COUNTIF('팀별_명단'!$A$5:$W$34,$C47)=1,"OK","확인")</f>
        <v>OK</v>
      </c>
      <c r="L47" s="9" t="str">
        <f t="shared" si="1"/>
        <v>-</v>
      </c>
    </row>
    <row r="48" ht="15.75" customHeight="1">
      <c r="A48" s="9">
        <v>47.0</v>
      </c>
      <c r="B48" s="38" t="s">
        <v>309</v>
      </c>
      <c r="C48" s="14" t="s">
        <v>194</v>
      </c>
      <c r="D48" s="9" t="s">
        <v>347</v>
      </c>
      <c r="E48" s="9" t="s">
        <v>40</v>
      </c>
      <c r="F48" s="9" t="s">
        <v>55</v>
      </c>
      <c r="G48" s="9" t="s">
        <v>41</v>
      </c>
      <c r="H48" s="14"/>
      <c r="I48" s="14" t="s">
        <v>202</v>
      </c>
      <c r="J48" s="9">
        <v>77.0</v>
      </c>
      <c r="K48" s="9" t="str">
        <f>IF(COUNTIF('팀별_명단'!$A$5:$W$34,$C48)=1,"OK","확인")</f>
        <v>OK</v>
      </c>
      <c r="L48" s="9" t="str">
        <f t="shared" si="1"/>
        <v>OK</v>
      </c>
    </row>
    <row r="49" ht="15.75" customHeight="1">
      <c r="A49" s="9">
        <v>48.0</v>
      </c>
      <c r="B49" s="38" t="s">
        <v>309</v>
      </c>
      <c r="C49" s="14" t="s">
        <v>202</v>
      </c>
      <c r="D49" s="9" t="s">
        <v>348</v>
      </c>
      <c r="E49" s="9" t="s">
        <v>40</v>
      </c>
      <c r="F49" s="9" t="s">
        <v>27</v>
      </c>
      <c r="G49" s="9" t="s">
        <v>41</v>
      </c>
      <c r="H49" s="14"/>
      <c r="I49" s="14"/>
      <c r="J49" s="9">
        <v>77.0</v>
      </c>
      <c r="K49" s="9" t="str">
        <f>IF(COUNTIF('팀별_명단'!$A$5:$W$34,$C49)=1,"OK","확인")</f>
        <v>OK</v>
      </c>
      <c r="L49" s="9" t="str">
        <f t="shared" si="1"/>
        <v>OK</v>
      </c>
    </row>
    <row r="50" ht="15.75" customHeight="1">
      <c r="A50" s="9">
        <v>49.0</v>
      </c>
      <c r="B50" s="38" t="s">
        <v>309</v>
      </c>
      <c r="C50" s="14" t="s">
        <v>210</v>
      </c>
      <c r="D50" s="9" t="s">
        <v>349</v>
      </c>
      <c r="E50" s="9" t="s">
        <v>40</v>
      </c>
      <c r="F50" s="9" t="s">
        <v>27</v>
      </c>
      <c r="G50" s="9" t="s">
        <v>41</v>
      </c>
      <c r="H50" s="14"/>
      <c r="I50" s="14" t="s">
        <v>234</v>
      </c>
      <c r="J50" s="9">
        <v>23.0</v>
      </c>
      <c r="K50" s="9" t="str">
        <f>IF(COUNTIF('팀별_명단'!$A$5:$W$34,$C50)=1,"OK","확인")</f>
        <v>OK</v>
      </c>
      <c r="L50" s="9" t="str">
        <f t="shared" si="1"/>
        <v>OK</v>
      </c>
    </row>
    <row r="51" ht="15.75" customHeight="1">
      <c r="A51" s="9">
        <v>50.0</v>
      </c>
      <c r="B51" s="38" t="s">
        <v>309</v>
      </c>
      <c r="C51" s="14" t="s">
        <v>220</v>
      </c>
      <c r="D51" s="9" t="s">
        <v>350</v>
      </c>
      <c r="E51" s="9" t="s">
        <v>27</v>
      </c>
      <c r="F51" s="9" t="s">
        <v>59</v>
      </c>
      <c r="G51" s="9" t="s">
        <v>41</v>
      </c>
      <c r="H51" s="14"/>
      <c r="I51" s="14"/>
      <c r="J51" s="9"/>
      <c r="K51" s="9" t="str">
        <f>IF(COUNTIF('팀별_명단'!$A$5:$W$34,$C51)=1,"OK","확인")</f>
        <v>OK</v>
      </c>
      <c r="L51" s="9" t="str">
        <f t="shared" si="1"/>
        <v>-</v>
      </c>
    </row>
    <row r="52" ht="15.75" customHeight="1">
      <c r="A52" s="9">
        <v>51.0</v>
      </c>
      <c r="B52" s="38" t="s">
        <v>309</v>
      </c>
      <c r="C52" s="14" t="s">
        <v>225</v>
      </c>
      <c r="D52" s="9" t="s">
        <v>351</v>
      </c>
      <c r="E52" s="9" t="s">
        <v>40</v>
      </c>
      <c r="F52" s="9" t="s">
        <v>59</v>
      </c>
      <c r="G52" s="9" t="s">
        <v>41</v>
      </c>
      <c r="H52" s="14"/>
      <c r="I52" s="14" t="s">
        <v>234</v>
      </c>
      <c r="J52" s="9">
        <v>23.0</v>
      </c>
      <c r="K52" s="9" t="str">
        <f>IF(COUNTIF('팀별_명단'!$A$5:$W$34,$C52)=1,"OK","확인")</f>
        <v>OK</v>
      </c>
      <c r="L52" s="9" t="str">
        <f t="shared" si="1"/>
        <v>OK</v>
      </c>
    </row>
    <row r="53" ht="15.75" customHeight="1">
      <c r="A53" s="9">
        <v>52.0</v>
      </c>
      <c r="B53" s="38" t="s">
        <v>309</v>
      </c>
      <c r="C53" s="14" t="s">
        <v>234</v>
      </c>
      <c r="D53" s="9" t="s">
        <v>352</v>
      </c>
      <c r="E53" s="9" t="s">
        <v>40</v>
      </c>
      <c r="F53" s="9" t="s">
        <v>28</v>
      </c>
      <c r="G53" s="9" t="s">
        <v>41</v>
      </c>
      <c r="H53" s="14"/>
      <c r="I53" s="14" t="s">
        <v>353</v>
      </c>
      <c r="J53" s="9">
        <v>23.0</v>
      </c>
      <c r="K53" s="9" t="str">
        <f>IF(COUNTIF('팀별_명단'!$A$5:$W$34,$C53)=1,"OK","확인")</f>
        <v>OK</v>
      </c>
      <c r="L53" s="9" t="str">
        <f t="shared" si="1"/>
        <v>OK</v>
      </c>
    </row>
    <row r="54" ht="15.75" customHeight="1">
      <c r="A54" s="9">
        <v>53.0</v>
      </c>
      <c r="B54" s="38" t="s">
        <v>309</v>
      </c>
      <c r="C54" s="14" t="s">
        <v>243</v>
      </c>
      <c r="D54" s="9" t="s">
        <v>354</v>
      </c>
      <c r="E54" s="9" t="s">
        <v>27</v>
      </c>
      <c r="F54" s="9" t="s">
        <v>28</v>
      </c>
      <c r="G54" s="9" t="s">
        <v>41</v>
      </c>
      <c r="H54" s="14" t="s">
        <v>355</v>
      </c>
      <c r="I54" s="14"/>
      <c r="J54" s="9"/>
      <c r="K54" s="9" t="str">
        <f>IF(COUNTIF('팀별_명단'!$A$5:$W$34,$C54)=1,"OK","확인")</f>
        <v>OK</v>
      </c>
      <c r="L54" s="9" t="str">
        <f t="shared" si="1"/>
        <v>-</v>
      </c>
    </row>
    <row r="55" ht="15.75" customHeight="1">
      <c r="A55" s="9">
        <v>54.0</v>
      </c>
      <c r="B55" s="38" t="s">
        <v>309</v>
      </c>
      <c r="C55" s="14" t="s">
        <v>256</v>
      </c>
      <c r="D55" s="9" t="s">
        <v>356</v>
      </c>
      <c r="E55" s="9" t="s">
        <v>40</v>
      </c>
      <c r="F55" s="9" t="s">
        <v>55</v>
      </c>
      <c r="G55" s="9" t="s">
        <v>41</v>
      </c>
      <c r="H55" s="14"/>
      <c r="I55" s="14"/>
      <c r="J55" s="9"/>
      <c r="K55" s="9" t="str">
        <f>IF(COUNTIF('팀별_명단'!$A$5:$W$34,$C55)=1,"OK","확인")</f>
        <v>OK</v>
      </c>
      <c r="L55" s="9" t="str">
        <f t="shared" si="1"/>
        <v>-</v>
      </c>
    </row>
    <row r="56" ht="15.75" customHeight="1">
      <c r="A56" s="9">
        <v>55.0</v>
      </c>
      <c r="B56" s="38" t="s">
        <v>309</v>
      </c>
      <c r="C56" s="14" t="s">
        <v>267</v>
      </c>
      <c r="D56" s="9" t="s">
        <v>277</v>
      </c>
      <c r="E56" s="9" t="s">
        <v>40</v>
      </c>
      <c r="F56" s="9" t="s">
        <v>59</v>
      </c>
      <c r="G56" s="9" t="s">
        <v>41</v>
      </c>
      <c r="H56" s="14"/>
      <c r="I56" s="14" t="s">
        <v>67</v>
      </c>
      <c r="J56" s="9">
        <v>66.0</v>
      </c>
      <c r="K56" s="9" t="str">
        <f>IF(COUNTIF('팀별_명단'!$A$5:$W$34,$C56)=1,"OK","확인")</f>
        <v>OK</v>
      </c>
      <c r="L56" s="9" t="str">
        <f t="shared" si="1"/>
        <v>OK</v>
      </c>
    </row>
    <row r="57" ht="15.75" customHeight="1">
      <c r="A57" s="9">
        <v>56.0</v>
      </c>
      <c r="B57" s="38" t="s">
        <v>309</v>
      </c>
      <c r="C57" s="14" t="s">
        <v>278</v>
      </c>
      <c r="D57" s="9" t="s">
        <v>357</v>
      </c>
      <c r="E57" s="9" t="s">
        <v>40</v>
      </c>
      <c r="F57" s="9" t="s">
        <v>27</v>
      </c>
      <c r="G57" s="9" t="s">
        <v>41</v>
      </c>
      <c r="H57" s="14"/>
      <c r="I57" s="14"/>
      <c r="J57" s="9"/>
      <c r="K57" s="9" t="str">
        <f>IF(COUNTIF('팀별_명단'!$A$5:$W$34,$C57)=1,"OK","확인")</f>
        <v>OK</v>
      </c>
      <c r="L57" s="9" t="str">
        <f t="shared" si="1"/>
        <v>-</v>
      </c>
    </row>
    <row r="58" ht="15.75" customHeight="1">
      <c r="A58" s="9">
        <v>57.0</v>
      </c>
      <c r="B58" s="38" t="s">
        <v>309</v>
      </c>
      <c r="C58" s="14" t="s">
        <v>292</v>
      </c>
      <c r="D58" s="9" t="s">
        <v>358</v>
      </c>
      <c r="E58" s="9" t="s">
        <v>27</v>
      </c>
      <c r="F58" s="9" t="s">
        <v>27</v>
      </c>
      <c r="G58" s="9" t="s">
        <v>29</v>
      </c>
      <c r="H58" s="14"/>
      <c r="I58" s="14" t="s">
        <v>60</v>
      </c>
      <c r="J58" s="9">
        <v>141.0</v>
      </c>
      <c r="K58" s="9" t="str">
        <f>IF(COUNTIF('팀별_명단'!$A$5:$W$34,$C58)=1,"OK","확인")</f>
        <v>OK</v>
      </c>
      <c r="L58" s="9" t="str">
        <f t="shared" si="1"/>
        <v>OK</v>
      </c>
    </row>
    <row r="59" ht="15.75" customHeight="1">
      <c r="A59" s="9">
        <v>58.0</v>
      </c>
      <c r="B59" s="39" t="s">
        <v>359</v>
      </c>
      <c r="C59" s="14" t="s">
        <v>61</v>
      </c>
      <c r="D59" s="9" t="s">
        <v>360</v>
      </c>
      <c r="E59" s="9" t="s">
        <v>27</v>
      </c>
      <c r="F59" s="9" t="s">
        <v>27</v>
      </c>
      <c r="G59" s="9" t="s">
        <v>41</v>
      </c>
      <c r="H59" s="14"/>
      <c r="I59" s="14"/>
      <c r="J59" s="9"/>
      <c r="K59" s="9" t="str">
        <f>IF(COUNTIF('팀별_명단'!$A$5:$W$34,$C59)=1,"OK","확인")</f>
        <v>OK</v>
      </c>
      <c r="L59" s="9" t="str">
        <f t="shared" si="1"/>
        <v>-</v>
      </c>
    </row>
    <row r="60" ht="15.75" customHeight="1">
      <c r="A60" s="9">
        <v>59.0</v>
      </c>
      <c r="B60" s="39" t="s">
        <v>359</v>
      </c>
      <c r="C60" s="14" t="s">
        <v>68</v>
      </c>
      <c r="D60" s="9" t="s">
        <v>361</v>
      </c>
      <c r="E60" s="9" t="s">
        <v>40</v>
      </c>
      <c r="F60" s="9" t="s">
        <v>27</v>
      </c>
      <c r="G60" s="9" t="s">
        <v>41</v>
      </c>
      <c r="H60" s="14"/>
      <c r="I60" s="14"/>
      <c r="J60" s="9"/>
      <c r="K60" s="9" t="str">
        <f>IF(COUNTIF('팀별_명단'!$A$5:$W$34,$C60)=1,"OK","확인")</f>
        <v>OK</v>
      </c>
      <c r="L60" s="9" t="str">
        <f t="shared" si="1"/>
        <v>-</v>
      </c>
    </row>
    <row r="61" ht="15.75" customHeight="1">
      <c r="A61" s="9">
        <v>60.0</v>
      </c>
      <c r="B61" s="39" t="s">
        <v>359</v>
      </c>
      <c r="C61" s="14" t="s">
        <v>76</v>
      </c>
      <c r="D61" s="9" t="s">
        <v>362</v>
      </c>
      <c r="E61" s="9" t="s">
        <v>40</v>
      </c>
      <c r="F61" s="9" t="s">
        <v>28</v>
      </c>
      <c r="G61" s="9" t="s">
        <v>29</v>
      </c>
      <c r="H61" s="14"/>
      <c r="I61" s="14"/>
      <c r="J61" s="9"/>
      <c r="K61" s="9" t="str">
        <f>IF(COUNTIF('팀별_명단'!$A$5:$W$34,$C61)=1,"OK","확인")</f>
        <v>OK</v>
      </c>
      <c r="L61" s="9" t="str">
        <f t="shared" si="1"/>
        <v>-</v>
      </c>
    </row>
    <row r="62" ht="15.75" customHeight="1">
      <c r="A62" s="9">
        <v>61.0</v>
      </c>
      <c r="B62" s="39" t="s">
        <v>359</v>
      </c>
      <c r="C62" s="14" t="s">
        <v>85</v>
      </c>
      <c r="D62" s="9" t="s">
        <v>363</v>
      </c>
      <c r="E62" s="9" t="s">
        <v>40</v>
      </c>
      <c r="F62" s="9" t="s">
        <v>27</v>
      </c>
      <c r="G62" s="9" t="s">
        <v>41</v>
      </c>
      <c r="H62" s="14"/>
      <c r="I62" s="14"/>
      <c r="J62" s="9"/>
      <c r="K62" s="9" t="str">
        <f>IF(COUNTIF('팀별_명단'!$A$5:$W$34,$C62)=1,"OK","확인")</f>
        <v>OK</v>
      </c>
      <c r="L62" s="9" t="str">
        <f t="shared" si="1"/>
        <v>-</v>
      </c>
    </row>
    <row r="63" ht="15.75" customHeight="1">
      <c r="A63" s="9">
        <v>62.0</v>
      </c>
      <c r="B63" s="39" t="s">
        <v>359</v>
      </c>
      <c r="C63" s="14" t="s">
        <v>93</v>
      </c>
      <c r="D63" s="9" t="s">
        <v>364</v>
      </c>
      <c r="E63" s="9" t="s">
        <v>27</v>
      </c>
      <c r="F63" s="9" t="s">
        <v>79</v>
      </c>
      <c r="G63" s="9" t="s">
        <v>41</v>
      </c>
      <c r="H63" s="14"/>
      <c r="I63" s="14" t="s">
        <v>365</v>
      </c>
      <c r="J63" s="9">
        <v>36.0</v>
      </c>
      <c r="K63" s="9" t="str">
        <f>IF(COUNTIF('팀별_명단'!$A$5:$W$34,$C63)=1,"OK","확인")</f>
        <v>OK</v>
      </c>
      <c r="L63" s="9" t="str">
        <f t="shared" si="1"/>
        <v>OK</v>
      </c>
    </row>
    <row r="64" ht="15.75" customHeight="1">
      <c r="A64" s="9">
        <v>63.0</v>
      </c>
      <c r="B64" s="39" t="s">
        <v>359</v>
      </c>
      <c r="C64" s="14" t="s">
        <v>100</v>
      </c>
      <c r="D64" s="9" t="s">
        <v>366</v>
      </c>
      <c r="E64" s="9" t="s">
        <v>27</v>
      </c>
      <c r="F64" s="9" t="s">
        <v>55</v>
      </c>
      <c r="G64" s="9" t="s">
        <v>41</v>
      </c>
      <c r="H64" s="14"/>
      <c r="I64" s="14"/>
      <c r="J64" s="9"/>
      <c r="K64" s="9" t="str">
        <f>IF(COUNTIF('팀별_명단'!$A$5:$W$34,$C64)=1,"OK","확인")</f>
        <v>OK</v>
      </c>
      <c r="L64" s="9" t="str">
        <f t="shared" si="1"/>
        <v>-</v>
      </c>
    </row>
    <row r="65" ht="15.75" customHeight="1">
      <c r="A65" s="9">
        <v>64.0</v>
      </c>
      <c r="B65" s="39" t="s">
        <v>359</v>
      </c>
      <c r="C65" s="14" t="s">
        <v>107</v>
      </c>
      <c r="D65" s="9" t="s">
        <v>367</v>
      </c>
      <c r="E65" s="9" t="s">
        <v>40</v>
      </c>
      <c r="F65" s="9" t="s">
        <v>27</v>
      </c>
      <c r="G65" s="9" t="s">
        <v>41</v>
      </c>
      <c r="H65" s="14"/>
      <c r="I65" s="14"/>
      <c r="J65" s="9"/>
      <c r="K65" s="9" t="str">
        <f>IF(COUNTIF('팀별_명단'!$A$5:$W$34,$C65)=1,"OK","확인")</f>
        <v>OK</v>
      </c>
      <c r="L65" s="9" t="str">
        <f t="shared" si="1"/>
        <v>-</v>
      </c>
    </row>
    <row r="66" ht="15.75" customHeight="1">
      <c r="A66" s="9">
        <v>65.0</v>
      </c>
      <c r="B66" s="39" t="s">
        <v>359</v>
      </c>
      <c r="C66" s="14" t="s">
        <v>112</v>
      </c>
      <c r="D66" s="9" t="s">
        <v>258</v>
      </c>
      <c r="E66" s="9" t="s">
        <v>27</v>
      </c>
      <c r="F66" s="9" t="s">
        <v>55</v>
      </c>
      <c r="G66" s="9" t="s">
        <v>41</v>
      </c>
      <c r="H66" s="14"/>
      <c r="I66" s="14"/>
      <c r="J66" s="9">
        <v>7.0</v>
      </c>
      <c r="K66" s="9" t="str">
        <f>IF(COUNTIF('팀별_명단'!$A$5:$W$34,$C66)=1,"OK","확인")</f>
        <v>OK</v>
      </c>
      <c r="L66" s="9" t="str">
        <f t="shared" si="1"/>
        <v>OK</v>
      </c>
    </row>
    <row r="67" ht="15.75" customHeight="1">
      <c r="A67" s="9">
        <v>66.0</v>
      </c>
      <c r="B67" s="39" t="s">
        <v>359</v>
      </c>
      <c r="C67" s="14" t="s">
        <v>121</v>
      </c>
      <c r="D67" s="9" t="s">
        <v>281</v>
      </c>
      <c r="E67" s="9" t="s">
        <v>27</v>
      </c>
      <c r="F67" s="9" t="s">
        <v>28</v>
      </c>
      <c r="G67" s="9" t="s">
        <v>41</v>
      </c>
      <c r="H67" s="14"/>
      <c r="I67" s="14" t="s">
        <v>368</v>
      </c>
      <c r="J67" s="9">
        <v>36.0</v>
      </c>
      <c r="K67" s="9" t="str">
        <f>IF(COUNTIF('팀별_명단'!$A$5:$W$34,$C67)=1,"OK","확인")</f>
        <v>OK</v>
      </c>
      <c r="L67" s="9" t="str">
        <f t="shared" si="1"/>
        <v>OK</v>
      </c>
    </row>
    <row r="68" ht="15.75" customHeight="1">
      <c r="A68" s="9">
        <v>67.0</v>
      </c>
      <c r="B68" s="39" t="s">
        <v>359</v>
      </c>
      <c r="C68" s="14" t="s">
        <v>133</v>
      </c>
      <c r="D68" s="9" t="s">
        <v>369</v>
      </c>
      <c r="E68" s="9" t="s">
        <v>40</v>
      </c>
      <c r="F68" s="9" t="s">
        <v>27</v>
      </c>
      <c r="G68" s="9" t="s">
        <v>41</v>
      </c>
      <c r="H68" s="14"/>
      <c r="I68" s="14"/>
      <c r="J68" s="9"/>
      <c r="K68" s="9" t="str">
        <f>IF(COUNTIF('팀별_명단'!$A$5:$W$34,$C68)=1,"OK","확인")</f>
        <v>OK</v>
      </c>
      <c r="L68" s="9" t="str">
        <f t="shared" si="1"/>
        <v>-</v>
      </c>
    </row>
    <row r="69" ht="15.75" customHeight="1">
      <c r="A69" s="9">
        <v>68.0</v>
      </c>
      <c r="B69" s="39" t="s">
        <v>359</v>
      </c>
      <c r="C69" s="14" t="s">
        <v>142</v>
      </c>
      <c r="D69" s="9" t="s">
        <v>370</v>
      </c>
      <c r="E69" s="9" t="s">
        <v>40</v>
      </c>
      <c r="F69" s="9" t="s">
        <v>28</v>
      </c>
      <c r="G69" s="9" t="s">
        <v>41</v>
      </c>
      <c r="H69" s="14"/>
      <c r="I69" s="14" t="s">
        <v>295</v>
      </c>
      <c r="J69" s="9">
        <v>14.0</v>
      </c>
      <c r="K69" s="9" t="str">
        <f>IF(COUNTIF('팀별_명단'!$A$5:$W$34,$C69)=1,"OK","확인")</f>
        <v>OK</v>
      </c>
      <c r="L69" s="9" t="str">
        <f t="shared" si="1"/>
        <v>OK</v>
      </c>
    </row>
    <row r="70" ht="15.75" customHeight="1">
      <c r="A70" s="9">
        <v>69.0</v>
      </c>
      <c r="B70" s="39" t="s">
        <v>359</v>
      </c>
      <c r="C70" s="14" t="s">
        <v>150</v>
      </c>
      <c r="D70" s="9" t="s">
        <v>371</v>
      </c>
      <c r="E70" s="9" t="s">
        <v>40</v>
      </c>
      <c r="F70" s="9" t="s">
        <v>55</v>
      </c>
      <c r="G70" s="9" t="s">
        <v>41</v>
      </c>
      <c r="H70" s="14"/>
      <c r="I70" s="14"/>
      <c r="J70" s="9"/>
      <c r="K70" s="9" t="str">
        <f>IF(COUNTIF('팀별_명단'!$A$5:$W$34,$C70)=1,"OK","확인")</f>
        <v>OK</v>
      </c>
      <c r="L70" s="9" t="str">
        <f t="shared" si="1"/>
        <v>-</v>
      </c>
    </row>
    <row r="71" ht="15.75" customHeight="1">
      <c r="A71" s="9">
        <v>70.0</v>
      </c>
      <c r="B71" s="39" t="s">
        <v>359</v>
      </c>
      <c r="C71" s="14" t="s">
        <v>158</v>
      </c>
      <c r="D71" s="9" t="s">
        <v>372</v>
      </c>
      <c r="E71" s="9" t="s">
        <v>27</v>
      </c>
      <c r="F71" s="9" t="s">
        <v>55</v>
      </c>
      <c r="G71" s="9" t="s">
        <v>41</v>
      </c>
      <c r="H71" s="14"/>
      <c r="I71" s="14" t="s">
        <v>373</v>
      </c>
      <c r="J71" s="9">
        <v>78.0</v>
      </c>
      <c r="K71" s="9" t="str">
        <f>IF(COUNTIF('팀별_명단'!$A$5:$W$34,$C71)=1,"OK","확인")</f>
        <v>OK</v>
      </c>
      <c r="L71" s="9" t="str">
        <f t="shared" si="1"/>
        <v>OK</v>
      </c>
    </row>
    <row r="72" ht="15.75" customHeight="1">
      <c r="A72" s="9">
        <v>71.0</v>
      </c>
      <c r="B72" s="39" t="s">
        <v>359</v>
      </c>
      <c r="C72" s="14" t="s">
        <v>164</v>
      </c>
      <c r="D72" s="9" t="s">
        <v>374</v>
      </c>
      <c r="E72" s="9" t="s">
        <v>40</v>
      </c>
      <c r="F72" s="9" t="s">
        <v>27</v>
      </c>
      <c r="G72" s="9" t="s">
        <v>41</v>
      </c>
      <c r="H72" s="14"/>
      <c r="I72" s="14" t="s">
        <v>375</v>
      </c>
      <c r="J72" s="9">
        <v>11.0</v>
      </c>
      <c r="K72" s="9" t="str">
        <f>IF(COUNTIF('팀별_명단'!$A$5:$W$34,$C72)=1,"OK","확인")</f>
        <v>OK</v>
      </c>
      <c r="L72" s="9" t="str">
        <f t="shared" si="1"/>
        <v>OK</v>
      </c>
    </row>
    <row r="73" ht="15.75" customHeight="1">
      <c r="A73" s="9">
        <v>72.0</v>
      </c>
      <c r="B73" s="39" t="s">
        <v>359</v>
      </c>
      <c r="C73" s="14" t="s">
        <v>171</v>
      </c>
      <c r="D73" s="9" t="s">
        <v>376</v>
      </c>
      <c r="E73" s="9" t="s">
        <v>40</v>
      </c>
      <c r="F73" s="9" t="s">
        <v>59</v>
      </c>
      <c r="G73" s="9" t="s">
        <v>41</v>
      </c>
      <c r="H73" s="14"/>
      <c r="I73" s="14"/>
      <c r="J73" s="9"/>
      <c r="K73" s="9" t="str">
        <f>IF(COUNTIF('팀별_명단'!$A$5:$W$34,$C73)=1,"OK","확인")</f>
        <v>OK</v>
      </c>
      <c r="L73" s="9" t="str">
        <f t="shared" si="1"/>
        <v>-</v>
      </c>
    </row>
    <row r="74" ht="15.75" customHeight="1">
      <c r="A74" s="9">
        <v>73.0</v>
      </c>
      <c r="B74" s="39" t="s">
        <v>359</v>
      </c>
      <c r="C74" s="14" t="s">
        <v>178</v>
      </c>
      <c r="D74" s="9" t="s">
        <v>377</v>
      </c>
      <c r="E74" s="9" t="s">
        <v>27</v>
      </c>
      <c r="F74" s="9" t="s">
        <v>28</v>
      </c>
      <c r="G74" s="9" t="s">
        <v>41</v>
      </c>
      <c r="H74" s="14"/>
      <c r="I74" s="14"/>
      <c r="J74" s="9">
        <v>36.0</v>
      </c>
      <c r="K74" s="9" t="str">
        <f>IF(COUNTIF('팀별_명단'!$A$5:$W$34,$C74)=1,"OK","확인")</f>
        <v>OK</v>
      </c>
      <c r="L74" s="9" t="str">
        <f t="shared" si="1"/>
        <v>OK</v>
      </c>
    </row>
    <row r="75" ht="15.75" customHeight="1">
      <c r="A75" s="9">
        <v>74.0</v>
      </c>
      <c r="B75" s="39" t="s">
        <v>359</v>
      </c>
      <c r="C75" s="14" t="s">
        <v>187</v>
      </c>
      <c r="D75" s="9" t="s">
        <v>378</v>
      </c>
      <c r="E75" s="9" t="s">
        <v>27</v>
      </c>
      <c r="F75" s="9" t="s">
        <v>27</v>
      </c>
      <c r="G75" s="9" t="s">
        <v>41</v>
      </c>
      <c r="H75" s="14"/>
      <c r="I75" s="14"/>
      <c r="J75" s="9">
        <v>78.0</v>
      </c>
      <c r="K75" s="9" t="str">
        <f>IF(COUNTIF('팀별_명단'!$A$5:$W$34,$C75)=1,"OK","확인")</f>
        <v>OK</v>
      </c>
      <c r="L75" s="9" t="str">
        <f t="shared" si="1"/>
        <v>OK</v>
      </c>
    </row>
    <row r="76" ht="15.75" customHeight="1">
      <c r="A76" s="9">
        <v>75.0</v>
      </c>
      <c r="B76" s="39" t="s">
        <v>359</v>
      </c>
      <c r="C76" s="14" t="s">
        <v>195</v>
      </c>
      <c r="D76" s="9" t="s">
        <v>293</v>
      </c>
      <c r="E76" s="9" t="s">
        <v>27</v>
      </c>
      <c r="F76" s="9" t="s">
        <v>28</v>
      </c>
      <c r="G76" s="9" t="s">
        <v>41</v>
      </c>
      <c r="H76" s="14"/>
      <c r="I76" s="14"/>
      <c r="J76" s="9"/>
      <c r="K76" s="9" t="str">
        <f>IF(COUNTIF('팀별_명단'!$A$5:$W$34,$C76)=1,"OK","확인")</f>
        <v>OK</v>
      </c>
      <c r="L76" s="9" t="str">
        <f t="shared" si="1"/>
        <v>-</v>
      </c>
    </row>
    <row r="77" ht="15.75" customHeight="1">
      <c r="A77" s="9">
        <v>76.0</v>
      </c>
      <c r="B77" s="39" t="s">
        <v>359</v>
      </c>
      <c r="C77" s="14" t="s">
        <v>203</v>
      </c>
      <c r="D77" s="9" t="s">
        <v>379</v>
      </c>
      <c r="E77" s="9" t="s">
        <v>40</v>
      </c>
      <c r="F77" s="9" t="s">
        <v>27</v>
      </c>
      <c r="G77" s="9" t="s">
        <v>29</v>
      </c>
      <c r="H77" s="14"/>
      <c r="I77" s="14"/>
      <c r="J77" s="9"/>
      <c r="K77" s="9" t="str">
        <f>IF(COUNTIF('팀별_명단'!$A$5:$W$34,$C77)=1,"OK","확인")</f>
        <v>OK</v>
      </c>
      <c r="L77" s="9" t="str">
        <f t="shared" si="1"/>
        <v>-</v>
      </c>
    </row>
    <row r="78" ht="15.75" customHeight="1">
      <c r="A78" s="9">
        <v>77.0</v>
      </c>
      <c r="B78" s="39" t="s">
        <v>359</v>
      </c>
      <c r="C78" s="14" t="s">
        <v>213</v>
      </c>
      <c r="D78" s="9" t="s">
        <v>380</v>
      </c>
      <c r="E78" s="9" t="s">
        <v>27</v>
      </c>
      <c r="F78" s="9" t="s">
        <v>28</v>
      </c>
      <c r="G78" s="9" t="s">
        <v>41</v>
      </c>
      <c r="H78" s="14"/>
      <c r="I78" s="14"/>
      <c r="J78" s="9">
        <v>36.0</v>
      </c>
      <c r="K78" s="9" t="str">
        <f>IF(COUNTIF('팀별_명단'!$A$5:$W$34,$C78)=1,"OK","확인")</f>
        <v>OK</v>
      </c>
      <c r="L78" s="9" t="str">
        <f t="shared" si="1"/>
        <v>OK</v>
      </c>
    </row>
    <row r="79" ht="15.75" customHeight="1">
      <c r="A79" s="9">
        <v>78.0</v>
      </c>
      <c r="B79" s="39" t="s">
        <v>359</v>
      </c>
      <c r="C79" s="14" t="s">
        <v>221</v>
      </c>
      <c r="D79" s="9" t="s">
        <v>381</v>
      </c>
      <c r="E79" s="9" t="s">
        <v>40</v>
      </c>
      <c r="F79" s="9" t="s">
        <v>83</v>
      </c>
      <c r="G79" s="9" t="s">
        <v>41</v>
      </c>
      <c r="H79" s="14"/>
      <c r="I79" s="14" t="s">
        <v>295</v>
      </c>
      <c r="J79" s="9">
        <v>14.0</v>
      </c>
      <c r="K79" s="9" t="str">
        <f>IF(COUNTIF('팀별_명단'!$A$5:$W$34,$C79)=1,"OK","확인")</f>
        <v>OK</v>
      </c>
      <c r="L79" s="9" t="str">
        <f t="shared" si="1"/>
        <v>OK</v>
      </c>
    </row>
    <row r="80" ht="15.75" customHeight="1">
      <c r="A80" s="9">
        <v>79.0</v>
      </c>
      <c r="B80" s="39" t="s">
        <v>359</v>
      </c>
      <c r="C80" s="14" t="s">
        <v>226</v>
      </c>
      <c r="D80" s="9" t="s">
        <v>382</v>
      </c>
      <c r="E80" s="9" t="s">
        <v>40</v>
      </c>
      <c r="F80" s="9" t="s">
        <v>27</v>
      </c>
      <c r="G80" s="9" t="s">
        <v>41</v>
      </c>
      <c r="H80" s="14"/>
      <c r="I80" s="14"/>
      <c r="J80" s="9"/>
      <c r="K80" s="9" t="str">
        <f>IF(COUNTIF('팀별_명단'!$A$5:$W$34,$C80)=1,"OK","확인")</f>
        <v>OK</v>
      </c>
      <c r="L80" s="9" t="str">
        <f t="shared" si="1"/>
        <v>-</v>
      </c>
    </row>
    <row r="81" ht="15.75" customHeight="1">
      <c r="A81" s="9">
        <v>80.0</v>
      </c>
      <c r="B81" s="39" t="s">
        <v>359</v>
      </c>
      <c r="C81" s="14" t="s">
        <v>235</v>
      </c>
      <c r="D81" s="9" t="s">
        <v>383</v>
      </c>
      <c r="E81" s="9" t="s">
        <v>40</v>
      </c>
      <c r="F81" s="9" t="s">
        <v>27</v>
      </c>
      <c r="G81" s="9" t="s">
        <v>41</v>
      </c>
      <c r="H81" s="14"/>
      <c r="I81" s="14" t="s">
        <v>384</v>
      </c>
      <c r="J81" s="9">
        <v>11.0</v>
      </c>
      <c r="K81" s="9" t="str">
        <f>IF(COUNTIF('팀별_명단'!$A$5:$W$34,$C81)=1,"OK","확인")</f>
        <v>OK</v>
      </c>
      <c r="L81" s="9" t="str">
        <f t="shared" si="1"/>
        <v>OK</v>
      </c>
    </row>
    <row r="82" ht="15.75" customHeight="1">
      <c r="A82" s="9">
        <v>81.0</v>
      </c>
      <c r="B82" s="39" t="s">
        <v>359</v>
      </c>
      <c r="C82" s="14" t="s">
        <v>245</v>
      </c>
      <c r="D82" s="9" t="s">
        <v>385</v>
      </c>
      <c r="E82" s="9" t="s">
        <v>40</v>
      </c>
      <c r="F82" s="9" t="s">
        <v>28</v>
      </c>
      <c r="G82" s="9" t="s">
        <v>41</v>
      </c>
      <c r="H82" s="14"/>
      <c r="I82" s="14" t="s">
        <v>268</v>
      </c>
      <c r="J82" s="9">
        <v>51.0</v>
      </c>
      <c r="K82" s="9" t="str">
        <f>IF(COUNTIF('팀별_명단'!$A$5:$W$34,$C82)=1,"OK","확인")</f>
        <v>OK</v>
      </c>
      <c r="L82" s="9" t="str">
        <f t="shared" si="1"/>
        <v>OK</v>
      </c>
    </row>
    <row r="83" ht="15.75" customHeight="1">
      <c r="A83" s="9">
        <v>82.0</v>
      </c>
      <c r="B83" s="39" t="s">
        <v>359</v>
      </c>
      <c r="C83" s="14" t="s">
        <v>257</v>
      </c>
      <c r="D83" s="9" t="s">
        <v>386</v>
      </c>
      <c r="E83" s="9" t="s">
        <v>40</v>
      </c>
      <c r="F83" s="9" t="s">
        <v>27</v>
      </c>
      <c r="G83" s="9" t="s">
        <v>41</v>
      </c>
      <c r="H83" s="14"/>
      <c r="I83" s="14"/>
      <c r="J83" s="9"/>
      <c r="K83" s="9" t="str">
        <f>IF(COUNTIF('팀별_명단'!$A$5:$W$34,$C83)=1,"OK","확인")</f>
        <v>OK</v>
      </c>
      <c r="L83" s="9" t="str">
        <f t="shared" si="1"/>
        <v>-</v>
      </c>
    </row>
    <row r="84" ht="15.75" customHeight="1">
      <c r="A84" s="9">
        <v>83.0</v>
      </c>
      <c r="B84" s="39" t="s">
        <v>359</v>
      </c>
      <c r="C84" s="14" t="s">
        <v>268</v>
      </c>
      <c r="D84" s="9" t="s">
        <v>387</v>
      </c>
      <c r="E84" s="9" t="s">
        <v>40</v>
      </c>
      <c r="F84" s="9" t="s">
        <v>28</v>
      </c>
      <c r="G84" s="9" t="s">
        <v>41</v>
      </c>
      <c r="H84" s="14"/>
      <c r="I84" s="14"/>
      <c r="J84" s="9">
        <v>51.0</v>
      </c>
      <c r="K84" s="9" t="str">
        <f>IF(COUNTIF('팀별_명단'!$A$5:$W$34,$C84)=1,"OK","확인")</f>
        <v>OK</v>
      </c>
      <c r="L84" s="9" t="str">
        <f t="shared" si="1"/>
        <v>OK</v>
      </c>
    </row>
    <row r="85" ht="15.75" customHeight="1">
      <c r="A85" s="9">
        <v>84.0</v>
      </c>
      <c r="B85" s="39" t="s">
        <v>359</v>
      </c>
      <c r="C85" s="14" t="s">
        <v>280</v>
      </c>
      <c r="D85" s="9" t="s">
        <v>388</v>
      </c>
      <c r="E85" s="9" t="s">
        <v>27</v>
      </c>
      <c r="F85" s="9" t="s">
        <v>28</v>
      </c>
      <c r="G85" s="9" t="s">
        <v>41</v>
      </c>
      <c r="H85" s="14" t="s">
        <v>389</v>
      </c>
      <c r="I85" s="14" t="s">
        <v>390</v>
      </c>
      <c r="J85" s="9">
        <v>7.0</v>
      </c>
      <c r="K85" s="9" t="str">
        <f>IF(COUNTIF('팀별_명단'!$A$5:$W$34,$C85)=1,"OK","확인")</f>
        <v>OK</v>
      </c>
      <c r="L85" s="9" t="str">
        <f t="shared" si="1"/>
        <v>OK</v>
      </c>
    </row>
    <row r="86" ht="15.75" customHeight="1">
      <c r="A86" s="9">
        <v>85.0</v>
      </c>
      <c r="B86" s="39" t="s">
        <v>359</v>
      </c>
      <c r="C86" s="14" t="s">
        <v>295</v>
      </c>
      <c r="D86" s="9" t="s">
        <v>391</v>
      </c>
      <c r="E86" s="9" t="s">
        <v>40</v>
      </c>
      <c r="F86" s="9" t="s">
        <v>28</v>
      </c>
      <c r="G86" s="9" t="s">
        <v>41</v>
      </c>
      <c r="H86" s="14"/>
      <c r="I86" s="14" t="s">
        <v>142</v>
      </c>
      <c r="J86" s="9">
        <v>14.0</v>
      </c>
      <c r="K86" s="9" t="str">
        <f>IF(COUNTIF('팀별_명단'!$A$5:$W$34,$C86)=1,"OK","확인")</f>
        <v>OK</v>
      </c>
      <c r="L86" s="9" t="str">
        <f t="shared" si="1"/>
        <v>OK</v>
      </c>
    </row>
    <row r="87" ht="15.75" customHeight="1">
      <c r="A87" s="9">
        <v>86.0</v>
      </c>
      <c r="B87" s="40" t="s">
        <v>392</v>
      </c>
      <c r="C87" s="14" t="s">
        <v>62</v>
      </c>
      <c r="D87" s="9" t="s">
        <v>286</v>
      </c>
      <c r="E87" s="9" t="s">
        <v>27</v>
      </c>
      <c r="F87" s="9" t="s">
        <v>28</v>
      </c>
      <c r="G87" s="9" t="s">
        <v>41</v>
      </c>
      <c r="H87" s="14"/>
      <c r="I87" s="14"/>
      <c r="J87" s="9">
        <v>12.0</v>
      </c>
      <c r="K87" s="9" t="str">
        <f>IF(COUNTIF('팀별_명단'!$A$5:$W$34,$C87)=1,"OK","확인")</f>
        <v>OK</v>
      </c>
      <c r="L87" s="9" t="str">
        <f t="shared" si="1"/>
        <v>OK</v>
      </c>
    </row>
    <row r="88" ht="15.75" customHeight="1">
      <c r="A88" s="9">
        <v>87.0</v>
      </c>
      <c r="B88" s="40" t="s">
        <v>392</v>
      </c>
      <c r="C88" s="14" t="s">
        <v>71</v>
      </c>
      <c r="D88" s="9" t="s">
        <v>393</v>
      </c>
      <c r="E88" s="9" t="s">
        <v>40</v>
      </c>
      <c r="F88" s="9" t="s">
        <v>28</v>
      </c>
      <c r="G88" s="9" t="s">
        <v>41</v>
      </c>
      <c r="H88" s="14"/>
      <c r="I88" s="14"/>
      <c r="J88" s="9"/>
      <c r="K88" s="9" t="str">
        <f>IF(COUNTIF('팀별_명단'!$A$5:$W$34,$C88)=1,"OK","확인")</f>
        <v>OK</v>
      </c>
      <c r="L88" s="9" t="str">
        <f t="shared" si="1"/>
        <v>-</v>
      </c>
    </row>
    <row r="89" ht="15.75" customHeight="1">
      <c r="A89" s="9">
        <v>88.0</v>
      </c>
      <c r="B89" s="40" t="s">
        <v>392</v>
      </c>
      <c r="C89" s="14" t="s">
        <v>78</v>
      </c>
      <c r="D89" s="9" t="s">
        <v>305</v>
      </c>
      <c r="E89" s="9" t="s">
        <v>27</v>
      </c>
      <c r="F89" s="9" t="s">
        <v>79</v>
      </c>
      <c r="G89" s="9" t="s">
        <v>29</v>
      </c>
      <c r="H89" s="14"/>
      <c r="I89" s="14"/>
      <c r="J89" s="9"/>
      <c r="K89" s="9" t="str">
        <f>IF(COUNTIF('팀별_명단'!$A$5:$W$34,$C89)=1,"OK","확인")</f>
        <v>OK</v>
      </c>
      <c r="L89" s="9" t="str">
        <f t="shared" si="1"/>
        <v>-</v>
      </c>
    </row>
    <row r="90" ht="15.75" customHeight="1">
      <c r="A90" s="9">
        <v>89.0</v>
      </c>
      <c r="B90" s="40" t="s">
        <v>392</v>
      </c>
      <c r="C90" s="14" t="s">
        <v>86</v>
      </c>
      <c r="D90" s="9" t="s">
        <v>394</v>
      </c>
      <c r="E90" s="9" t="s">
        <v>40</v>
      </c>
      <c r="F90" s="9" t="s">
        <v>27</v>
      </c>
      <c r="G90" s="9" t="s">
        <v>41</v>
      </c>
      <c r="H90" s="14"/>
      <c r="I90" s="14" t="s">
        <v>206</v>
      </c>
      <c r="J90" s="9">
        <v>20.0</v>
      </c>
      <c r="K90" s="9" t="str">
        <f>IF(COUNTIF('팀별_명단'!$A$5:$W$34,$C90)=1,"OK","확인")</f>
        <v>OK</v>
      </c>
      <c r="L90" s="9" t="str">
        <f t="shared" si="1"/>
        <v>OK</v>
      </c>
    </row>
    <row r="91" ht="15.75" customHeight="1">
      <c r="A91" s="9">
        <v>90.0</v>
      </c>
      <c r="B91" s="40" t="s">
        <v>392</v>
      </c>
      <c r="C91" s="14" t="s">
        <v>94</v>
      </c>
      <c r="D91" s="9" t="s">
        <v>395</v>
      </c>
      <c r="E91" s="9" t="s">
        <v>40</v>
      </c>
      <c r="F91" s="9" t="s">
        <v>27</v>
      </c>
      <c r="G91" s="9" t="s">
        <v>41</v>
      </c>
      <c r="H91" s="14"/>
      <c r="I91" s="14" t="s">
        <v>396</v>
      </c>
      <c r="J91" s="9">
        <v>45.0</v>
      </c>
      <c r="K91" s="9" t="str">
        <f>IF(COUNTIF('팀별_명단'!$A$5:$W$34,$C91)=1,"OK","확인")</f>
        <v>OK</v>
      </c>
      <c r="L91" s="9" t="str">
        <f t="shared" si="1"/>
        <v>OK</v>
      </c>
    </row>
    <row r="92" ht="15.75" customHeight="1">
      <c r="A92" s="9">
        <v>91.0</v>
      </c>
      <c r="B92" s="40" t="s">
        <v>392</v>
      </c>
      <c r="C92" s="14" t="s">
        <v>101</v>
      </c>
      <c r="D92" s="9" t="s">
        <v>397</v>
      </c>
      <c r="E92" s="9" t="s">
        <v>40</v>
      </c>
      <c r="F92" s="9" t="s">
        <v>28</v>
      </c>
      <c r="G92" s="9" t="s">
        <v>29</v>
      </c>
      <c r="H92" s="14"/>
      <c r="I92" s="14"/>
      <c r="J92" s="9"/>
      <c r="K92" s="9" t="str">
        <f>IF(COUNTIF('팀별_명단'!$A$5:$W$34,$C92)=1,"OK","확인")</f>
        <v>OK</v>
      </c>
      <c r="L92" s="9" t="str">
        <f t="shared" si="1"/>
        <v>-</v>
      </c>
    </row>
    <row r="93" ht="15.75" customHeight="1">
      <c r="A93" s="9">
        <v>92.0</v>
      </c>
      <c r="B93" s="40" t="s">
        <v>392</v>
      </c>
      <c r="C93" s="14" t="s">
        <v>108</v>
      </c>
      <c r="D93" s="9" t="s">
        <v>398</v>
      </c>
      <c r="E93" s="9" t="s">
        <v>40</v>
      </c>
      <c r="F93" s="9" t="s">
        <v>59</v>
      </c>
      <c r="G93" s="9" t="s">
        <v>41</v>
      </c>
      <c r="H93" s="14"/>
      <c r="I93" s="14" t="s">
        <v>399</v>
      </c>
      <c r="J93" s="9">
        <v>10.0</v>
      </c>
      <c r="K93" s="9" t="str">
        <f>IF(COUNTIF('팀별_명단'!$A$5:$W$34,$C93)=1,"OK","확인")</f>
        <v>OK</v>
      </c>
      <c r="L93" s="9" t="str">
        <f t="shared" si="1"/>
        <v>OK</v>
      </c>
    </row>
    <row r="94" ht="15.75" customHeight="1">
      <c r="A94" s="9">
        <v>93.0</v>
      </c>
      <c r="B94" s="40" t="s">
        <v>392</v>
      </c>
      <c r="C94" s="14" t="s">
        <v>115</v>
      </c>
      <c r="D94" s="9" t="s">
        <v>400</v>
      </c>
      <c r="E94" s="9" t="s">
        <v>27</v>
      </c>
      <c r="F94" s="9" t="s">
        <v>79</v>
      </c>
      <c r="G94" s="9" t="s">
        <v>41</v>
      </c>
      <c r="H94" s="14"/>
      <c r="I94" s="14"/>
      <c r="J94" s="9"/>
      <c r="K94" s="9" t="str">
        <f>IF(COUNTIF('팀별_명단'!$A$5:$W$34,$C94)=1,"OK","확인")</f>
        <v>OK</v>
      </c>
      <c r="L94" s="9" t="str">
        <f t="shared" si="1"/>
        <v>-</v>
      </c>
    </row>
    <row r="95" ht="15.75" customHeight="1">
      <c r="A95" s="9">
        <v>94.0</v>
      </c>
      <c r="B95" s="40" t="s">
        <v>392</v>
      </c>
      <c r="C95" s="14" t="s">
        <v>124</v>
      </c>
      <c r="D95" s="9" t="s">
        <v>401</v>
      </c>
      <c r="E95" s="9" t="s">
        <v>27</v>
      </c>
      <c r="F95" s="9" t="s">
        <v>55</v>
      </c>
      <c r="G95" s="9" t="s">
        <v>41</v>
      </c>
      <c r="H95" s="14" t="s">
        <v>402</v>
      </c>
      <c r="I95" s="14"/>
      <c r="J95" s="9"/>
      <c r="K95" s="9" t="str">
        <f>IF(COUNTIF('팀별_명단'!$A$5:$W$34,$C95)=1,"OK","확인")</f>
        <v>OK</v>
      </c>
      <c r="L95" s="9" t="str">
        <f t="shared" si="1"/>
        <v>-</v>
      </c>
    </row>
    <row r="96" ht="15.75" customHeight="1">
      <c r="A96" s="9">
        <v>95.0</v>
      </c>
      <c r="B96" s="40" t="s">
        <v>392</v>
      </c>
      <c r="C96" s="14" t="s">
        <v>135</v>
      </c>
      <c r="D96" s="9" t="s">
        <v>403</v>
      </c>
      <c r="E96" s="9" t="s">
        <v>27</v>
      </c>
      <c r="F96" s="9" t="s">
        <v>79</v>
      </c>
      <c r="G96" s="9" t="s">
        <v>29</v>
      </c>
      <c r="H96" s="14"/>
      <c r="I96" s="14"/>
      <c r="J96" s="9"/>
      <c r="K96" s="9" t="str">
        <f>IF(COUNTIF('팀별_명단'!$A$5:$W$34,$C96)=1,"OK","확인")</f>
        <v>OK</v>
      </c>
      <c r="L96" s="9" t="str">
        <f t="shared" si="1"/>
        <v>-</v>
      </c>
    </row>
    <row r="97" ht="15.75" customHeight="1">
      <c r="A97" s="9">
        <v>96.0</v>
      </c>
      <c r="B97" s="40" t="s">
        <v>392</v>
      </c>
      <c r="C97" s="14" t="s">
        <v>143</v>
      </c>
      <c r="D97" s="9" t="s">
        <v>404</v>
      </c>
      <c r="E97" s="9" t="s">
        <v>40</v>
      </c>
      <c r="F97" s="9" t="s">
        <v>27</v>
      </c>
      <c r="G97" s="9" t="s">
        <v>41</v>
      </c>
      <c r="H97" s="14"/>
      <c r="I97" s="14" t="s">
        <v>159</v>
      </c>
      <c r="J97" s="9">
        <v>9.0</v>
      </c>
      <c r="K97" s="9" t="str">
        <f>IF(COUNTIF('팀별_명단'!$A$5:$W$34,$C97)=1,"OK","확인")</f>
        <v>OK</v>
      </c>
      <c r="L97" s="9" t="str">
        <f t="shared" si="1"/>
        <v>OK</v>
      </c>
    </row>
    <row r="98" ht="15.75" customHeight="1">
      <c r="A98" s="9">
        <v>97.0</v>
      </c>
      <c r="B98" s="40" t="s">
        <v>392</v>
      </c>
      <c r="C98" s="14" t="s">
        <v>151</v>
      </c>
      <c r="D98" s="9" t="s">
        <v>405</v>
      </c>
      <c r="E98" s="9" t="s">
        <v>27</v>
      </c>
      <c r="F98" s="9" t="s">
        <v>83</v>
      </c>
      <c r="G98" s="9" t="s">
        <v>29</v>
      </c>
      <c r="H98" s="14"/>
      <c r="I98" s="14"/>
      <c r="J98" s="9"/>
      <c r="K98" s="9" t="str">
        <f>IF(COUNTIF('팀별_명단'!$A$5:$W$34,$C98)=1,"OK","확인")</f>
        <v>OK</v>
      </c>
      <c r="L98" s="9" t="str">
        <f t="shared" si="1"/>
        <v>-</v>
      </c>
    </row>
    <row r="99" ht="15.75" customHeight="1">
      <c r="A99" s="9">
        <v>98.0</v>
      </c>
      <c r="B99" s="40" t="s">
        <v>392</v>
      </c>
      <c r="C99" s="14" t="s">
        <v>159</v>
      </c>
      <c r="D99" s="9" t="s">
        <v>406</v>
      </c>
      <c r="E99" s="9" t="s">
        <v>40</v>
      </c>
      <c r="F99" s="9" t="s">
        <v>27</v>
      </c>
      <c r="G99" s="9" t="s">
        <v>41</v>
      </c>
      <c r="H99" s="14"/>
      <c r="I99" s="14" t="s">
        <v>407</v>
      </c>
      <c r="J99" s="9">
        <v>9.0</v>
      </c>
      <c r="K99" s="9" t="str">
        <f>IF(COUNTIF('팀별_명단'!$A$5:$W$34,$C99)=1,"OK","확인")</f>
        <v>OK</v>
      </c>
      <c r="L99" s="9" t="str">
        <f t="shared" si="1"/>
        <v>OK</v>
      </c>
    </row>
    <row r="100" ht="15.75" customHeight="1">
      <c r="A100" s="9">
        <v>99.0</v>
      </c>
      <c r="B100" s="40" t="s">
        <v>392</v>
      </c>
      <c r="C100" s="14" t="s">
        <v>167</v>
      </c>
      <c r="D100" s="9" t="s">
        <v>408</v>
      </c>
      <c r="E100" s="9" t="s">
        <v>40</v>
      </c>
      <c r="F100" s="9" t="s">
        <v>28</v>
      </c>
      <c r="G100" s="9" t="s">
        <v>41</v>
      </c>
      <c r="H100" s="14" t="s">
        <v>409</v>
      </c>
      <c r="I100" s="14"/>
      <c r="J100" s="9"/>
      <c r="K100" s="9" t="str">
        <f>IF(COUNTIF('팀별_명단'!$A$5:$W$34,$C100)=1,"OK","확인")</f>
        <v>OK</v>
      </c>
      <c r="L100" s="9" t="str">
        <f t="shared" si="1"/>
        <v>-</v>
      </c>
    </row>
    <row r="101" ht="15.75" customHeight="1">
      <c r="A101" s="9">
        <v>100.0</v>
      </c>
      <c r="B101" s="40" t="s">
        <v>392</v>
      </c>
      <c r="C101" s="14" t="s">
        <v>173</v>
      </c>
      <c r="D101" s="9" t="s">
        <v>410</v>
      </c>
      <c r="E101" s="9" t="s">
        <v>27</v>
      </c>
      <c r="F101" s="9" t="s">
        <v>55</v>
      </c>
      <c r="G101" s="9" t="s">
        <v>29</v>
      </c>
      <c r="H101" s="14"/>
      <c r="I101" s="14"/>
      <c r="J101" s="9"/>
      <c r="K101" s="9" t="str">
        <f>IF(COUNTIF('팀별_명단'!$A$5:$W$34,$C101)=1,"OK","확인")</f>
        <v>OK</v>
      </c>
      <c r="L101" s="9" t="str">
        <f t="shared" si="1"/>
        <v>-</v>
      </c>
    </row>
    <row r="102" ht="15.75" customHeight="1">
      <c r="A102" s="9">
        <v>101.0</v>
      </c>
      <c r="B102" s="40" t="s">
        <v>392</v>
      </c>
      <c r="C102" s="14" t="s">
        <v>181</v>
      </c>
      <c r="D102" s="9" t="s">
        <v>411</v>
      </c>
      <c r="E102" s="9" t="s">
        <v>40</v>
      </c>
      <c r="F102" s="9" t="s">
        <v>59</v>
      </c>
      <c r="G102" s="9" t="s">
        <v>41</v>
      </c>
      <c r="H102" s="14" t="s">
        <v>412</v>
      </c>
      <c r="I102" s="14" t="s">
        <v>413</v>
      </c>
      <c r="J102" s="9">
        <v>20.0</v>
      </c>
      <c r="K102" s="9" t="str">
        <f>IF(COUNTIF('팀별_명단'!$A$5:$W$34,$C102)=1,"OK","확인")</f>
        <v>OK</v>
      </c>
      <c r="L102" s="9" t="str">
        <f t="shared" si="1"/>
        <v>OK</v>
      </c>
    </row>
    <row r="103" ht="15.75" customHeight="1">
      <c r="A103" s="9">
        <v>102.0</v>
      </c>
      <c r="B103" s="40" t="s">
        <v>392</v>
      </c>
      <c r="C103" s="14" t="s">
        <v>188</v>
      </c>
      <c r="D103" s="9" t="s">
        <v>414</v>
      </c>
      <c r="E103" s="9" t="s">
        <v>40</v>
      </c>
      <c r="F103" s="9" t="s">
        <v>59</v>
      </c>
      <c r="G103" s="9" t="s">
        <v>41</v>
      </c>
      <c r="H103" s="14"/>
      <c r="I103" s="14" t="s">
        <v>415</v>
      </c>
      <c r="J103" s="9">
        <v>45.0</v>
      </c>
      <c r="K103" s="9" t="str">
        <f>IF(COUNTIF('팀별_명단'!$A$5:$W$34,$C103)=1,"OK","확인")</f>
        <v>OK</v>
      </c>
      <c r="L103" s="9" t="str">
        <f t="shared" si="1"/>
        <v>OK</v>
      </c>
    </row>
    <row r="104" ht="15.75" customHeight="1">
      <c r="A104" s="9">
        <v>103.0</v>
      </c>
      <c r="B104" s="40" t="s">
        <v>392</v>
      </c>
      <c r="C104" s="14" t="s">
        <v>198</v>
      </c>
      <c r="D104" s="9" t="s">
        <v>416</v>
      </c>
      <c r="E104" s="9" t="s">
        <v>40</v>
      </c>
      <c r="F104" s="9" t="s">
        <v>27</v>
      </c>
      <c r="G104" s="9" t="s">
        <v>41</v>
      </c>
      <c r="H104" s="14"/>
      <c r="I104" s="14"/>
      <c r="J104" s="9">
        <v>10.0</v>
      </c>
      <c r="K104" s="9" t="str">
        <f>IF(COUNTIF('팀별_명단'!$A$5:$W$34,$C104)=1,"OK","확인")</f>
        <v>OK</v>
      </c>
      <c r="L104" s="9" t="str">
        <f t="shared" si="1"/>
        <v>OK</v>
      </c>
    </row>
    <row r="105" ht="15.75" customHeight="1">
      <c r="A105" s="9">
        <v>104.0</v>
      </c>
      <c r="B105" s="40" t="s">
        <v>392</v>
      </c>
      <c r="C105" s="14" t="s">
        <v>206</v>
      </c>
      <c r="D105" s="9" t="s">
        <v>417</v>
      </c>
      <c r="E105" s="9" t="s">
        <v>40</v>
      </c>
      <c r="F105" s="9" t="s">
        <v>27</v>
      </c>
      <c r="G105" s="9" t="s">
        <v>41</v>
      </c>
      <c r="H105" s="14"/>
      <c r="I105" s="14" t="s">
        <v>418</v>
      </c>
      <c r="J105" s="9">
        <v>20.0</v>
      </c>
      <c r="K105" s="9" t="str">
        <f>IF(COUNTIF('팀별_명단'!$A$5:$W$34,$C105)=1,"OK","확인")</f>
        <v>OK</v>
      </c>
      <c r="L105" s="9" t="str">
        <f t="shared" si="1"/>
        <v>OK</v>
      </c>
    </row>
    <row r="106" ht="15.75" customHeight="1">
      <c r="A106" s="9">
        <v>105.0</v>
      </c>
      <c r="B106" s="40" t="s">
        <v>392</v>
      </c>
      <c r="C106" s="14" t="s">
        <v>214</v>
      </c>
      <c r="D106" s="9" t="s">
        <v>419</v>
      </c>
      <c r="E106" s="9" t="s">
        <v>40</v>
      </c>
      <c r="F106" s="9" t="s">
        <v>55</v>
      </c>
      <c r="G106" s="9" t="s">
        <v>29</v>
      </c>
      <c r="H106" s="14"/>
      <c r="I106" s="14"/>
      <c r="J106" s="9"/>
      <c r="K106" s="9" t="str">
        <f>IF(COUNTIF('팀별_명단'!$A$5:$W$34,$C106)=1,"OK","확인")</f>
        <v>OK</v>
      </c>
      <c r="L106" s="9" t="str">
        <f t="shared" si="1"/>
        <v>-</v>
      </c>
    </row>
    <row r="107" ht="15.75" customHeight="1">
      <c r="A107" s="9">
        <v>106.0</v>
      </c>
      <c r="B107" s="40" t="s">
        <v>392</v>
      </c>
      <c r="C107" s="14" t="s">
        <v>222</v>
      </c>
      <c r="D107" s="9" t="s">
        <v>420</v>
      </c>
      <c r="E107" s="9" t="s">
        <v>27</v>
      </c>
      <c r="F107" s="9" t="s">
        <v>28</v>
      </c>
      <c r="G107" s="9" t="s">
        <v>41</v>
      </c>
      <c r="H107" s="14" t="s">
        <v>343</v>
      </c>
      <c r="I107" s="14" t="s">
        <v>283</v>
      </c>
      <c r="J107" s="9">
        <v>54.0</v>
      </c>
      <c r="K107" s="9" t="str">
        <f>IF(COUNTIF('팀별_명단'!$A$5:$W$34,$C107)=1,"OK","확인")</f>
        <v>OK</v>
      </c>
      <c r="L107" s="9" t="str">
        <f t="shared" si="1"/>
        <v>OK</v>
      </c>
    </row>
    <row r="108" ht="15.75" customHeight="1">
      <c r="A108" s="9">
        <v>107.0</v>
      </c>
      <c r="B108" s="40" t="s">
        <v>392</v>
      </c>
      <c r="C108" s="14" t="s">
        <v>229</v>
      </c>
      <c r="D108" s="9" t="s">
        <v>421</v>
      </c>
      <c r="E108" s="9" t="s">
        <v>27</v>
      </c>
      <c r="F108" s="9" t="s">
        <v>28</v>
      </c>
      <c r="G108" s="9" t="s">
        <v>41</v>
      </c>
      <c r="H108" s="14"/>
      <c r="I108" s="14"/>
      <c r="J108" s="9"/>
      <c r="K108" s="9" t="str">
        <f>IF(COUNTIF('팀별_명단'!$A$5:$W$34,$C108)=1,"OK","확인")</f>
        <v>OK</v>
      </c>
      <c r="L108" s="9" t="str">
        <f t="shared" si="1"/>
        <v>-</v>
      </c>
    </row>
    <row r="109" ht="15.75" customHeight="1">
      <c r="A109" s="9">
        <v>108.0</v>
      </c>
      <c r="B109" s="40" t="s">
        <v>392</v>
      </c>
      <c r="C109" s="14" t="s">
        <v>236</v>
      </c>
      <c r="D109" s="9" t="s">
        <v>422</v>
      </c>
      <c r="E109" s="9" t="s">
        <v>27</v>
      </c>
      <c r="F109" s="9" t="s">
        <v>27</v>
      </c>
      <c r="G109" s="9" t="s">
        <v>41</v>
      </c>
      <c r="H109" s="14"/>
      <c r="I109" s="14" t="s">
        <v>62</v>
      </c>
      <c r="J109" s="9">
        <v>12.0</v>
      </c>
      <c r="K109" s="9" t="str">
        <f>IF(COUNTIF('팀별_명단'!$A$5:$W$34,$C109)=1,"OK","확인")</f>
        <v>OK</v>
      </c>
      <c r="L109" s="9" t="str">
        <f t="shared" si="1"/>
        <v>OK</v>
      </c>
    </row>
    <row r="110" ht="15.75" customHeight="1">
      <c r="A110" s="9">
        <v>109.0</v>
      </c>
      <c r="B110" s="40" t="s">
        <v>392</v>
      </c>
      <c r="C110" s="14" t="s">
        <v>248</v>
      </c>
      <c r="D110" s="9" t="s">
        <v>423</v>
      </c>
      <c r="E110" s="9" t="s">
        <v>27</v>
      </c>
      <c r="F110" s="9" t="s">
        <v>28</v>
      </c>
      <c r="G110" s="9" t="s">
        <v>29</v>
      </c>
      <c r="H110" s="14"/>
      <c r="I110" s="14"/>
      <c r="J110" s="9"/>
      <c r="K110" s="9" t="str">
        <f>IF(COUNTIF('팀별_명단'!$A$5:$W$34,$C110)=1,"OK","확인")</f>
        <v>OK</v>
      </c>
      <c r="L110" s="9" t="str">
        <f t="shared" si="1"/>
        <v>-</v>
      </c>
    </row>
    <row r="111" ht="15.75" customHeight="1">
      <c r="A111" s="9">
        <v>110.0</v>
      </c>
      <c r="B111" s="40" t="s">
        <v>392</v>
      </c>
      <c r="C111" s="14" t="s">
        <v>259</v>
      </c>
      <c r="D111" s="9" t="s">
        <v>424</v>
      </c>
      <c r="E111" s="9" t="s">
        <v>40</v>
      </c>
      <c r="F111" s="9" t="s">
        <v>59</v>
      </c>
      <c r="G111" s="9" t="s">
        <v>41</v>
      </c>
      <c r="H111" s="14"/>
      <c r="I111" s="14"/>
      <c r="J111" s="9"/>
      <c r="K111" s="9" t="str">
        <f>IF(COUNTIF('팀별_명단'!$A$5:$W$34,$C111)=1,"OK","확인")</f>
        <v>OK</v>
      </c>
      <c r="L111" s="9" t="str">
        <f t="shared" si="1"/>
        <v>-</v>
      </c>
    </row>
    <row r="112" ht="15.75" customHeight="1">
      <c r="A112" s="9">
        <v>111.0</v>
      </c>
      <c r="B112" s="40" t="s">
        <v>392</v>
      </c>
      <c r="C112" s="14" t="s">
        <v>273</v>
      </c>
      <c r="D112" s="9" t="s">
        <v>425</v>
      </c>
      <c r="E112" s="9" t="s">
        <v>40</v>
      </c>
      <c r="F112" s="9" t="s">
        <v>27</v>
      </c>
      <c r="G112" s="9" t="s">
        <v>41</v>
      </c>
      <c r="H112" s="14"/>
      <c r="I112" s="14"/>
      <c r="J112" s="9"/>
      <c r="K112" s="9" t="str">
        <f>IF(COUNTIF('팀별_명단'!$A$5:$W$34,$C112)=1,"OK","확인")</f>
        <v>OK</v>
      </c>
      <c r="L112" s="9" t="str">
        <f t="shared" si="1"/>
        <v>-</v>
      </c>
    </row>
    <row r="113" ht="15.75" customHeight="1">
      <c r="A113" s="9">
        <v>112.0</v>
      </c>
      <c r="B113" s="40" t="s">
        <v>392</v>
      </c>
      <c r="C113" s="14" t="s">
        <v>283</v>
      </c>
      <c r="D113" s="9" t="s">
        <v>426</v>
      </c>
      <c r="E113" s="9" t="s">
        <v>27</v>
      </c>
      <c r="F113" s="9" t="s">
        <v>27</v>
      </c>
      <c r="G113" s="9" t="s">
        <v>41</v>
      </c>
      <c r="H113" s="14" t="s">
        <v>427</v>
      </c>
      <c r="I113" s="14"/>
      <c r="J113" s="9">
        <v>54.0</v>
      </c>
      <c r="K113" s="9" t="str">
        <f>IF(COUNTIF('팀별_명단'!$A$5:$W$34,$C113)=1,"OK","확인")</f>
        <v>OK</v>
      </c>
      <c r="L113" s="9" t="str">
        <f t="shared" si="1"/>
        <v>OK</v>
      </c>
    </row>
    <row r="114" ht="15.75" customHeight="1">
      <c r="A114" s="9">
        <v>113.0</v>
      </c>
      <c r="B114" s="40" t="s">
        <v>392</v>
      </c>
      <c r="C114" s="14" t="s">
        <v>296</v>
      </c>
      <c r="D114" s="9" t="s">
        <v>270</v>
      </c>
      <c r="E114" s="9" t="s">
        <v>40</v>
      </c>
      <c r="F114" s="9" t="s">
        <v>27</v>
      </c>
      <c r="G114" s="9" t="s">
        <v>41</v>
      </c>
      <c r="H114" s="14" t="s">
        <v>335</v>
      </c>
      <c r="I114" s="14" t="s">
        <v>415</v>
      </c>
      <c r="J114" s="9">
        <v>45.0</v>
      </c>
      <c r="K114" s="9" t="str">
        <f>IF(COUNTIF('팀별_명단'!$A$5:$W$34,$C114)=1,"OK","확인")</f>
        <v>OK</v>
      </c>
      <c r="L114" s="9" t="str">
        <f t="shared" si="1"/>
        <v>OK</v>
      </c>
    </row>
    <row r="115" ht="15.75" customHeight="1">
      <c r="A115" s="9">
        <v>114.0</v>
      </c>
      <c r="B115" s="41" t="s">
        <v>428</v>
      </c>
      <c r="C115" s="14" t="s">
        <v>63</v>
      </c>
      <c r="D115" s="9" t="s">
        <v>429</v>
      </c>
      <c r="E115" s="9" t="s">
        <v>40</v>
      </c>
      <c r="F115" s="9" t="s">
        <v>27</v>
      </c>
      <c r="G115" s="9" t="s">
        <v>41</v>
      </c>
      <c r="H115" s="14"/>
      <c r="I115" s="14" t="s">
        <v>189</v>
      </c>
      <c r="J115" s="9">
        <v>19.0</v>
      </c>
      <c r="K115" s="9" t="str">
        <f>IF(COUNTIF('팀별_명단'!$A$5:$W$34,$C115)=1,"OK","확인")</f>
        <v>OK</v>
      </c>
      <c r="L115" s="9" t="str">
        <f t="shared" si="1"/>
        <v>OK</v>
      </c>
    </row>
    <row r="116" ht="15.75" customHeight="1">
      <c r="A116" s="9">
        <v>115.0</v>
      </c>
      <c r="B116" s="41" t="s">
        <v>428</v>
      </c>
      <c r="C116" s="14" t="s">
        <v>73</v>
      </c>
      <c r="D116" s="9" t="s">
        <v>430</v>
      </c>
      <c r="E116" s="9" t="s">
        <v>40</v>
      </c>
      <c r="F116" s="9" t="s">
        <v>28</v>
      </c>
      <c r="G116" s="9" t="s">
        <v>41</v>
      </c>
      <c r="H116" s="14"/>
      <c r="I116" s="14"/>
      <c r="J116" s="9"/>
      <c r="K116" s="9" t="str">
        <f>IF(COUNTIF('팀별_명단'!$A$5:$W$34,$C116)=1,"OK","확인")</f>
        <v>OK</v>
      </c>
      <c r="L116" s="9" t="str">
        <f t="shared" si="1"/>
        <v>-</v>
      </c>
    </row>
    <row r="117" ht="15.75" customHeight="1">
      <c r="A117" s="9">
        <v>116.0</v>
      </c>
      <c r="B117" s="41" t="s">
        <v>428</v>
      </c>
      <c r="C117" s="14" t="s">
        <v>80</v>
      </c>
      <c r="D117" s="9" t="s">
        <v>431</v>
      </c>
      <c r="E117" s="9" t="s">
        <v>27</v>
      </c>
      <c r="F117" s="9" t="s">
        <v>27</v>
      </c>
      <c r="G117" s="9" t="s">
        <v>41</v>
      </c>
      <c r="H117" s="14"/>
      <c r="I117" s="14" t="s">
        <v>432</v>
      </c>
      <c r="J117" s="9">
        <v>41.0</v>
      </c>
      <c r="K117" s="9" t="str">
        <f>IF(COUNTIF('팀별_명단'!$A$5:$W$34,$C117)=1,"OK","확인")</f>
        <v>OK</v>
      </c>
      <c r="L117" s="9" t="str">
        <f t="shared" si="1"/>
        <v>OK</v>
      </c>
    </row>
    <row r="118" ht="15.75" customHeight="1">
      <c r="A118" s="9">
        <v>117.0</v>
      </c>
      <c r="B118" s="41" t="s">
        <v>428</v>
      </c>
      <c r="C118" s="14" t="s">
        <v>89</v>
      </c>
      <c r="D118" s="9" t="s">
        <v>433</v>
      </c>
      <c r="E118" s="9" t="s">
        <v>40</v>
      </c>
      <c r="F118" s="9" t="s">
        <v>27</v>
      </c>
      <c r="G118" s="9" t="s">
        <v>29</v>
      </c>
      <c r="H118" s="14" t="s">
        <v>335</v>
      </c>
      <c r="I118" s="14" t="s">
        <v>261</v>
      </c>
      <c r="J118" s="9">
        <v>162.0</v>
      </c>
      <c r="K118" s="9" t="str">
        <f>IF(COUNTIF('팀별_명단'!$A$5:$W$34,$C118)=1,"OK","확인")</f>
        <v>OK</v>
      </c>
      <c r="L118" s="9" t="str">
        <f t="shared" si="1"/>
        <v>OK</v>
      </c>
    </row>
    <row r="119" ht="15.75" customHeight="1">
      <c r="A119" s="9">
        <v>118.0</v>
      </c>
      <c r="B119" s="41" t="s">
        <v>428</v>
      </c>
      <c r="C119" s="14" t="s">
        <v>95</v>
      </c>
      <c r="D119" s="9" t="s">
        <v>434</v>
      </c>
      <c r="E119" s="9" t="s">
        <v>27</v>
      </c>
      <c r="F119" s="9" t="s">
        <v>55</v>
      </c>
      <c r="G119" s="9" t="s">
        <v>41</v>
      </c>
      <c r="H119" s="14"/>
      <c r="I119" s="14" t="s">
        <v>435</v>
      </c>
      <c r="J119" s="9">
        <v>39.0</v>
      </c>
      <c r="K119" s="9" t="str">
        <f>IF(COUNTIF('팀별_명단'!$A$5:$W$34,$C119)=1,"OK","확인")</f>
        <v>OK</v>
      </c>
      <c r="L119" s="9" t="str">
        <f t="shared" si="1"/>
        <v>OK</v>
      </c>
    </row>
    <row r="120" ht="15.75" customHeight="1">
      <c r="A120" s="9">
        <v>119.0</v>
      </c>
      <c r="B120" s="41" t="s">
        <v>428</v>
      </c>
      <c r="C120" s="14" t="s">
        <v>102</v>
      </c>
      <c r="D120" s="9" t="s">
        <v>436</v>
      </c>
      <c r="E120" s="9" t="s">
        <v>40</v>
      </c>
      <c r="F120" s="9" t="s">
        <v>83</v>
      </c>
      <c r="G120" s="9" t="s">
        <v>41</v>
      </c>
      <c r="H120" s="14"/>
      <c r="I120" s="14" t="s">
        <v>223</v>
      </c>
      <c r="J120" s="9">
        <v>86.0</v>
      </c>
      <c r="K120" s="9" t="str">
        <f>IF(COUNTIF('팀별_명단'!$A$5:$W$34,$C120)=1,"OK","확인")</f>
        <v>OK</v>
      </c>
      <c r="L120" s="9" t="str">
        <f t="shared" si="1"/>
        <v>OK</v>
      </c>
    </row>
    <row r="121" ht="15.75" customHeight="1">
      <c r="A121" s="9">
        <v>120.0</v>
      </c>
      <c r="B121" s="41" t="s">
        <v>428</v>
      </c>
      <c r="C121" s="14" t="s">
        <v>109</v>
      </c>
      <c r="D121" s="9" t="s">
        <v>437</v>
      </c>
      <c r="E121" s="9" t="s">
        <v>27</v>
      </c>
      <c r="F121" s="9" t="s">
        <v>55</v>
      </c>
      <c r="G121" s="9" t="s">
        <v>41</v>
      </c>
      <c r="H121" s="14"/>
      <c r="I121" s="14" t="s">
        <v>438</v>
      </c>
      <c r="J121" s="9">
        <v>39.0</v>
      </c>
      <c r="K121" s="9" t="str">
        <f>IF(COUNTIF('팀별_명단'!$A$5:$W$34,$C121)=1,"OK","확인")</f>
        <v>OK</v>
      </c>
      <c r="L121" s="9" t="str">
        <f t="shared" si="1"/>
        <v>OK</v>
      </c>
    </row>
    <row r="122" ht="15.75" customHeight="1">
      <c r="A122" s="9">
        <v>121.0</v>
      </c>
      <c r="B122" s="41" t="s">
        <v>428</v>
      </c>
      <c r="C122" s="14" t="s">
        <v>117</v>
      </c>
      <c r="D122" s="9" t="s">
        <v>439</v>
      </c>
      <c r="E122" s="9" t="s">
        <v>27</v>
      </c>
      <c r="F122" s="9" t="s">
        <v>28</v>
      </c>
      <c r="G122" s="9" t="s">
        <v>41</v>
      </c>
      <c r="H122" s="14"/>
      <c r="I122" s="14"/>
      <c r="J122" s="9"/>
      <c r="K122" s="9" t="str">
        <f>IF(COUNTIF('팀별_명단'!$A$5:$W$34,$C122)=1,"OK","확인")</f>
        <v>OK</v>
      </c>
      <c r="L122" s="9" t="str">
        <f t="shared" si="1"/>
        <v>-</v>
      </c>
    </row>
    <row r="123" ht="15.75" customHeight="1">
      <c r="A123" s="9">
        <v>122.0</v>
      </c>
      <c r="B123" s="41" t="s">
        <v>428</v>
      </c>
      <c r="C123" s="14" t="s">
        <v>129</v>
      </c>
      <c r="D123" s="9" t="s">
        <v>440</v>
      </c>
      <c r="E123" s="9" t="s">
        <v>40</v>
      </c>
      <c r="F123" s="9" t="s">
        <v>28</v>
      </c>
      <c r="G123" s="9" t="s">
        <v>41</v>
      </c>
      <c r="H123" s="14"/>
      <c r="I123" s="14"/>
      <c r="J123" s="9">
        <v>41.0</v>
      </c>
      <c r="K123" s="9" t="str">
        <f>IF(COUNTIF('팀별_명단'!$A$5:$W$34,$C123)=1,"OK","확인")</f>
        <v>OK</v>
      </c>
      <c r="L123" s="9" t="str">
        <f t="shared" si="1"/>
        <v>OK</v>
      </c>
    </row>
    <row r="124" ht="15.75" customHeight="1">
      <c r="A124" s="9">
        <v>123.0</v>
      </c>
      <c r="B124" s="41" t="s">
        <v>428</v>
      </c>
      <c r="C124" s="14" t="s">
        <v>136</v>
      </c>
      <c r="D124" s="9" t="s">
        <v>441</v>
      </c>
      <c r="E124" s="9" t="s">
        <v>40</v>
      </c>
      <c r="F124" s="9" t="s">
        <v>55</v>
      </c>
      <c r="G124" s="9" t="s">
        <v>41</v>
      </c>
      <c r="H124" s="14"/>
      <c r="I124" s="14"/>
      <c r="J124" s="9"/>
      <c r="K124" s="9" t="str">
        <f>IF(COUNTIF('팀별_명단'!$A$5:$W$34,$C124)=1,"OK","확인")</f>
        <v>OK</v>
      </c>
      <c r="L124" s="9" t="str">
        <f t="shared" si="1"/>
        <v>-</v>
      </c>
    </row>
    <row r="125" ht="15.75" customHeight="1">
      <c r="A125" s="9">
        <v>124.0</v>
      </c>
      <c r="B125" s="41" t="s">
        <v>428</v>
      </c>
      <c r="C125" s="14" t="s">
        <v>144</v>
      </c>
      <c r="D125" s="9" t="s">
        <v>306</v>
      </c>
      <c r="E125" s="9" t="s">
        <v>40</v>
      </c>
      <c r="F125" s="9" t="s">
        <v>55</v>
      </c>
      <c r="G125" s="9" t="s">
        <v>29</v>
      </c>
      <c r="H125" s="14"/>
      <c r="I125" s="14" t="s">
        <v>89</v>
      </c>
      <c r="J125" s="9">
        <v>162.0</v>
      </c>
      <c r="K125" s="9" t="str">
        <f>IF(COUNTIF('팀별_명단'!$A$5:$W$34,$C125)=1,"OK","확인")</f>
        <v>OK</v>
      </c>
      <c r="L125" s="9" t="str">
        <f t="shared" si="1"/>
        <v>OK</v>
      </c>
    </row>
    <row r="126" ht="15.75" customHeight="1">
      <c r="A126" s="9">
        <v>125.0</v>
      </c>
      <c r="B126" s="41" t="s">
        <v>428</v>
      </c>
      <c r="C126" s="14" t="s">
        <v>153</v>
      </c>
      <c r="D126" s="9" t="s">
        <v>442</v>
      </c>
      <c r="E126" s="9" t="s">
        <v>27</v>
      </c>
      <c r="F126" s="9" t="s">
        <v>79</v>
      </c>
      <c r="G126" s="9" t="s">
        <v>41</v>
      </c>
      <c r="H126" s="14"/>
      <c r="I126" s="14" t="s">
        <v>443</v>
      </c>
      <c r="J126" s="9">
        <v>25.0</v>
      </c>
      <c r="K126" s="9" t="str">
        <f>IF(COUNTIF('팀별_명단'!$A$5:$W$34,$C126)=1,"OK","확인")</f>
        <v>OK</v>
      </c>
      <c r="L126" s="9" t="str">
        <f t="shared" si="1"/>
        <v>OK</v>
      </c>
    </row>
    <row r="127" ht="15.75" customHeight="1">
      <c r="A127" s="9">
        <v>126.0</v>
      </c>
      <c r="B127" s="41" t="s">
        <v>428</v>
      </c>
      <c r="C127" s="14" t="s">
        <v>160</v>
      </c>
      <c r="D127" s="9" t="s">
        <v>444</v>
      </c>
      <c r="E127" s="9" t="s">
        <v>40</v>
      </c>
      <c r="F127" s="9" t="s">
        <v>79</v>
      </c>
      <c r="G127" s="9" t="s">
        <v>41</v>
      </c>
      <c r="H127" s="14"/>
      <c r="I127" s="14"/>
      <c r="J127" s="9"/>
      <c r="K127" s="9" t="str">
        <f>IF(COUNTIF('팀별_명단'!$A$5:$W$34,$C127)=1,"OK","확인")</f>
        <v>OK</v>
      </c>
      <c r="L127" s="9" t="str">
        <f t="shared" si="1"/>
        <v>-</v>
      </c>
    </row>
    <row r="128" ht="15.75" customHeight="1">
      <c r="A128" s="9">
        <v>127.0</v>
      </c>
      <c r="B128" s="41" t="s">
        <v>428</v>
      </c>
      <c r="C128" s="14" t="s">
        <v>168</v>
      </c>
      <c r="D128" s="9" t="s">
        <v>445</v>
      </c>
      <c r="E128" s="9" t="s">
        <v>27</v>
      </c>
      <c r="F128" s="9" t="s">
        <v>28</v>
      </c>
      <c r="G128" s="9" t="s">
        <v>29</v>
      </c>
      <c r="H128" s="14"/>
      <c r="I128" s="14"/>
      <c r="J128" s="9"/>
      <c r="K128" s="9" t="str">
        <f>IF(COUNTIF('팀별_명단'!$A$5:$W$34,$C128)=1,"OK","확인")</f>
        <v>OK</v>
      </c>
      <c r="L128" s="9" t="str">
        <f t="shared" si="1"/>
        <v>-</v>
      </c>
    </row>
    <row r="129" ht="15.75" customHeight="1">
      <c r="A129" s="9">
        <v>128.0</v>
      </c>
      <c r="B129" s="41" t="s">
        <v>428</v>
      </c>
      <c r="C129" s="14" t="s">
        <v>174</v>
      </c>
      <c r="D129" s="9" t="s">
        <v>446</v>
      </c>
      <c r="E129" s="9" t="s">
        <v>27</v>
      </c>
      <c r="F129" s="9" t="s">
        <v>28</v>
      </c>
      <c r="G129" s="9" t="s">
        <v>29</v>
      </c>
      <c r="H129" s="14"/>
      <c r="I129" s="14" t="s">
        <v>447</v>
      </c>
      <c r="J129" s="9"/>
      <c r="K129" s="9" t="str">
        <f>IF(COUNTIF('팀별_명단'!$A$5:$W$34,$C129)=1,"OK","확인")</f>
        <v>OK</v>
      </c>
      <c r="L129" s="9" t="str">
        <f t="shared" si="1"/>
        <v>-</v>
      </c>
    </row>
    <row r="130" ht="15.75" customHeight="1">
      <c r="A130" s="9">
        <v>129.0</v>
      </c>
      <c r="B130" s="41" t="s">
        <v>428</v>
      </c>
      <c r="C130" s="14" t="s">
        <v>182</v>
      </c>
      <c r="D130" s="9" t="s">
        <v>448</v>
      </c>
      <c r="E130" s="9" t="s">
        <v>40</v>
      </c>
      <c r="F130" s="9" t="s">
        <v>28</v>
      </c>
      <c r="G130" s="9" t="s">
        <v>41</v>
      </c>
      <c r="H130" s="14"/>
      <c r="I130" s="14" t="s">
        <v>199</v>
      </c>
      <c r="J130" s="9">
        <v>15.0</v>
      </c>
      <c r="K130" s="9" t="str">
        <f>IF(COUNTIF('팀별_명단'!$A$5:$W$34,$C130)=1,"OK","확인")</f>
        <v>OK</v>
      </c>
      <c r="L130" s="9" t="str">
        <f t="shared" si="1"/>
        <v>OK</v>
      </c>
    </row>
    <row r="131" ht="15.75" customHeight="1">
      <c r="A131" s="9">
        <v>130.0</v>
      </c>
      <c r="B131" s="41" t="s">
        <v>428</v>
      </c>
      <c r="C131" s="14" t="s">
        <v>189</v>
      </c>
      <c r="D131" s="9" t="s">
        <v>262</v>
      </c>
      <c r="E131" s="9" t="s">
        <v>40</v>
      </c>
      <c r="F131" s="9" t="s">
        <v>27</v>
      </c>
      <c r="G131" s="9" t="s">
        <v>41</v>
      </c>
      <c r="H131" s="14"/>
      <c r="I131" s="14" t="s">
        <v>63</v>
      </c>
      <c r="J131" s="9">
        <v>19.0</v>
      </c>
      <c r="K131" s="9" t="str">
        <f>IF(COUNTIF('팀별_명단'!$A$5:$W$34,$C131)=1,"OK","확인")</f>
        <v>OK</v>
      </c>
      <c r="L131" s="9" t="str">
        <f t="shared" si="1"/>
        <v>OK</v>
      </c>
    </row>
    <row r="132" ht="15.75" customHeight="1">
      <c r="A132" s="9">
        <v>131.0</v>
      </c>
      <c r="B132" s="41" t="s">
        <v>428</v>
      </c>
      <c r="C132" s="14" t="s">
        <v>199</v>
      </c>
      <c r="D132" s="9" t="s">
        <v>449</v>
      </c>
      <c r="E132" s="9" t="s">
        <v>40</v>
      </c>
      <c r="F132" s="9" t="s">
        <v>28</v>
      </c>
      <c r="G132" s="9" t="s">
        <v>41</v>
      </c>
      <c r="H132" s="14"/>
      <c r="I132" s="14" t="s">
        <v>182</v>
      </c>
      <c r="J132" s="9">
        <v>15.0</v>
      </c>
      <c r="K132" s="9" t="str">
        <f>IF(COUNTIF('팀별_명단'!$A$5:$W$34,$C132)=1,"OK","확인")</f>
        <v>OK</v>
      </c>
      <c r="L132" s="9" t="str">
        <f t="shared" si="1"/>
        <v>OK</v>
      </c>
    </row>
    <row r="133" ht="15.75" customHeight="1">
      <c r="A133" s="9">
        <v>132.0</v>
      </c>
      <c r="B133" s="41" t="s">
        <v>428</v>
      </c>
      <c r="C133" s="14" t="s">
        <v>208</v>
      </c>
      <c r="D133" s="9" t="s">
        <v>450</v>
      </c>
      <c r="E133" s="9" t="s">
        <v>40</v>
      </c>
      <c r="F133" s="9" t="s">
        <v>27</v>
      </c>
      <c r="G133" s="9" t="s">
        <v>41</v>
      </c>
      <c r="H133" s="14" t="s">
        <v>451</v>
      </c>
      <c r="I133" s="14"/>
      <c r="J133" s="9"/>
      <c r="K133" s="9" t="str">
        <f>IF(COUNTIF('팀별_명단'!$A$5:$W$34,$C133)=1,"OK","확인")</f>
        <v>OK</v>
      </c>
      <c r="L133" s="9" t="str">
        <f t="shared" si="1"/>
        <v>-</v>
      </c>
    </row>
    <row r="134" ht="15.75" customHeight="1">
      <c r="A134" s="9">
        <v>133.0</v>
      </c>
      <c r="B134" s="41" t="s">
        <v>428</v>
      </c>
      <c r="C134" s="14" t="s">
        <v>215</v>
      </c>
      <c r="D134" s="9" t="s">
        <v>452</v>
      </c>
      <c r="E134" s="9" t="s">
        <v>40</v>
      </c>
      <c r="F134" s="9" t="s">
        <v>28</v>
      </c>
      <c r="G134" s="9" t="s">
        <v>41</v>
      </c>
      <c r="H134" s="14"/>
      <c r="I134" s="14"/>
      <c r="J134" s="9"/>
      <c r="K134" s="9" t="str">
        <f>IF(COUNTIF('팀별_명단'!$A$5:$W$34,$C134)=1,"OK","확인")</f>
        <v>OK</v>
      </c>
      <c r="L134" s="9" t="str">
        <f t="shared" si="1"/>
        <v>-</v>
      </c>
    </row>
    <row r="135" ht="15.75" customHeight="1">
      <c r="A135" s="9">
        <v>134.0</v>
      </c>
      <c r="B135" s="41" t="s">
        <v>428</v>
      </c>
      <c r="C135" s="14" t="s">
        <v>223</v>
      </c>
      <c r="D135" s="9" t="s">
        <v>453</v>
      </c>
      <c r="E135" s="9" t="s">
        <v>40</v>
      </c>
      <c r="F135" s="9" t="s">
        <v>28</v>
      </c>
      <c r="G135" s="9" t="s">
        <v>41</v>
      </c>
      <c r="H135" s="14" t="s">
        <v>30</v>
      </c>
      <c r="I135" s="14" t="s">
        <v>102</v>
      </c>
      <c r="J135" s="9">
        <v>86.0</v>
      </c>
      <c r="K135" s="9" t="str">
        <f>IF(COUNTIF('팀별_명단'!$A$5:$W$34,$C135)=1,"OK","확인")</f>
        <v>OK</v>
      </c>
      <c r="L135" s="9" t="str">
        <f t="shared" si="1"/>
        <v>OK</v>
      </c>
    </row>
    <row r="136" ht="15.75" customHeight="1">
      <c r="A136" s="9">
        <v>135.0</v>
      </c>
      <c r="B136" s="41" t="s">
        <v>428</v>
      </c>
      <c r="C136" s="14" t="s">
        <v>230</v>
      </c>
      <c r="D136" s="9" t="s">
        <v>265</v>
      </c>
      <c r="E136" s="9" t="s">
        <v>27</v>
      </c>
      <c r="F136" s="9" t="s">
        <v>79</v>
      </c>
      <c r="G136" s="9" t="s">
        <v>41</v>
      </c>
      <c r="H136" s="14"/>
      <c r="I136" s="14" t="s">
        <v>454</v>
      </c>
      <c r="J136" s="9">
        <v>39.0</v>
      </c>
      <c r="K136" s="9" t="str">
        <f>IF(COUNTIF('팀별_명단'!$A$5:$W$34,$C136)=1,"OK","확인")</f>
        <v>OK</v>
      </c>
      <c r="L136" s="9" t="str">
        <f t="shared" si="1"/>
        <v>OK</v>
      </c>
    </row>
    <row r="137" ht="15.75" customHeight="1">
      <c r="A137" s="9">
        <v>136.0</v>
      </c>
      <c r="B137" s="41" t="s">
        <v>428</v>
      </c>
      <c r="C137" s="14" t="s">
        <v>237</v>
      </c>
      <c r="D137" s="9" t="s">
        <v>455</v>
      </c>
      <c r="E137" s="9" t="s">
        <v>27</v>
      </c>
      <c r="F137" s="9" t="s">
        <v>83</v>
      </c>
      <c r="G137" s="9" t="s">
        <v>41</v>
      </c>
      <c r="H137" s="14" t="s">
        <v>456</v>
      </c>
      <c r="I137" s="14" t="s">
        <v>153</v>
      </c>
      <c r="J137" s="9">
        <v>25.0</v>
      </c>
      <c r="K137" s="9" t="str">
        <f>IF(COUNTIF('팀별_명단'!$A$5:$W$34,$C137)=1,"OK","확인")</f>
        <v>OK</v>
      </c>
      <c r="L137" s="9" t="str">
        <f t="shared" si="1"/>
        <v>OK</v>
      </c>
    </row>
    <row r="138" ht="15.75" customHeight="1">
      <c r="A138" s="9">
        <v>137.0</v>
      </c>
      <c r="B138" s="41" t="s">
        <v>428</v>
      </c>
      <c r="C138" s="14" t="s">
        <v>250</v>
      </c>
      <c r="D138" s="9" t="s">
        <v>290</v>
      </c>
      <c r="E138" s="9" t="s">
        <v>27</v>
      </c>
      <c r="F138" s="9" t="s">
        <v>27</v>
      </c>
      <c r="G138" s="9" t="s">
        <v>41</v>
      </c>
      <c r="H138" s="14"/>
      <c r="I138" s="14"/>
      <c r="J138" s="9"/>
      <c r="K138" s="9" t="str">
        <f>IF(COUNTIF('팀별_명단'!$A$5:$W$34,$C138)=1,"OK","확인")</f>
        <v>OK</v>
      </c>
      <c r="L138" s="9" t="str">
        <f t="shared" si="1"/>
        <v>-</v>
      </c>
    </row>
    <row r="139" ht="15.75" customHeight="1">
      <c r="A139" s="9">
        <v>138.0</v>
      </c>
      <c r="B139" s="41" t="s">
        <v>428</v>
      </c>
      <c r="C139" s="14" t="s">
        <v>261</v>
      </c>
      <c r="D139" s="9" t="s">
        <v>457</v>
      </c>
      <c r="E139" s="9" t="s">
        <v>40</v>
      </c>
      <c r="F139" s="9" t="s">
        <v>27</v>
      </c>
      <c r="G139" s="9" t="s">
        <v>29</v>
      </c>
      <c r="H139" s="14"/>
      <c r="I139" s="14" t="s">
        <v>89</v>
      </c>
      <c r="J139" s="9">
        <v>162.0</v>
      </c>
      <c r="K139" s="9" t="str">
        <f>IF(COUNTIF('팀별_명단'!$A$5:$W$34,$C139)=1,"OK","확인")</f>
        <v>OK</v>
      </c>
      <c r="L139" s="9" t="str">
        <f t="shared" si="1"/>
        <v>OK</v>
      </c>
    </row>
    <row r="140" ht="15.75" customHeight="1">
      <c r="A140" s="9">
        <v>139.0</v>
      </c>
      <c r="B140" s="41" t="s">
        <v>428</v>
      </c>
      <c r="C140" s="14" t="s">
        <v>274</v>
      </c>
      <c r="D140" s="9" t="s">
        <v>458</v>
      </c>
      <c r="E140" s="9" t="s">
        <v>40</v>
      </c>
      <c r="F140" s="9" t="s">
        <v>28</v>
      </c>
      <c r="G140" s="9" t="s">
        <v>41</v>
      </c>
      <c r="H140" s="14"/>
      <c r="I140" s="14"/>
      <c r="J140" s="9"/>
      <c r="K140" s="9" t="str">
        <f>IF(COUNTIF('팀별_명단'!$A$5:$W$34,$C140)=1,"OK","확인")</f>
        <v>OK</v>
      </c>
      <c r="L140" s="9" t="str">
        <f t="shared" si="1"/>
        <v>-</v>
      </c>
    </row>
    <row r="141" ht="15.75" customHeight="1">
      <c r="A141" s="9">
        <v>140.0</v>
      </c>
      <c r="B141" s="41" t="s">
        <v>428</v>
      </c>
      <c r="C141" s="14" t="s">
        <v>284</v>
      </c>
      <c r="D141" s="9" t="s">
        <v>459</v>
      </c>
      <c r="E141" s="9" t="s">
        <v>40</v>
      </c>
      <c r="F141" s="9" t="s">
        <v>27</v>
      </c>
      <c r="G141" s="9" t="s">
        <v>29</v>
      </c>
      <c r="H141" s="14"/>
      <c r="I141" s="14"/>
      <c r="J141" s="9"/>
      <c r="K141" s="9" t="str">
        <f>IF(COUNTIF('팀별_명단'!$A$5:$W$34,$C141)=1,"OK","확인")</f>
        <v>OK</v>
      </c>
      <c r="L141" s="9" t="str">
        <f t="shared" si="1"/>
        <v>-</v>
      </c>
    </row>
    <row r="142" ht="15.75" customHeight="1">
      <c r="A142" s="9">
        <v>141.0</v>
      </c>
      <c r="B142" s="41" t="s">
        <v>428</v>
      </c>
      <c r="C142" s="14" t="s">
        <v>299</v>
      </c>
      <c r="D142" s="9" t="s">
        <v>460</v>
      </c>
      <c r="E142" s="9" t="s">
        <v>27</v>
      </c>
      <c r="F142" s="9" t="s">
        <v>28</v>
      </c>
      <c r="G142" s="9" t="s">
        <v>29</v>
      </c>
      <c r="H142" s="14"/>
      <c r="I142" s="14"/>
      <c r="J142" s="9"/>
      <c r="K142" s="9" t="str">
        <f>IF(COUNTIF('팀별_명단'!$A$5:$W$34,$C142)=1,"OK","확인")</f>
        <v>OK</v>
      </c>
      <c r="L142" s="9" t="str">
        <f t="shared" si="1"/>
        <v>-</v>
      </c>
    </row>
    <row r="143" ht="15.75" customHeight="1">
      <c r="A143" s="9">
        <v>142.0</v>
      </c>
      <c r="B143" s="42" t="s">
        <v>461</v>
      </c>
      <c r="C143" s="14" t="s">
        <v>64</v>
      </c>
      <c r="D143" s="9" t="s">
        <v>462</v>
      </c>
      <c r="E143" s="9" t="s">
        <v>40</v>
      </c>
      <c r="F143" s="9" t="s">
        <v>27</v>
      </c>
      <c r="G143" s="9" t="s">
        <v>29</v>
      </c>
      <c r="H143" s="14"/>
      <c r="I143" s="14"/>
      <c r="J143" s="9"/>
      <c r="K143" s="9" t="str">
        <f>IF(COUNTIF('팀별_명단'!$A$5:$W$34,$C143)=1,"OK","확인")</f>
        <v>OK</v>
      </c>
      <c r="L143" s="9" t="str">
        <f t="shared" si="1"/>
        <v>-</v>
      </c>
    </row>
    <row r="144" ht="15.75" customHeight="1">
      <c r="A144" s="9">
        <v>143.0</v>
      </c>
      <c r="B144" s="42" t="s">
        <v>461</v>
      </c>
      <c r="C144" s="14" t="s">
        <v>74</v>
      </c>
      <c r="D144" s="9" t="s">
        <v>463</v>
      </c>
      <c r="E144" s="9" t="s">
        <v>40</v>
      </c>
      <c r="F144" s="9" t="s">
        <v>28</v>
      </c>
      <c r="G144" s="9" t="s">
        <v>41</v>
      </c>
      <c r="H144" s="14" t="s">
        <v>30</v>
      </c>
      <c r="I144" s="14"/>
      <c r="J144" s="9"/>
      <c r="K144" s="9" t="str">
        <f>IF(COUNTIF('팀별_명단'!$A$5:$W$34,$C144)=1,"OK","확인")</f>
        <v>OK</v>
      </c>
      <c r="L144" s="9" t="str">
        <f t="shared" si="1"/>
        <v>-</v>
      </c>
    </row>
    <row r="145" ht="15.75" customHeight="1">
      <c r="A145" s="9">
        <v>144.0</v>
      </c>
      <c r="B145" s="42" t="s">
        <v>461</v>
      </c>
      <c r="C145" s="14" t="s">
        <v>82</v>
      </c>
      <c r="D145" s="9" t="s">
        <v>464</v>
      </c>
      <c r="E145" s="9" t="s">
        <v>27</v>
      </c>
      <c r="F145" s="9" t="s">
        <v>83</v>
      </c>
      <c r="G145" s="9" t="s">
        <v>41</v>
      </c>
      <c r="H145" s="14"/>
      <c r="I145" s="14" t="s">
        <v>289</v>
      </c>
      <c r="J145" s="9">
        <v>4.0</v>
      </c>
      <c r="K145" s="9" t="str">
        <f>IF(COUNTIF('팀별_명단'!$A$5:$W$34,$C145)=1,"OK","확인")</f>
        <v>OK</v>
      </c>
      <c r="L145" s="9" t="str">
        <f t="shared" si="1"/>
        <v>OK</v>
      </c>
    </row>
    <row r="146" ht="15.75" customHeight="1">
      <c r="A146" s="9">
        <v>145.0</v>
      </c>
      <c r="B146" s="42" t="s">
        <v>461</v>
      </c>
      <c r="C146" s="14" t="s">
        <v>90</v>
      </c>
      <c r="D146" s="9" t="s">
        <v>465</v>
      </c>
      <c r="E146" s="9" t="s">
        <v>40</v>
      </c>
      <c r="F146" s="9" t="s">
        <v>28</v>
      </c>
      <c r="G146" s="9" t="s">
        <v>41</v>
      </c>
      <c r="H146" s="14"/>
      <c r="I146" s="14"/>
      <c r="J146" s="9"/>
      <c r="K146" s="9" t="str">
        <f>IF(COUNTIF('팀별_명단'!$A$5:$W$34,$C146)=1,"OK","확인")</f>
        <v>OK</v>
      </c>
      <c r="L146" s="9" t="str">
        <f t="shared" si="1"/>
        <v>-</v>
      </c>
    </row>
    <row r="147" ht="15.75" customHeight="1">
      <c r="A147" s="9">
        <v>146.0</v>
      </c>
      <c r="B147" s="42" t="s">
        <v>461</v>
      </c>
      <c r="C147" s="14" t="s">
        <v>96</v>
      </c>
      <c r="D147" s="9" t="s">
        <v>466</v>
      </c>
      <c r="E147" s="9" t="s">
        <v>27</v>
      </c>
      <c r="F147" s="9" t="s">
        <v>27</v>
      </c>
      <c r="G147" s="9" t="s">
        <v>41</v>
      </c>
      <c r="H147" s="14"/>
      <c r="I147" s="14" t="s">
        <v>467</v>
      </c>
      <c r="J147" s="9">
        <v>6.0</v>
      </c>
      <c r="K147" s="9" t="str">
        <f>IF(COUNTIF('팀별_명단'!$A$5:$W$34,$C147)=1,"OK","확인")</f>
        <v>OK</v>
      </c>
      <c r="L147" s="9" t="str">
        <f t="shared" si="1"/>
        <v>OK</v>
      </c>
    </row>
    <row r="148" ht="15.75" customHeight="1">
      <c r="A148" s="9">
        <v>147.0</v>
      </c>
      <c r="B148" s="42" t="s">
        <v>461</v>
      </c>
      <c r="C148" s="14" t="s">
        <v>103</v>
      </c>
      <c r="D148" s="9" t="s">
        <v>468</v>
      </c>
      <c r="E148" s="9" t="s">
        <v>40</v>
      </c>
      <c r="F148" s="9" t="s">
        <v>27</v>
      </c>
      <c r="G148" s="9" t="s">
        <v>41</v>
      </c>
      <c r="H148" s="14"/>
      <c r="I148" s="14"/>
      <c r="J148" s="9"/>
      <c r="K148" s="9" t="str">
        <f>IF(COUNTIF('팀별_명단'!$A$5:$W$34,$C148)=1,"OK","확인")</f>
        <v>OK</v>
      </c>
      <c r="L148" s="9" t="str">
        <f t="shared" si="1"/>
        <v>-</v>
      </c>
    </row>
    <row r="149" ht="15.75" customHeight="1">
      <c r="A149" s="9">
        <v>148.0</v>
      </c>
      <c r="B149" s="42" t="s">
        <v>461</v>
      </c>
      <c r="C149" s="14" t="s">
        <v>110</v>
      </c>
      <c r="D149" s="9" t="s">
        <v>469</v>
      </c>
      <c r="E149" s="9" t="s">
        <v>27</v>
      </c>
      <c r="F149" s="9" t="s">
        <v>55</v>
      </c>
      <c r="G149" s="9" t="s">
        <v>29</v>
      </c>
      <c r="H149" s="14"/>
      <c r="I149" s="14" t="s">
        <v>470</v>
      </c>
      <c r="J149" s="9">
        <v>131.0</v>
      </c>
      <c r="K149" s="9" t="str">
        <f>IF(COUNTIF('팀별_명단'!$A$5:$W$34,$C149)=1,"OK","확인")</f>
        <v>OK</v>
      </c>
      <c r="L149" s="9" t="str">
        <f t="shared" si="1"/>
        <v>OK</v>
      </c>
    </row>
    <row r="150" ht="15.75" customHeight="1">
      <c r="A150" s="9">
        <v>149.0</v>
      </c>
      <c r="B150" s="42" t="s">
        <v>461</v>
      </c>
      <c r="C150" s="14" t="s">
        <v>118</v>
      </c>
      <c r="D150" s="9" t="s">
        <v>297</v>
      </c>
      <c r="E150" s="9" t="s">
        <v>40</v>
      </c>
      <c r="F150" s="9" t="s">
        <v>27</v>
      </c>
      <c r="G150" s="9" t="s">
        <v>29</v>
      </c>
      <c r="H150" s="14" t="s">
        <v>389</v>
      </c>
      <c r="I150" s="14"/>
      <c r="J150" s="9"/>
      <c r="K150" s="9" t="str">
        <f>IF(COUNTIF('팀별_명단'!$A$5:$W$34,$C150)=1,"OK","확인")</f>
        <v>OK</v>
      </c>
      <c r="L150" s="9" t="str">
        <f t="shared" si="1"/>
        <v>-</v>
      </c>
    </row>
    <row r="151" ht="15.75" customHeight="1">
      <c r="A151" s="9">
        <v>150.0</v>
      </c>
      <c r="B151" s="42" t="s">
        <v>461</v>
      </c>
      <c r="C151" s="14" t="s">
        <v>131</v>
      </c>
      <c r="D151" s="9" t="s">
        <v>471</v>
      </c>
      <c r="E151" s="9" t="s">
        <v>40</v>
      </c>
      <c r="F151" s="9" t="s">
        <v>27</v>
      </c>
      <c r="G151" s="9" t="s">
        <v>41</v>
      </c>
      <c r="H151" s="14"/>
      <c r="I151" s="14"/>
      <c r="J151" s="9"/>
      <c r="K151" s="9" t="str">
        <f>IF(COUNTIF('팀별_명단'!$A$5:$W$34,$C151)=1,"OK","확인")</f>
        <v>OK</v>
      </c>
      <c r="L151" s="9" t="str">
        <f t="shared" si="1"/>
        <v>-</v>
      </c>
    </row>
    <row r="152" ht="15.75" customHeight="1">
      <c r="A152" s="9">
        <v>151.0</v>
      </c>
      <c r="B152" s="42" t="s">
        <v>461</v>
      </c>
      <c r="C152" s="14" t="s">
        <v>138</v>
      </c>
      <c r="D152" s="9" t="s">
        <v>472</v>
      </c>
      <c r="E152" s="9" t="s">
        <v>40</v>
      </c>
      <c r="F152" s="9" t="s">
        <v>28</v>
      </c>
      <c r="G152" s="9" t="s">
        <v>41</v>
      </c>
      <c r="H152" s="14" t="s">
        <v>473</v>
      </c>
      <c r="I152" s="14"/>
      <c r="J152" s="9"/>
      <c r="K152" s="9" t="str">
        <f>IF(COUNTIF('팀별_명단'!$A$5:$W$34,$C152)=1,"OK","확인")</f>
        <v>OK</v>
      </c>
      <c r="L152" s="9" t="str">
        <f t="shared" si="1"/>
        <v>-</v>
      </c>
    </row>
    <row r="153" ht="15.75" customHeight="1">
      <c r="A153" s="9">
        <v>152.0</v>
      </c>
      <c r="B153" s="42" t="s">
        <v>461</v>
      </c>
      <c r="C153" s="14" t="s">
        <v>146</v>
      </c>
      <c r="D153" s="9" t="s">
        <v>474</v>
      </c>
      <c r="E153" s="9" t="s">
        <v>40</v>
      </c>
      <c r="F153" s="9" t="s">
        <v>27</v>
      </c>
      <c r="G153" s="9" t="s">
        <v>41</v>
      </c>
      <c r="H153" s="14"/>
      <c r="I153" s="14" t="s">
        <v>231</v>
      </c>
      <c r="J153" s="9">
        <v>47.0</v>
      </c>
      <c r="K153" s="9" t="str">
        <f>IF(COUNTIF('팀별_명단'!$A$5:$W$34,$C153)=1,"OK","확인")</f>
        <v>OK</v>
      </c>
      <c r="L153" s="9" t="str">
        <f t="shared" si="1"/>
        <v>OK</v>
      </c>
    </row>
    <row r="154" ht="15.75" customHeight="1">
      <c r="A154" s="9">
        <v>153.0</v>
      </c>
      <c r="B154" s="42" t="s">
        <v>461</v>
      </c>
      <c r="C154" s="14" t="s">
        <v>154</v>
      </c>
      <c r="D154" s="9" t="s">
        <v>475</v>
      </c>
      <c r="E154" s="9" t="s">
        <v>27</v>
      </c>
      <c r="F154" s="9" t="s">
        <v>28</v>
      </c>
      <c r="G154" s="9" t="s">
        <v>41</v>
      </c>
      <c r="H154" s="14"/>
      <c r="I154" s="14"/>
      <c r="J154" s="9"/>
      <c r="K154" s="9" t="str">
        <f>IF(COUNTIF('팀별_명단'!$A$5:$W$34,$C154)=1,"OK","확인")</f>
        <v>OK</v>
      </c>
      <c r="L154" s="9" t="str">
        <f t="shared" si="1"/>
        <v>-</v>
      </c>
    </row>
    <row r="155" ht="15.75" customHeight="1">
      <c r="A155" s="9">
        <v>154.0</v>
      </c>
      <c r="B155" s="42" t="s">
        <v>461</v>
      </c>
      <c r="C155" s="14" t="s">
        <v>162</v>
      </c>
      <c r="D155" s="9" t="s">
        <v>476</v>
      </c>
      <c r="E155" s="9" t="s">
        <v>27</v>
      </c>
      <c r="F155" s="9" t="s">
        <v>55</v>
      </c>
      <c r="G155" s="9" t="s">
        <v>29</v>
      </c>
      <c r="H155" s="14"/>
      <c r="I155" s="14" t="s">
        <v>183</v>
      </c>
      <c r="J155" s="9">
        <v>130.0</v>
      </c>
      <c r="K155" s="9" t="str">
        <f>IF(COUNTIF('팀별_명단'!$A$5:$W$34,$C155)=1,"OK","확인")</f>
        <v>OK</v>
      </c>
      <c r="L155" s="9" t="str">
        <f t="shared" si="1"/>
        <v>OK</v>
      </c>
    </row>
    <row r="156" ht="15.75" customHeight="1">
      <c r="A156" s="9">
        <v>155.0</v>
      </c>
      <c r="B156" s="42" t="s">
        <v>461</v>
      </c>
      <c r="C156" s="14" t="s">
        <v>169</v>
      </c>
      <c r="D156" s="9" t="s">
        <v>477</v>
      </c>
      <c r="E156" s="9" t="s">
        <v>27</v>
      </c>
      <c r="F156" s="9" t="s">
        <v>55</v>
      </c>
      <c r="G156" s="9" t="s">
        <v>29</v>
      </c>
      <c r="H156" s="14"/>
      <c r="I156" s="14" t="s">
        <v>110</v>
      </c>
      <c r="J156" s="9">
        <v>131.0</v>
      </c>
      <c r="K156" s="9" t="str">
        <f>IF(COUNTIF('팀별_명단'!$A$5:$W$34,$C156)=1,"OK","확인")</f>
        <v>OK</v>
      </c>
      <c r="L156" s="9" t="str">
        <f t="shared" si="1"/>
        <v>OK</v>
      </c>
    </row>
    <row r="157" ht="15.75" customHeight="1">
      <c r="A157" s="9">
        <v>156.0</v>
      </c>
      <c r="B157" s="42" t="s">
        <v>461</v>
      </c>
      <c r="C157" s="14" t="s">
        <v>175</v>
      </c>
      <c r="D157" s="9" t="s">
        <v>478</v>
      </c>
      <c r="E157" s="9" t="s">
        <v>27</v>
      </c>
      <c r="F157" s="9" t="s">
        <v>28</v>
      </c>
      <c r="G157" s="9" t="s">
        <v>29</v>
      </c>
      <c r="H157" s="14"/>
      <c r="I157" s="14" t="s">
        <v>183</v>
      </c>
      <c r="J157" s="9">
        <v>130.0</v>
      </c>
      <c r="K157" s="9" t="str">
        <f>IF(COUNTIF('팀별_명단'!$A$5:$W$34,$C157)=1,"OK","확인")</f>
        <v>OK</v>
      </c>
      <c r="L157" s="9" t="str">
        <f t="shared" si="1"/>
        <v>OK</v>
      </c>
    </row>
    <row r="158" ht="15.75" customHeight="1">
      <c r="A158" s="9">
        <v>157.0</v>
      </c>
      <c r="B158" s="42" t="s">
        <v>461</v>
      </c>
      <c r="C158" s="14" t="s">
        <v>183</v>
      </c>
      <c r="D158" s="9" t="s">
        <v>479</v>
      </c>
      <c r="E158" s="9" t="s">
        <v>27</v>
      </c>
      <c r="F158" s="9" t="s">
        <v>55</v>
      </c>
      <c r="G158" s="9" t="s">
        <v>29</v>
      </c>
      <c r="H158" s="14"/>
      <c r="I158" s="14" t="s">
        <v>175</v>
      </c>
      <c r="J158" s="9">
        <v>130.0</v>
      </c>
      <c r="K158" s="9" t="str">
        <f>IF(COUNTIF('팀별_명단'!$A$5:$W$34,$C158)=1,"OK","확인")</f>
        <v>OK</v>
      </c>
      <c r="L158" s="9" t="str">
        <f t="shared" si="1"/>
        <v>OK</v>
      </c>
    </row>
    <row r="159" ht="15.75" customHeight="1">
      <c r="A159" s="9">
        <v>158.0</v>
      </c>
      <c r="B159" s="42" t="s">
        <v>461</v>
      </c>
      <c r="C159" s="14" t="s">
        <v>190</v>
      </c>
      <c r="D159" s="9" t="s">
        <v>480</v>
      </c>
      <c r="E159" s="9" t="s">
        <v>40</v>
      </c>
      <c r="F159" s="9" t="s">
        <v>27</v>
      </c>
      <c r="G159" s="9" t="s">
        <v>29</v>
      </c>
      <c r="H159" s="14"/>
      <c r="I159" s="14" t="s">
        <v>241</v>
      </c>
      <c r="J159" s="9">
        <v>132.0</v>
      </c>
      <c r="K159" s="9" t="str">
        <f>IF(COUNTIF('팀별_명단'!$A$5:$W$34,$C159)=1,"OK","확인")</f>
        <v>OK</v>
      </c>
      <c r="L159" s="9" t="str">
        <f t="shared" si="1"/>
        <v>OK</v>
      </c>
    </row>
    <row r="160" ht="15.75" customHeight="1">
      <c r="A160" s="9">
        <v>159.0</v>
      </c>
      <c r="B160" s="42" t="s">
        <v>461</v>
      </c>
      <c r="C160" s="14" t="s">
        <v>200</v>
      </c>
      <c r="D160" s="9" t="s">
        <v>481</v>
      </c>
      <c r="E160" s="9" t="s">
        <v>27</v>
      </c>
      <c r="F160" s="9" t="s">
        <v>28</v>
      </c>
      <c r="G160" s="9" t="s">
        <v>41</v>
      </c>
      <c r="H160" s="14"/>
      <c r="I160" s="14"/>
      <c r="J160" s="9"/>
      <c r="K160" s="9" t="str">
        <f>IF(COUNTIF('팀별_명단'!$A$5:$W$34,$C160)=1,"OK","확인")</f>
        <v>OK</v>
      </c>
      <c r="L160" s="9" t="str">
        <f t="shared" si="1"/>
        <v>-</v>
      </c>
    </row>
    <row r="161" ht="15.75" customHeight="1">
      <c r="A161" s="9">
        <v>160.0</v>
      </c>
      <c r="B161" s="42" t="s">
        <v>461</v>
      </c>
      <c r="C161" s="14" t="s">
        <v>209</v>
      </c>
      <c r="D161" s="9" t="s">
        <v>482</v>
      </c>
      <c r="E161" s="9" t="s">
        <v>40</v>
      </c>
      <c r="F161" s="9" t="s">
        <v>28</v>
      </c>
      <c r="G161" s="9" t="s">
        <v>29</v>
      </c>
      <c r="H161" s="14"/>
      <c r="I161" s="14"/>
      <c r="J161" s="9"/>
      <c r="K161" s="9" t="str">
        <f>IF(COUNTIF('팀별_명단'!$A$5:$W$34,$C161)=1,"OK","확인")</f>
        <v>OK</v>
      </c>
      <c r="L161" s="9" t="str">
        <f t="shared" si="1"/>
        <v>-</v>
      </c>
    </row>
    <row r="162" ht="15.75" customHeight="1">
      <c r="A162" s="9">
        <v>161.0</v>
      </c>
      <c r="B162" s="42" t="s">
        <v>461</v>
      </c>
      <c r="C162" s="14" t="s">
        <v>216</v>
      </c>
      <c r="D162" s="9" t="s">
        <v>307</v>
      </c>
      <c r="E162" s="9" t="s">
        <v>40</v>
      </c>
      <c r="F162" s="9" t="s">
        <v>27</v>
      </c>
      <c r="G162" s="9" t="s">
        <v>29</v>
      </c>
      <c r="H162" s="14"/>
      <c r="I162" s="14"/>
      <c r="J162" s="9"/>
      <c r="K162" s="9" t="str">
        <f>IF(COUNTIF('팀별_명단'!$A$5:$W$34,$C162)=1,"OK","확인")</f>
        <v>OK</v>
      </c>
      <c r="L162" s="9" t="str">
        <f t="shared" si="1"/>
        <v>-</v>
      </c>
    </row>
    <row r="163" ht="15.75" customHeight="1">
      <c r="A163" s="9">
        <v>162.0</v>
      </c>
      <c r="B163" s="42" t="s">
        <v>461</v>
      </c>
      <c r="C163" s="14" t="s">
        <v>224</v>
      </c>
      <c r="D163" s="9" t="s">
        <v>483</v>
      </c>
      <c r="E163" s="9" t="s">
        <v>40</v>
      </c>
      <c r="F163" s="9" t="s">
        <v>27</v>
      </c>
      <c r="G163" s="9" t="s">
        <v>41</v>
      </c>
      <c r="H163" s="14"/>
      <c r="I163" s="14" t="s">
        <v>263</v>
      </c>
      <c r="J163" s="9">
        <v>75.0</v>
      </c>
      <c r="K163" s="9" t="str">
        <f>IF(COUNTIF('팀별_명단'!$A$5:$W$34,$C163)=1,"OK","확인")</f>
        <v>OK</v>
      </c>
      <c r="L163" s="9" t="str">
        <f t="shared" si="1"/>
        <v>OK</v>
      </c>
    </row>
    <row r="164" ht="15.75" customHeight="1">
      <c r="A164" s="9">
        <v>163.0</v>
      </c>
      <c r="B164" s="42" t="s">
        <v>461</v>
      </c>
      <c r="C164" s="14" t="s">
        <v>231</v>
      </c>
      <c r="D164" s="9" t="s">
        <v>484</v>
      </c>
      <c r="E164" s="9" t="s">
        <v>40</v>
      </c>
      <c r="F164" s="9" t="s">
        <v>59</v>
      </c>
      <c r="G164" s="9" t="s">
        <v>41</v>
      </c>
      <c r="H164" s="14"/>
      <c r="I164" s="14" t="s">
        <v>146</v>
      </c>
      <c r="J164" s="9">
        <v>47.0</v>
      </c>
      <c r="K164" s="9" t="str">
        <f>IF(COUNTIF('팀별_명단'!$A$5:$W$34,$C164)=1,"OK","확인")</f>
        <v>OK</v>
      </c>
      <c r="L164" s="9" t="str">
        <f t="shared" si="1"/>
        <v>OK</v>
      </c>
    </row>
    <row r="165" ht="15.75" customHeight="1">
      <c r="A165" s="9">
        <v>164.0</v>
      </c>
      <c r="B165" s="42" t="s">
        <v>461</v>
      </c>
      <c r="C165" s="14" t="s">
        <v>241</v>
      </c>
      <c r="D165" s="9" t="s">
        <v>485</v>
      </c>
      <c r="E165" s="9" t="s">
        <v>40</v>
      </c>
      <c r="F165" s="9" t="s">
        <v>28</v>
      </c>
      <c r="G165" s="9" t="s">
        <v>29</v>
      </c>
      <c r="H165" s="14"/>
      <c r="I165" s="14"/>
      <c r="J165" s="9">
        <v>132.0</v>
      </c>
      <c r="K165" s="9" t="str">
        <f>IF(COUNTIF('팀별_명단'!$A$5:$W$34,$C165)=1,"OK","확인")</f>
        <v>OK</v>
      </c>
      <c r="L165" s="9" t="str">
        <f t="shared" si="1"/>
        <v>OK</v>
      </c>
    </row>
    <row r="166" ht="15.75" customHeight="1">
      <c r="A166" s="9">
        <v>165.0</v>
      </c>
      <c r="B166" s="42" t="s">
        <v>461</v>
      </c>
      <c r="C166" s="14" t="s">
        <v>251</v>
      </c>
      <c r="D166" s="9" t="s">
        <v>486</v>
      </c>
      <c r="E166" s="9" t="s">
        <v>27</v>
      </c>
      <c r="F166" s="9" t="s">
        <v>28</v>
      </c>
      <c r="G166" s="9" t="s">
        <v>41</v>
      </c>
      <c r="H166" s="14"/>
      <c r="I166" s="14" t="s">
        <v>289</v>
      </c>
      <c r="J166" s="9">
        <v>4.0</v>
      </c>
      <c r="K166" s="9" t="str">
        <f>IF(COUNTIF('팀별_명단'!$A$5:$W$34,$C166)=1,"OK","확인")</f>
        <v>OK</v>
      </c>
      <c r="L166" s="9" t="str">
        <f t="shared" si="1"/>
        <v>OK</v>
      </c>
    </row>
    <row r="167" ht="15.75" customHeight="1">
      <c r="A167" s="9">
        <v>166.0</v>
      </c>
      <c r="B167" s="42" t="s">
        <v>461</v>
      </c>
      <c r="C167" s="14" t="s">
        <v>263</v>
      </c>
      <c r="D167" s="9" t="s">
        <v>487</v>
      </c>
      <c r="E167" s="9" t="s">
        <v>40</v>
      </c>
      <c r="F167" s="9" t="s">
        <v>27</v>
      </c>
      <c r="G167" s="9" t="s">
        <v>41</v>
      </c>
      <c r="H167" s="14" t="s">
        <v>343</v>
      </c>
      <c r="I167" s="14" t="s">
        <v>488</v>
      </c>
      <c r="J167" s="9">
        <v>75.0</v>
      </c>
      <c r="K167" s="9" t="str">
        <f>IF(COUNTIF('팀별_명단'!$A$5:$W$34,$C167)=1,"OK","확인")</f>
        <v>OK</v>
      </c>
      <c r="L167" s="9" t="str">
        <f t="shared" si="1"/>
        <v>OK</v>
      </c>
    </row>
    <row r="168" ht="15.75" customHeight="1">
      <c r="A168" s="9">
        <v>167.0</v>
      </c>
      <c r="B168" s="42" t="s">
        <v>461</v>
      </c>
      <c r="C168" s="14" t="s">
        <v>275</v>
      </c>
      <c r="D168" s="9" t="s">
        <v>489</v>
      </c>
      <c r="E168" s="9" t="s">
        <v>27</v>
      </c>
      <c r="F168" s="9" t="s">
        <v>28</v>
      </c>
      <c r="G168" s="9" t="s">
        <v>41</v>
      </c>
      <c r="H168" s="14"/>
      <c r="I168" s="14" t="s">
        <v>490</v>
      </c>
      <c r="J168" s="9">
        <v>6.0</v>
      </c>
      <c r="K168" s="9" t="str">
        <f>IF(COUNTIF('팀별_명단'!$A$5:$W$34,$C168)=1,"OK","확인")</f>
        <v>OK</v>
      </c>
      <c r="L168" s="9" t="str">
        <f t="shared" si="1"/>
        <v>OK</v>
      </c>
    </row>
    <row r="169" ht="15.75" customHeight="1">
      <c r="A169" s="9">
        <v>168.0</v>
      </c>
      <c r="B169" s="42" t="s">
        <v>461</v>
      </c>
      <c r="C169" s="14" t="s">
        <v>289</v>
      </c>
      <c r="D169" s="9" t="s">
        <v>491</v>
      </c>
      <c r="E169" s="9" t="s">
        <v>27</v>
      </c>
      <c r="F169" s="9" t="s">
        <v>27</v>
      </c>
      <c r="G169" s="9" t="s">
        <v>41</v>
      </c>
      <c r="H169" s="14"/>
      <c r="I169" s="14" t="s">
        <v>82</v>
      </c>
      <c r="J169" s="9">
        <v>4.0</v>
      </c>
      <c r="K169" s="9" t="str">
        <f>IF(COUNTIF('팀별_명단'!$A$5:$W$34,$C169)=1,"OK","확인")</f>
        <v>OK</v>
      </c>
      <c r="L169" s="9" t="str">
        <f t="shared" si="1"/>
        <v>OK</v>
      </c>
    </row>
    <row r="170" ht="15.75" customHeight="1">
      <c r="A170" s="9">
        <v>169.0</v>
      </c>
      <c r="B170" s="42" t="s">
        <v>461</v>
      </c>
      <c r="C170" s="14" t="s">
        <v>300</v>
      </c>
      <c r="D170" s="9" t="s">
        <v>492</v>
      </c>
      <c r="E170" s="9" t="s">
        <v>40</v>
      </c>
      <c r="F170" s="9" t="s">
        <v>28</v>
      </c>
      <c r="G170" s="9" t="s">
        <v>41</v>
      </c>
      <c r="H170" s="14"/>
      <c r="I170" s="14"/>
      <c r="J170" s="9"/>
      <c r="K170" s="9" t="str">
        <f>IF(COUNTIF('팀별_명단'!$A$5:$W$34,$C170)=1,"OK","확인")</f>
        <v>OK</v>
      </c>
      <c r="L170" s="9" t="str">
        <f t="shared" si="1"/>
        <v>-</v>
      </c>
    </row>
    <row r="171" ht="15.75" customHeight="1">
      <c r="A171" s="9">
        <v>170.0</v>
      </c>
      <c r="B171" s="42" t="s">
        <v>461</v>
      </c>
      <c r="C171" s="14" t="s">
        <v>304</v>
      </c>
      <c r="D171" s="9" t="s">
        <v>493</v>
      </c>
      <c r="E171" s="9" t="s">
        <v>40</v>
      </c>
      <c r="F171" s="9" t="s">
        <v>27</v>
      </c>
      <c r="G171" s="9" t="s">
        <v>41</v>
      </c>
      <c r="H171" s="14"/>
      <c r="I171" s="14"/>
      <c r="J171" s="9"/>
      <c r="K171" s="9" t="str">
        <f>IF(COUNTIF('팀별_명단'!$A$5:$W$34,$C171)=1,"OK","확인")</f>
        <v>OK</v>
      </c>
      <c r="L171" s="9" t="str">
        <f t="shared" si="1"/>
        <v>-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conditionalFormatting sqref="K2:L171">
    <cfRule type="cellIs" dxfId="1" priority="1" operator="equal">
      <formula>"확인"</formula>
    </cfRule>
  </conditionalFormatting>
  <conditionalFormatting sqref="K2:L171">
    <cfRule type="cellIs" dxfId="4" priority="2" operator="equal">
      <formula>"OK"</formula>
    </cfRule>
  </conditionalFormatting>
  <conditionalFormatting sqref="E2:E171">
    <cfRule type="cellIs" dxfId="2" priority="3" operator="equal">
      <formula>"F"</formula>
    </cfRule>
  </conditionalFormatting>
  <conditionalFormatting sqref="E2:E171">
    <cfRule type="cellIs" dxfId="3" priority="4" operator="equal">
      <formula>"M"</formula>
    </cfRule>
  </conditionalFormatting>
  <conditionalFormatting sqref="J2:J171">
    <cfRule type="expression" dxfId="5" priority="5">
      <formula>$J2&lt;&gt;""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3" width="8.0"/>
    <col customWidth="1" min="4" max="4" width="2.0"/>
    <col customWidth="1" min="5" max="5" width="28.0"/>
    <col customWidth="1" min="6" max="6" width="6.0"/>
    <col customWidth="1" min="7" max="7" width="8.0"/>
    <col customWidth="1" min="8" max="8" width="2.0"/>
    <col customWidth="1" min="9" max="9" width="28.0"/>
    <col customWidth="1" min="10" max="10" width="6.0"/>
    <col customWidth="1" min="11" max="11" width="8.0"/>
    <col customWidth="1" min="12" max="12" width="2.0"/>
    <col customWidth="1" min="13" max="13" width="28.0"/>
    <col customWidth="1" min="14" max="14" width="6.0"/>
    <col customWidth="1" min="15" max="15" width="8.0"/>
    <col customWidth="1" min="16" max="16" width="2.0"/>
    <col customWidth="1" min="17" max="17" width="28.0"/>
    <col customWidth="1" min="18" max="18" width="6.0"/>
    <col customWidth="1" min="19" max="19" width="8.0"/>
    <col customWidth="1" min="20" max="20" width="2.0"/>
    <col customWidth="1" min="21" max="21" width="28.0"/>
    <col customWidth="1" min="22" max="22" width="6.0"/>
    <col customWidth="1" min="23" max="23" width="8.0"/>
    <col customWidth="1" min="24" max="26" width="8.71"/>
  </cols>
  <sheetData>
    <row r="1">
      <c r="A1" s="6" t="s">
        <v>11</v>
      </c>
      <c r="B1" s="7"/>
      <c r="C1" s="8"/>
      <c r="E1" s="11" t="s">
        <v>20</v>
      </c>
      <c r="F1" s="7"/>
      <c r="G1" s="8"/>
      <c r="I1" s="15" t="s">
        <v>25</v>
      </c>
      <c r="J1" s="7"/>
      <c r="K1" s="8"/>
      <c r="M1" s="16" t="s">
        <v>31</v>
      </c>
      <c r="N1" s="7"/>
      <c r="O1" s="8"/>
      <c r="Q1" s="17" t="s">
        <v>32</v>
      </c>
      <c r="R1" s="7"/>
      <c r="S1" s="8"/>
      <c r="U1" s="18" t="s">
        <v>33</v>
      </c>
      <c r="V1" s="7"/>
      <c r="W1" s="8"/>
    </row>
    <row r="2">
      <c r="A2" s="5" t="s">
        <v>13</v>
      </c>
      <c r="B2" s="5">
        <f>COUNTA(A5:A34)</f>
        <v>29</v>
      </c>
      <c r="E2" s="5" t="s">
        <v>13</v>
      </c>
      <c r="F2" s="5">
        <f>COUNTA(E5:E34)</f>
        <v>28</v>
      </c>
      <c r="I2" s="5" t="s">
        <v>13</v>
      </c>
      <c r="J2" s="5">
        <f>COUNTA(I5:I34)</f>
        <v>28</v>
      </c>
      <c r="M2" s="5" t="s">
        <v>13</v>
      </c>
      <c r="N2" s="5">
        <f>COUNTA(M5:M34)</f>
        <v>28</v>
      </c>
      <c r="Q2" s="5" t="s">
        <v>13</v>
      </c>
      <c r="R2" s="5">
        <f>COUNTA(Q5:Q34)</f>
        <v>28</v>
      </c>
      <c r="U2" s="5" t="s">
        <v>13</v>
      </c>
      <c r="V2" s="5">
        <f>COUNTA(U5:U34)</f>
        <v>29</v>
      </c>
    </row>
    <row r="3">
      <c r="A3" s="20" t="s">
        <v>37</v>
      </c>
      <c r="B3" s="20">
        <f>COUNTIF(B5:B34,"F")</f>
        <v>17</v>
      </c>
      <c r="C3" s="20">
        <f>COUNTIF(B5:B34,"M")</f>
        <v>12</v>
      </c>
      <c r="E3" s="20" t="s">
        <v>42</v>
      </c>
      <c r="F3" s="20">
        <f>COUNTIF(F5:F34,"F")</f>
        <v>17</v>
      </c>
      <c r="G3" s="20">
        <f>COUNTIF(F5:F34,"M")</f>
        <v>11</v>
      </c>
      <c r="I3" s="20" t="s">
        <v>43</v>
      </c>
      <c r="J3" s="20">
        <f>COUNTIF(J5:J34,"F")</f>
        <v>17</v>
      </c>
      <c r="K3" s="20">
        <f>COUNTIF(J5:J34,"M")</f>
        <v>11</v>
      </c>
      <c r="M3" s="20" t="s">
        <v>47</v>
      </c>
      <c r="N3" s="20">
        <f>COUNTIF(N5:N34,"F")</f>
        <v>16</v>
      </c>
      <c r="O3" s="20">
        <f>COUNTIF(N5:N34,"M")</f>
        <v>12</v>
      </c>
      <c r="Q3" s="20" t="s">
        <v>50</v>
      </c>
      <c r="R3" s="20">
        <f>COUNTIF(R5:R34,"F")</f>
        <v>17</v>
      </c>
      <c r="S3" s="20">
        <f>COUNTIF(R5:R34,"M")</f>
        <v>11</v>
      </c>
      <c r="U3" s="20" t="s">
        <v>52</v>
      </c>
      <c r="V3" s="20">
        <f>COUNTIF(V5:V34,"F")</f>
        <v>17</v>
      </c>
      <c r="W3" s="20">
        <f>COUNTIF(V5:V34,"M")</f>
        <v>12</v>
      </c>
    </row>
    <row r="4">
      <c r="A4" s="2" t="s">
        <v>2</v>
      </c>
      <c r="B4" s="2" t="s">
        <v>5</v>
      </c>
      <c r="C4" s="2" t="s">
        <v>7</v>
      </c>
      <c r="E4" s="2" t="s">
        <v>2</v>
      </c>
      <c r="F4" s="2" t="s">
        <v>5</v>
      </c>
      <c r="G4" s="2" t="s">
        <v>7</v>
      </c>
      <c r="I4" s="2" t="s">
        <v>2</v>
      </c>
      <c r="J4" s="2" t="s">
        <v>5</v>
      </c>
      <c r="K4" s="2" t="s">
        <v>7</v>
      </c>
      <c r="M4" s="2" t="s">
        <v>2</v>
      </c>
      <c r="N4" s="2" t="s">
        <v>5</v>
      </c>
      <c r="O4" s="2" t="s">
        <v>7</v>
      </c>
      <c r="Q4" s="2" t="s">
        <v>2</v>
      </c>
      <c r="R4" s="2" t="s">
        <v>5</v>
      </c>
      <c r="S4" s="2" t="s">
        <v>7</v>
      </c>
      <c r="U4" s="2" t="s">
        <v>2</v>
      </c>
      <c r="V4" s="2" t="s">
        <v>5</v>
      </c>
      <c r="W4" s="2" t="s">
        <v>7</v>
      </c>
    </row>
    <row r="5">
      <c r="A5" s="14" t="s">
        <v>24</v>
      </c>
      <c r="B5" s="9" t="s">
        <v>27</v>
      </c>
      <c r="C5" s="9" t="s">
        <v>28</v>
      </c>
      <c r="E5" s="14" t="s">
        <v>60</v>
      </c>
      <c r="F5" s="9" t="s">
        <v>27</v>
      </c>
      <c r="G5" s="9" t="s">
        <v>28</v>
      </c>
      <c r="I5" s="14" t="s">
        <v>61</v>
      </c>
      <c r="J5" s="9" t="s">
        <v>27</v>
      </c>
      <c r="K5" s="9" t="s">
        <v>27</v>
      </c>
      <c r="M5" s="14" t="s">
        <v>62</v>
      </c>
      <c r="N5" s="9" t="s">
        <v>27</v>
      </c>
      <c r="O5" s="9" t="s">
        <v>28</v>
      </c>
      <c r="Q5" s="14" t="s">
        <v>63</v>
      </c>
      <c r="R5" s="9" t="s">
        <v>40</v>
      </c>
      <c r="S5" s="9" t="s">
        <v>27</v>
      </c>
      <c r="U5" s="14" t="s">
        <v>64</v>
      </c>
      <c r="V5" s="9" t="s">
        <v>40</v>
      </c>
      <c r="W5" s="9" t="s">
        <v>27</v>
      </c>
    </row>
    <row r="6">
      <c r="A6" s="14" t="s">
        <v>34</v>
      </c>
      <c r="B6" s="9" t="s">
        <v>27</v>
      </c>
      <c r="C6" s="9" t="s">
        <v>27</v>
      </c>
      <c r="E6" s="14" t="s">
        <v>67</v>
      </c>
      <c r="F6" s="9" t="s">
        <v>27</v>
      </c>
      <c r="G6" s="9" t="s">
        <v>27</v>
      </c>
      <c r="I6" s="14" t="s">
        <v>68</v>
      </c>
      <c r="J6" s="9" t="s">
        <v>40</v>
      </c>
      <c r="K6" s="9" t="s">
        <v>27</v>
      </c>
      <c r="M6" s="14" t="s">
        <v>71</v>
      </c>
      <c r="N6" s="9" t="s">
        <v>40</v>
      </c>
      <c r="O6" s="9" t="s">
        <v>28</v>
      </c>
      <c r="Q6" s="14" t="s">
        <v>73</v>
      </c>
      <c r="R6" s="9" t="s">
        <v>40</v>
      </c>
      <c r="S6" s="9" t="s">
        <v>28</v>
      </c>
      <c r="U6" s="14" t="s">
        <v>74</v>
      </c>
      <c r="V6" s="9" t="s">
        <v>40</v>
      </c>
      <c r="W6" s="9" t="s">
        <v>28</v>
      </c>
    </row>
    <row r="7">
      <c r="A7" s="14" t="s">
        <v>38</v>
      </c>
      <c r="B7" s="9" t="s">
        <v>40</v>
      </c>
      <c r="C7" s="9" t="s">
        <v>28</v>
      </c>
      <c r="E7" s="14" t="s">
        <v>75</v>
      </c>
      <c r="F7" s="9" t="s">
        <v>40</v>
      </c>
      <c r="G7" s="9" t="s">
        <v>27</v>
      </c>
      <c r="I7" s="14" t="s">
        <v>76</v>
      </c>
      <c r="J7" s="9" t="s">
        <v>40</v>
      </c>
      <c r="K7" s="9" t="s">
        <v>28</v>
      </c>
      <c r="M7" s="14" t="s">
        <v>78</v>
      </c>
      <c r="N7" s="9" t="s">
        <v>27</v>
      </c>
      <c r="O7" s="9" t="s">
        <v>79</v>
      </c>
      <c r="Q7" s="14" t="s">
        <v>80</v>
      </c>
      <c r="R7" s="9" t="s">
        <v>27</v>
      </c>
      <c r="S7" s="9" t="s">
        <v>27</v>
      </c>
      <c r="U7" s="14" t="s">
        <v>82</v>
      </c>
      <c r="V7" s="9" t="s">
        <v>27</v>
      </c>
      <c r="W7" s="9" t="s">
        <v>83</v>
      </c>
    </row>
    <row r="8">
      <c r="A8" s="14" t="s">
        <v>44</v>
      </c>
      <c r="B8" s="9" t="s">
        <v>27</v>
      </c>
      <c r="C8" s="9" t="s">
        <v>28</v>
      </c>
      <c r="E8" s="14" t="s">
        <v>84</v>
      </c>
      <c r="F8" s="9" t="s">
        <v>40</v>
      </c>
      <c r="G8" s="9" t="s">
        <v>27</v>
      </c>
      <c r="I8" s="14" t="s">
        <v>85</v>
      </c>
      <c r="J8" s="9" t="s">
        <v>40</v>
      </c>
      <c r="K8" s="9" t="s">
        <v>27</v>
      </c>
      <c r="M8" s="14" t="s">
        <v>86</v>
      </c>
      <c r="N8" s="9" t="s">
        <v>40</v>
      </c>
      <c r="O8" s="9" t="s">
        <v>27</v>
      </c>
      <c r="Q8" s="14" t="s">
        <v>89</v>
      </c>
      <c r="R8" s="9" t="s">
        <v>40</v>
      </c>
      <c r="S8" s="9" t="s">
        <v>27</v>
      </c>
      <c r="U8" s="14" t="s">
        <v>90</v>
      </c>
      <c r="V8" s="9" t="s">
        <v>40</v>
      </c>
      <c r="W8" s="9" t="s">
        <v>28</v>
      </c>
    </row>
    <row r="9">
      <c r="A9" s="14" t="s">
        <v>48</v>
      </c>
      <c r="B9" s="9" t="s">
        <v>40</v>
      </c>
      <c r="C9" s="9" t="s">
        <v>27</v>
      </c>
      <c r="E9" s="14" t="s">
        <v>92</v>
      </c>
      <c r="F9" s="9" t="s">
        <v>40</v>
      </c>
      <c r="G9" s="9" t="s">
        <v>27</v>
      </c>
      <c r="I9" s="14" t="s">
        <v>93</v>
      </c>
      <c r="J9" s="9" t="s">
        <v>27</v>
      </c>
      <c r="K9" s="9" t="s">
        <v>79</v>
      </c>
      <c r="M9" s="14" t="s">
        <v>94</v>
      </c>
      <c r="N9" s="9" t="s">
        <v>40</v>
      </c>
      <c r="O9" s="9" t="s">
        <v>27</v>
      </c>
      <c r="Q9" s="14" t="s">
        <v>95</v>
      </c>
      <c r="R9" s="9" t="s">
        <v>27</v>
      </c>
      <c r="S9" s="9" t="s">
        <v>55</v>
      </c>
      <c r="U9" s="14" t="s">
        <v>96</v>
      </c>
      <c r="V9" s="9" t="s">
        <v>27</v>
      </c>
      <c r="W9" s="9" t="s">
        <v>27</v>
      </c>
    </row>
    <row r="10">
      <c r="A10" s="14" t="s">
        <v>53</v>
      </c>
      <c r="B10" s="9" t="s">
        <v>27</v>
      </c>
      <c r="C10" s="9" t="s">
        <v>55</v>
      </c>
      <c r="E10" s="14" t="s">
        <v>99</v>
      </c>
      <c r="F10" s="9" t="s">
        <v>27</v>
      </c>
      <c r="G10" s="9" t="s">
        <v>27</v>
      </c>
      <c r="I10" s="14" t="s">
        <v>100</v>
      </c>
      <c r="J10" s="9" t="s">
        <v>27</v>
      </c>
      <c r="K10" s="9" t="s">
        <v>55</v>
      </c>
      <c r="M10" s="14" t="s">
        <v>101</v>
      </c>
      <c r="N10" s="9" t="s">
        <v>40</v>
      </c>
      <c r="O10" s="9" t="s">
        <v>28</v>
      </c>
      <c r="Q10" s="14" t="s">
        <v>102</v>
      </c>
      <c r="R10" s="9" t="s">
        <v>40</v>
      </c>
      <c r="S10" s="9" t="s">
        <v>83</v>
      </c>
      <c r="U10" s="14" t="s">
        <v>103</v>
      </c>
      <c r="V10" s="9" t="s">
        <v>40</v>
      </c>
      <c r="W10" s="9" t="s">
        <v>27</v>
      </c>
    </row>
    <row r="11">
      <c r="A11" s="14" t="s">
        <v>57</v>
      </c>
      <c r="B11" s="9" t="s">
        <v>40</v>
      </c>
      <c r="C11" s="9" t="s">
        <v>59</v>
      </c>
      <c r="E11" s="14" t="s">
        <v>104</v>
      </c>
      <c r="F11" s="9" t="s">
        <v>27</v>
      </c>
      <c r="G11" s="9" t="s">
        <v>28</v>
      </c>
      <c r="I11" s="14" t="s">
        <v>107</v>
      </c>
      <c r="J11" s="9" t="s">
        <v>40</v>
      </c>
      <c r="K11" s="9" t="s">
        <v>27</v>
      </c>
      <c r="M11" s="14" t="s">
        <v>108</v>
      </c>
      <c r="N11" s="9" t="s">
        <v>40</v>
      </c>
      <c r="O11" s="9" t="s">
        <v>59</v>
      </c>
      <c r="Q11" s="14" t="s">
        <v>109</v>
      </c>
      <c r="R11" s="9" t="s">
        <v>27</v>
      </c>
      <c r="S11" s="9" t="s">
        <v>55</v>
      </c>
      <c r="U11" s="14" t="s">
        <v>110</v>
      </c>
      <c r="V11" s="9" t="s">
        <v>27</v>
      </c>
      <c r="W11" s="9" t="s">
        <v>55</v>
      </c>
    </row>
    <row r="12">
      <c r="A12" s="14" t="s">
        <v>65</v>
      </c>
      <c r="B12" s="9" t="s">
        <v>40</v>
      </c>
      <c r="C12" s="9" t="s">
        <v>28</v>
      </c>
      <c r="E12" s="14" t="s">
        <v>111</v>
      </c>
      <c r="F12" s="9" t="s">
        <v>27</v>
      </c>
      <c r="G12" s="9" t="s">
        <v>28</v>
      </c>
      <c r="I12" s="14" t="s">
        <v>112</v>
      </c>
      <c r="J12" s="9" t="s">
        <v>27</v>
      </c>
      <c r="K12" s="9" t="s">
        <v>55</v>
      </c>
      <c r="M12" s="14" t="s">
        <v>115</v>
      </c>
      <c r="N12" s="9" t="s">
        <v>27</v>
      </c>
      <c r="O12" s="9" t="s">
        <v>79</v>
      </c>
      <c r="Q12" s="14" t="s">
        <v>117</v>
      </c>
      <c r="R12" s="9" t="s">
        <v>27</v>
      </c>
      <c r="S12" s="9" t="s">
        <v>28</v>
      </c>
      <c r="U12" s="14" t="s">
        <v>118</v>
      </c>
      <c r="V12" s="9" t="s">
        <v>40</v>
      </c>
      <c r="W12" s="9" t="s">
        <v>27</v>
      </c>
    </row>
    <row r="13">
      <c r="A13" s="14" t="s">
        <v>69</v>
      </c>
      <c r="B13" s="9" t="s">
        <v>40</v>
      </c>
      <c r="C13" s="9" t="s">
        <v>28</v>
      </c>
      <c r="E13" s="14" t="s">
        <v>119</v>
      </c>
      <c r="F13" s="9" t="s">
        <v>27</v>
      </c>
      <c r="G13" s="9" t="s">
        <v>27</v>
      </c>
      <c r="I13" s="14" t="s">
        <v>121</v>
      </c>
      <c r="J13" s="9" t="s">
        <v>27</v>
      </c>
      <c r="K13" s="9" t="s">
        <v>28</v>
      </c>
      <c r="M13" s="14" t="s">
        <v>124</v>
      </c>
      <c r="N13" s="9" t="s">
        <v>27</v>
      </c>
      <c r="O13" s="9" t="s">
        <v>55</v>
      </c>
      <c r="Q13" s="14" t="s">
        <v>129</v>
      </c>
      <c r="R13" s="9" t="s">
        <v>40</v>
      </c>
      <c r="S13" s="9" t="s">
        <v>28</v>
      </c>
      <c r="U13" s="14" t="s">
        <v>131</v>
      </c>
      <c r="V13" s="9" t="s">
        <v>40</v>
      </c>
      <c r="W13" s="9" t="s">
        <v>27</v>
      </c>
    </row>
    <row r="14">
      <c r="A14" s="14" t="s">
        <v>72</v>
      </c>
      <c r="B14" s="9" t="s">
        <v>40</v>
      </c>
      <c r="C14" s="9" t="s">
        <v>28</v>
      </c>
      <c r="E14" s="14" t="s">
        <v>132</v>
      </c>
      <c r="F14" s="9" t="s">
        <v>27</v>
      </c>
      <c r="G14" s="9" t="s">
        <v>28</v>
      </c>
      <c r="I14" s="14" t="s">
        <v>133</v>
      </c>
      <c r="J14" s="9" t="s">
        <v>40</v>
      </c>
      <c r="K14" s="9" t="s">
        <v>27</v>
      </c>
      <c r="M14" s="14" t="s">
        <v>135</v>
      </c>
      <c r="N14" s="9" t="s">
        <v>27</v>
      </c>
      <c r="O14" s="9" t="s">
        <v>79</v>
      </c>
      <c r="Q14" s="14" t="s">
        <v>136</v>
      </c>
      <c r="R14" s="9" t="s">
        <v>40</v>
      </c>
      <c r="S14" s="9" t="s">
        <v>55</v>
      </c>
      <c r="U14" s="14" t="s">
        <v>138</v>
      </c>
      <c r="V14" s="9" t="s">
        <v>40</v>
      </c>
      <c r="W14" s="9" t="s">
        <v>28</v>
      </c>
    </row>
    <row r="15">
      <c r="A15" s="14" t="s">
        <v>87</v>
      </c>
      <c r="B15" s="9" t="s">
        <v>40</v>
      </c>
      <c r="C15" s="9" t="s">
        <v>27</v>
      </c>
      <c r="E15" s="14" t="s">
        <v>141</v>
      </c>
      <c r="F15" s="9" t="s">
        <v>40</v>
      </c>
      <c r="G15" s="9" t="s">
        <v>27</v>
      </c>
      <c r="I15" s="14" t="s">
        <v>142</v>
      </c>
      <c r="J15" s="9" t="s">
        <v>40</v>
      </c>
      <c r="K15" s="9" t="s">
        <v>28</v>
      </c>
      <c r="M15" s="14" t="s">
        <v>143</v>
      </c>
      <c r="N15" s="9" t="s">
        <v>40</v>
      </c>
      <c r="O15" s="9" t="s">
        <v>27</v>
      </c>
      <c r="Q15" s="14" t="s">
        <v>144</v>
      </c>
      <c r="R15" s="9" t="s">
        <v>40</v>
      </c>
      <c r="S15" s="9" t="s">
        <v>55</v>
      </c>
      <c r="U15" s="14" t="s">
        <v>146</v>
      </c>
      <c r="V15" s="9" t="s">
        <v>40</v>
      </c>
      <c r="W15" s="9" t="s">
        <v>27</v>
      </c>
    </row>
    <row r="16">
      <c r="A16" s="14" t="s">
        <v>97</v>
      </c>
      <c r="B16" s="9" t="s">
        <v>27</v>
      </c>
      <c r="C16" s="9" t="s">
        <v>27</v>
      </c>
      <c r="E16" s="14" t="s">
        <v>148</v>
      </c>
      <c r="F16" s="9" t="s">
        <v>40</v>
      </c>
      <c r="G16" s="9" t="s">
        <v>79</v>
      </c>
      <c r="I16" s="14" t="s">
        <v>150</v>
      </c>
      <c r="J16" s="9" t="s">
        <v>40</v>
      </c>
      <c r="K16" s="9" t="s">
        <v>55</v>
      </c>
      <c r="M16" s="14" t="s">
        <v>151</v>
      </c>
      <c r="N16" s="9" t="s">
        <v>27</v>
      </c>
      <c r="O16" s="9" t="s">
        <v>83</v>
      </c>
      <c r="Q16" s="14" t="s">
        <v>153</v>
      </c>
      <c r="R16" s="9" t="s">
        <v>27</v>
      </c>
      <c r="S16" s="9" t="s">
        <v>79</v>
      </c>
      <c r="U16" s="14" t="s">
        <v>154</v>
      </c>
      <c r="V16" s="9" t="s">
        <v>27</v>
      </c>
      <c r="W16" s="9" t="s">
        <v>28</v>
      </c>
    </row>
    <row r="17">
      <c r="A17" s="14" t="s">
        <v>105</v>
      </c>
      <c r="B17" s="9" t="s">
        <v>40</v>
      </c>
      <c r="C17" s="9" t="s">
        <v>79</v>
      </c>
      <c r="E17" s="14" t="s">
        <v>155</v>
      </c>
      <c r="F17" s="9" t="s">
        <v>27</v>
      </c>
      <c r="G17" s="9" t="s">
        <v>28</v>
      </c>
      <c r="I17" s="14" t="s">
        <v>158</v>
      </c>
      <c r="J17" s="9" t="s">
        <v>27</v>
      </c>
      <c r="K17" s="9" t="s">
        <v>55</v>
      </c>
      <c r="M17" s="14" t="s">
        <v>159</v>
      </c>
      <c r="N17" s="9" t="s">
        <v>40</v>
      </c>
      <c r="O17" s="9" t="s">
        <v>27</v>
      </c>
      <c r="Q17" s="14" t="s">
        <v>160</v>
      </c>
      <c r="R17" s="9" t="s">
        <v>40</v>
      </c>
      <c r="S17" s="9" t="s">
        <v>79</v>
      </c>
      <c r="U17" s="14" t="s">
        <v>162</v>
      </c>
      <c r="V17" s="9" t="s">
        <v>27</v>
      </c>
      <c r="W17" s="9" t="s">
        <v>55</v>
      </c>
    </row>
    <row r="18">
      <c r="A18" s="14" t="s">
        <v>113</v>
      </c>
      <c r="B18" s="9" t="s">
        <v>27</v>
      </c>
      <c r="C18" s="9" t="s">
        <v>27</v>
      </c>
      <c r="E18" s="14" t="s">
        <v>163</v>
      </c>
      <c r="F18" s="9" t="s">
        <v>40</v>
      </c>
      <c r="G18" s="9" t="s">
        <v>59</v>
      </c>
      <c r="I18" s="14" t="s">
        <v>164</v>
      </c>
      <c r="J18" s="9" t="s">
        <v>40</v>
      </c>
      <c r="K18" s="9" t="s">
        <v>27</v>
      </c>
      <c r="M18" s="14" t="s">
        <v>167</v>
      </c>
      <c r="N18" s="9" t="s">
        <v>40</v>
      </c>
      <c r="O18" s="9" t="s">
        <v>28</v>
      </c>
      <c r="Q18" s="14" t="s">
        <v>168</v>
      </c>
      <c r="R18" s="9" t="s">
        <v>27</v>
      </c>
      <c r="S18" s="9" t="s">
        <v>28</v>
      </c>
      <c r="U18" s="14" t="s">
        <v>169</v>
      </c>
      <c r="V18" s="9" t="s">
        <v>27</v>
      </c>
      <c r="W18" s="9" t="s">
        <v>55</v>
      </c>
    </row>
    <row r="19">
      <c r="A19" s="14" t="s">
        <v>126</v>
      </c>
      <c r="B19" s="9" t="s">
        <v>40</v>
      </c>
      <c r="C19" s="9" t="s">
        <v>59</v>
      </c>
      <c r="E19" s="14" t="s">
        <v>170</v>
      </c>
      <c r="F19" s="9" t="s">
        <v>40</v>
      </c>
      <c r="G19" s="9" t="s">
        <v>59</v>
      </c>
      <c r="I19" s="14" t="s">
        <v>171</v>
      </c>
      <c r="J19" s="9" t="s">
        <v>40</v>
      </c>
      <c r="K19" s="9" t="s">
        <v>59</v>
      </c>
      <c r="M19" s="14" t="s">
        <v>173</v>
      </c>
      <c r="N19" s="9" t="s">
        <v>27</v>
      </c>
      <c r="O19" s="9" t="s">
        <v>55</v>
      </c>
      <c r="Q19" s="14" t="s">
        <v>174</v>
      </c>
      <c r="R19" s="9" t="s">
        <v>27</v>
      </c>
      <c r="S19" s="9" t="s">
        <v>28</v>
      </c>
      <c r="U19" s="14" t="s">
        <v>175</v>
      </c>
      <c r="V19" s="9" t="s">
        <v>27</v>
      </c>
      <c r="W19" s="9" t="s">
        <v>28</v>
      </c>
    </row>
    <row r="20">
      <c r="A20" s="14" t="s">
        <v>137</v>
      </c>
      <c r="B20" s="9" t="s">
        <v>40</v>
      </c>
      <c r="C20" s="9" t="s">
        <v>28</v>
      </c>
      <c r="E20" s="14" t="s">
        <v>177</v>
      </c>
      <c r="F20" s="9" t="s">
        <v>40</v>
      </c>
      <c r="G20" s="9" t="s">
        <v>28</v>
      </c>
      <c r="I20" s="14" t="s">
        <v>178</v>
      </c>
      <c r="J20" s="9" t="s">
        <v>27</v>
      </c>
      <c r="K20" s="9" t="s">
        <v>28</v>
      </c>
      <c r="M20" s="14" t="s">
        <v>181</v>
      </c>
      <c r="N20" s="9" t="s">
        <v>40</v>
      </c>
      <c r="O20" s="9" t="s">
        <v>59</v>
      </c>
      <c r="Q20" s="14" t="s">
        <v>182</v>
      </c>
      <c r="R20" s="9" t="s">
        <v>40</v>
      </c>
      <c r="S20" s="9" t="s">
        <v>28</v>
      </c>
      <c r="U20" s="14" t="s">
        <v>183</v>
      </c>
      <c r="V20" s="9" t="s">
        <v>27</v>
      </c>
      <c r="W20" s="9" t="s">
        <v>55</v>
      </c>
    </row>
    <row r="21" ht="15.75" customHeight="1">
      <c r="A21" s="14" t="s">
        <v>147</v>
      </c>
      <c r="B21" s="9" t="s">
        <v>40</v>
      </c>
      <c r="C21" s="9" t="s">
        <v>27</v>
      </c>
      <c r="E21" s="14" t="s">
        <v>185</v>
      </c>
      <c r="F21" s="9" t="s">
        <v>40</v>
      </c>
      <c r="G21" s="9" t="s">
        <v>27</v>
      </c>
      <c r="I21" s="14" t="s">
        <v>187</v>
      </c>
      <c r="J21" s="9" t="s">
        <v>27</v>
      </c>
      <c r="K21" s="9" t="s">
        <v>27</v>
      </c>
      <c r="M21" s="14" t="s">
        <v>188</v>
      </c>
      <c r="N21" s="9" t="s">
        <v>40</v>
      </c>
      <c r="O21" s="9" t="s">
        <v>59</v>
      </c>
      <c r="Q21" s="14" t="s">
        <v>189</v>
      </c>
      <c r="R21" s="9" t="s">
        <v>40</v>
      </c>
      <c r="S21" s="9" t="s">
        <v>27</v>
      </c>
      <c r="U21" s="14" t="s">
        <v>190</v>
      </c>
      <c r="V21" s="9" t="s">
        <v>40</v>
      </c>
      <c r="W21" s="9" t="s">
        <v>27</v>
      </c>
    </row>
    <row r="22" ht="15.75" customHeight="1">
      <c r="A22" s="14" t="s">
        <v>156</v>
      </c>
      <c r="B22" s="9" t="s">
        <v>27</v>
      </c>
      <c r="C22" s="9" t="s">
        <v>55</v>
      </c>
      <c r="E22" s="14" t="s">
        <v>194</v>
      </c>
      <c r="F22" s="9" t="s">
        <v>40</v>
      </c>
      <c r="G22" s="9" t="s">
        <v>55</v>
      </c>
      <c r="I22" s="14" t="s">
        <v>195</v>
      </c>
      <c r="J22" s="9" t="s">
        <v>27</v>
      </c>
      <c r="K22" s="9" t="s">
        <v>28</v>
      </c>
      <c r="M22" s="14" t="s">
        <v>198</v>
      </c>
      <c r="N22" s="9" t="s">
        <v>40</v>
      </c>
      <c r="O22" s="9" t="s">
        <v>27</v>
      </c>
      <c r="Q22" s="14" t="s">
        <v>199</v>
      </c>
      <c r="R22" s="9" t="s">
        <v>40</v>
      </c>
      <c r="S22" s="9" t="s">
        <v>28</v>
      </c>
      <c r="U22" s="14" t="s">
        <v>200</v>
      </c>
      <c r="V22" s="9" t="s">
        <v>27</v>
      </c>
      <c r="W22" s="9" t="s">
        <v>28</v>
      </c>
    </row>
    <row r="23" ht="15.75" customHeight="1">
      <c r="A23" s="14" t="s">
        <v>165</v>
      </c>
      <c r="B23" s="9" t="s">
        <v>40</v>
      </c>
      <c r="C23" s="9" t="s">
        <v>59</v>
      </c>
      <c r="E23" s="14" t="s">
        <v>202</v>
      </c>
      <c r="F23" s="9" t="s">
        <v>40</v>
      </c>
      <c r="G23" s="9" t="s">
        <v>27</v>
      </c>
      <c r="I23" s="14" t="s">
        <v>203</v>
      </c>
      <c r="J23" s="9" t="s">
        <v>40</v>
      </c>
      <c r="K23" s="9" t="s">
        <v>27</v>
      </c>
      <c r="M23" s="14" t="s">
        <v>206</v>
      </c>
      <c r="N23" s="9" t="s">
        <v>40</v>
      </c>
      <c r="O23" s="9" t="s">
        <v>27</v>
      </c>
      <c r="Q23" s="14" t="s">
        <v>208</v>
      </c>
      <c r="R23" s="9" t="s">
        <v>40</v>
      </c>
      <c r="S23" s="9" t="s">
        <v>27</v>
      </c>
      <c r="U23" s="14" t="s">
        <v>209</v>
      </c>
      <c r="V23" s="9" t="s">
        <v>40</v>
      </c>
      <c r="W23" s="9" t="s">
        <v>28</v>
      </c>
    </row>
    <row r="24" ht="15.75" customHeight="1">
      <c r="A24" s="14" t="s">
        <v>179</v>
      </c>
      <c r="B24" s="9" t="s">
        <v>27</v>
      </c>
      <c r="C24" s="9" t="s">
        <v>59</v>
      </c>
      <c r="E24" s="14" t="s">
        <v>210</v>
      </c>
      <c r="F24" s="9" t="s">
        <v>40</v>
      </c>
      <c r="G24" s="9" t="s">
        <v>27</v>
      </c>
      <c r="I24" s="14" t="s">
        <v>213</v>
      </c>
      <c r="J24" s="9" t="s">
        <v>27</v>
      </c>
      <c r="K24" s="9" t="s">
        <v>28</v>
      </c>
      <c r="M24" s="14" t="s">
        <v>214</v>
      </c>
      <c r="N24" s="9" t="s">
        <v>40</v>
      </c>
      <c r="O24" s="9" t="s">
        <v>55</v>
      </c>
      <c r="Q24" s="14" t="s">
        <v>215</v>
      </c>
      <c r="R24" s="9" t="s">
        <v>40</v>
      </c>
      <c r="S24" s="9" t="s">
        <v>28</v>
      </c>
      <c r="U24" s="14" t="s">
        <v>216</v>
      </c>
      <c r="V24" s="9" t="s">
        <v>40</v>
      </c>
      <c r="W24" s="9" t="s">
        <v>27</v>
      </c>
    </row>
    <row r="25" ht="15.75" customHeight="1">
      <c r="A25" s="14" t="s">
        <v>192</v>
      </c>
      <c r="B25" s="9" t="s">
        <v>40</v>
      </c>
      <c r="C25" s="9" t="s">
        <v>59</v>
      </c>
      <c r="E25" s="14" t="s">
        <v>220</v>
      </c>
      <c r="F25" s="9" t="s">
        <v>27</v>
      </c>
      <c r="G25" s="9" t="s">
        <v>59</v>
      </c>
      <c r="I25" s="14" t="s">
        <v>221</v>
      </c>
      <c r="J25" s="9" t="s">
        <v>40</v>
      </c>
      <c r="K25" s="9" t="s">
        <v>83</v>
      </c>
      <c r="M25" s="14" t="s">
        <v>222</v>
      </c>
      <c r="N25" s="9" t="s">
        <v>27</v>
      </c>
      <c r="O25" s="9" t="s">
        <v>28</v>
      </c>
      <c r="Q25" s="14" t="s">
        <v>223</v>
      </c>
      <c r="R25" s="9" t="s">
        <v>40</v>
      </c>
      <c r="S25" s="9" t="s">
        <v>28</v>
      </c>
      <c r="U25" s="14" t="s">
        <v>224</v>
      </c>
      <c r="V25" s="9" t="s">
        <v>40</v>
      </c>
      <c r="W25" s="9" t="s">
        <v>27</v>
      </c>
    </row>
    <row r="26" ht="15.75" customHeight="1">
      <c r="A26" s="14" t="s">
        <v>204</v>
      </c>
      <c r="B26" s="9" t="s">
        <v>40</v>
      </c>
      <c r="C26" s="9" t="s">
        <v>59</v>
      </c>
      <c r="E26" s="14" t="s">
        <v>225</v>
      </c>
      <c r="F26" s="9" t="s">
        <v>40</v>
      </c>
      <c r="G26" s="9" t="s">
        <v>59</v>
      </c>
      <c r="I26" s="14" t="s">
        <v>226</v>
      </c>
      <c r="J26" s="9" t="s">
        <v>40</v>
      </c>
      <c r="K26" s="9" t="s">
        <v>27</v>
      </c>
      <c r="M26" s="14" t="s">
        <v>229</v>
      </c>
      <c r="N26" s="9" t="s">
        <v>27</v>
      </c>
      <c r="O26" s="9" t="s">
        <v>28</v>
      </c>
      <c r="Q26" s="14" t="s">
        <v>230</v>
      </c>
      <c r="R26" s="9" t="s">
        <v>27</v>
      </c>
      <c r="S26" s="9" t="s">
        <v>79</v>
      </c>
      <c r="U26" s="14" t="s">
        <v>231</v>
      </c>
      <c r="V26" s="9" t="s">
        <v>40</v>
      </c>
      <c r="W26" s="9" t="s">
        <v>59</v>
      </c>
    </row>
    <row r="27" ht="15.75" customHeight="1">
      <c r="A27" s="14" t="s">
        <v>217</v>
      </c>
      <c r="B27" s="9" t="s">
        <v>27</v>
      </c>
      <c r="C27" s="9" t="s">
        <v>28</v>
      </c>
      <c r="E27" s="14" t="s">
        <v>234</v>
      </c>
      <c r="F27" s="9" t="s">
        <v>40</v>
      </c>
      <c r="G27" s="9" t="s">
        <v>28</v>
      </c>
      <c r="I27" s="14" t="s">
        <v>235</v>
      </c>
      <c r="J27" s="9" t="s">
        <v>40</v>
      </c>
      <c r="K27" s="9" t="s">
        <v>27</v>
      </c>
      <c r="M27" s="14" t="s">
        <v>236</v>
      </c>
      <c r="N27" s="9" t="s">
        <v>27</v>
      </c>
      <c r="O27" s="9" t="s">
        <v>27</v>
      </c>
      <c r="Q27" s="14" t="s">
        <v>237</v>
      </c>
      <c r="R27" s="9" t="s">
        <v>27</v>
      </c>
      <c r="S27" s="9" t="s">
        <v>83</v>
      </c>
      <c r="U27" s="14" t="s">
        <v>241</v>
      </c>
      <c r="V27" s="9" t="s">
        <v>40</v>
      </c>
      <c r="W27" s="9" t="s">
        <v>28</v>
      </c>
    </row>
    <row r="28" ht="15.75" customHeight="1">
      <c r="A28" s="14" t="s">
        <v>227</v>
      </c>
      <c r="B28" s="9" t="s">
        <v>40</v>
      </c>
      <c r="C28" s="9" t="s">
        <v>55</v>
      </c>
      <c r="E28" s="14" t="s">
        <v>243</v>
      </c>
      <c r="F28" s="9" t="s">
        <v>27</v>
      </c>
      <c r="G28" s="9" t="s">
        <v>28</v>
      </c>
      <c r="I28" s="14" t="s">
        <v>245</v>
      </c>
      <c r="J28" s="9" t="s">
        <v>40</v>
      </c>
      <c r="K28" s="9" t="s">
        <v>28</v>
      </c>
      <c r="M28" s="14" t="s">
        <v>248</v>
      </c>
      <c r="N28" s="9" t="s">
        <v>27</v>
      </c>
      <c r="O28" s="9" t="s">
        <v>28</v>
      </c>
      <c r="Q28" s="14" t="s">
        <v>250</v>
      </c>
      <c r="R28" s="9" t="s">
        <v>27</v>
      </c>
      <c r="S28" s="9" t="s">
        <v>27</v>
      </c>
      <c r="U28" s="14" t="s">
        <v>251</v>
      </c>
      <c r="V28" s="9" t="s">
        <v>27</v>
      </c>
      <c r="W28" s="9" t="s">
        <v>28</v>
      </c>
    </row>
    <row r="29" ht="15.75" customHeight="1">
      <c r="A29" s="14" t="s">
        <v>238</v>
      </c>
      <c r="B29" s="9" t="s">
        <v>27</v>
      </c>
      <c r="C29" s="9" t="s">
        <v>79</v>
      </c>
      <c r="E29" s="14" t="s">
        <v>256</v>
      </c>
      <c r="F29" s="9" t="s">
        <v>40</v>
      </c>
      <c r="G29" s="9" t="s">
        <v>55</v>
      </c>
      <c r="I29" s="14" t="s">
        <v>257</v>
      </c>
      <c r="J29" s="9" t="s">
        <v>40</v>
      </c>
      <c r="K29" s="9" t="s">
        <v>27</v>
      </c>
      <c r="M29" s="14" t="s">
        <v>259</v>
      </c>
      <c r="N29" s="9" t="s">
        <v>40</v>
      </c>
      <c r="O29" s="9" t="s">
        <v>59</v>
      </c>
      <c r="Q29" s="14" t="s">
        <v>261</v>
      </c>
      <c r="R29" s="9" t="s">
        <v>40</v>
      </c>
      <c r="S29" s="9" t="s">
        <v>27</v>
      </c>
      <c r="U29" s="14" t="s">
        <v>263</v>
      </c>
      <c r="V29" s="9" t="s">
        <v>40</v>
      </c>
      <c r="W29" s="9" t="s">
        <v>27</v>
      </c>
    </row>
    <row r="30" ht="15.75" customHeight="1">
      <c r="A30" s="14" t="s">
        <v>252</v>
      </c>
      <c r="B30" s="9" t="s">
        <v>40</v>
      </c>
      <c r="C30" s="9" t="s">
        <v>79</v>
      </c>
      <c r="E30" s="14" t="s">
        <v>267</v>
      </c>
      <c r="F30" s="9" t="s">
        <v>40</v>
      </c>
      <c r="G30" s="9" t="s">
        <v>59</v>
      </c>
      <c r="I30" s="14" t="s">
        <v>268</v>
      </c>
      <c r="J30" s="9" t="s">
        <v>40</v>
      </c>
      <c r="K30" s="9" t="s">
        <v>28</v>
      </c>
      <c r="M30" s="14" t="s">
        <v>273</v>
      </c>
      <c r="N30" s="9" t="s">
        <v>40</v>
      </c>
      <c r="O30" s="9" t="s">
        <v>27</v>
      </c>
      <c r="Q30" s="14" t="s">
        <v>274</v>
      </c>
      <c r="R30" s="9" t="s">
        <v>40</v>
      </c>
      <c r="S30" s="9" t="s">
        <v>28</v>
      </c>
      <c r="U30" s="14" t="s">
        <v>275</v>
      </c>
      <c r="V30" s="9" t="s">
        <v>27</v>
      </c>
      <c r="W30" s="9" t="s">
        <v>28</v>
      </c>
    </row>
    <row r="31" ht="15.75" customHeight="1">
      <c r="A31" s="14" t="s">
        <v>269</v>
      </c>
      <c r="B31" s="9" t="s">
        <v>27</v>
      </c>
      <c r="C31" s="9" t="s">
        <v>27</v>
      </c>
      <c r="E31" s="14" t="s">
        <v>278</v>
      </c>
      <c r="F31" s="9" t="s">
        <v>40</v>
      </c>
      <c r="G31" s="9" t="s">
        <v>27</v>
      </c>
      <c r="I31" s="14" t="s">
        <v>280</v>
      </c>
      <c r="J31" s="9" t="s">
        <v>27</v>
      </c>
      <c r="K31" s="9" t="s">
        <v>28</v>
      </c>
      <c r="M31" s="14" t="s">
        <v>283</v>
      </c>
      <c r="N31" s="9" t="s">
        <v>27</v>
      </c>
      <c r="O31" s="9" t="s">
        <v>27</v>
      </c>
      <c r="Q31" s="14" t="s">
        <v>284</v>
      </c>
      <c r="R31" s="9" t="s">
        <v>40</v>
      </c>
      <c r="S31" s="9" t="s">
        <v>27</v>
      </c>
      <c r="U31" s="14" t="s">
        <v>289</v>
      </c>
      <c r="V31" s="9" t="s">
        <v>27</v>
      </c>
      <c r="W31" s="9" t="s">
        <v>27</v>
      </c>
    </row>
    <row r="32" ht="15.75" customHeight="1">
      <c r="A32" s="14" t="s">
        <v>285</v>
      </c>
      <c r="B32" s="9" t="s">
        <v>40</v>
      </c>
      <c r="C32" s="9" t="s">
        <v>28</v>
      </c>
      <c r="E32" s="14" t="s">
        <v>292</v>
      </c>
      <c r="F32" s="9" t="s">
        <v>27</v>
      </c>
      <c r="G32" s="9" t="s">
        <v>27</v>
      </c>
      <c r="I32" s="14" t="s">
        <v>295</v>
      </c>
      <c r="J32" s="9" t="s">
        <v>40</v>
      </c>
      <c r="K32" s="9" t="s">
        <v>28</v>
      </c>
      <c r="M32" s="14" t="s">
        <v>296</v>
      </c>
      <c r="N32" s="9" t="s">
        <v>40</v>
      </c>
      <c r="O32" s="9" t="s">
        <v>27</v>
      </c>
      <c r="Q32" s="14" t="s">
        <v>299</v>
      </c>
      <c r="R32" s="9" t="s">
        <v>27</v>
      </c>
      <c r="S32" s="9" t="s">
        <v>28</v>
      </c>
      <c r="U32" s="14" t="s">
        <v>300</v>
      </c>
      <c r="V32" s="9" t="s">
        <v>40</v>
      </c>
      <c r="W32" s="9" t="s">
        <v>28</v>
      </c>
    </row>
    <row r="33" ht="15.75" customHeight="1">
      <c r="A33" s="14" t="s">
        <v>302</v>
      </c>
      <c r="B33" s="9" t="s">
        <v>27</v>
      </c>
      <c r="C33" s="9" t="s">
        <v>55</v>
      </c>
      <c r="U33" s="14" t="s">
        <v>304</v>
      </c>
      <c r="V33" s="9" t="s">
        <v>40</v>
      </c>
      <c r="W33" s="9" t="s">
        <v>27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E1:G1"/>
    <mergeCell ref="I1:K1"/>
    <mergeCell ref="M1:O1"/>
    <mergeCell ref="Q1:S1"/>
    <mergeCell ref="U1:W1"/>
  </mergeCells>
  <conditionalFormatting sqref="B5:B1000">
    <cfRule type="cellIs" dxfId="2" priority="1" operator="equal">
      <formula>"F"</formula>
    </cfRule>
  </conditionalFormatting>
  <conditionalFormatting sqref="B5:B1000">
    <cfRule type="cellIs" dxfId="3" priority="2" operator="equal">
      <formula>"M"</formula>
    </cfRule>
  </conditionalFormatting>
  <conditionalFormatting sqref="F5:F1000">
    <cfRule type="cellIs" dxfId="2" priority="3" operator="equal">
      <formula>"F"</formula>
    </cfRule>
  </conditionalFormatting>
  <conditionalFormatting sqref="F5:F1000">
    <cfRule type="cellIs" dxfId="3" priority="4" operator="equal">
      <formula>"M"</formula>
    </cfRule>
  </conditionalFormatting>
  <conditionalFormatting sqref="J5:J1000">
    <cfRule type="cellIs" dxfId="2" priority="5" operator="equal">
      <formula>"F"</formula>
    </cfRule>
  </conditionalFormatting>
  <conditionalFormatting sqref="J5:J1000">
    <cfRule type="cellIs" dxfId="3" priority="6" operator="equal">
      <formula>"M"</formula>
    </cfRule>
  </conditionalFormatting>
  <conditionalFormatting sqref="N5:N1000">
    <cfRule type="cellIs" dxfId="2" priority="7" operator="equal">
      <formula>"F"</formula>
    </cfRule>
  </conditionalFormatting>
  <conditionalFormatting sqref="N5:N1000">
    <cfRule type="cellIs" dxfId="3" priority="8" operator="equal">
      <formula>"M"</formula>
    </cfRule>
  </conditionalFormatting>
  <conditionalFormatting sqref="R5:R1000">
    <cfRule type="cellIs" dxfId="2" priority="9" operator="equal">
      <formula>"F"</formula>
    </cfRule>
  </conditionalFormatting>
  <conditionalFormatting sqref="R5:R1000">
    <cfRule type="cellIs" dxfId="3" priority="10" operator="equal">
      <formula>"M"</formula>
    </cfRule>
  </conditionalFormatting>
  <conditionalFormatting sqref="V5:V1000">
    <cfRule type="cellIs" dxfId="2" priority="11" operator="equal">
      <formula>"F"</formula>
    </cfRule>
  </conditionalFormatting>
  <conditionalFormatting sqref="V5:V1000">
    <cfRule type="cellIs" dxfId="3" priority="12" operator="equal">
      <formula>"M"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8" width="12.0"/>
    <col customWidth="1" min="9" max="26" width="8.71"/>
  </cols>
  <sheetData>
    <row r="1">
      <c r="A1" s="3" t="s">
        <v>3</v>
      </c>
    </row>
    <row r="2">
      <c r="A2" s="4" t="s">
        <v>6</v>
      </c>
    </row>
    <row r="4">
      <c r="A4" s="5" t="s">
        <v>9</v>
      </c>
    </row>
    <row r="5">
      <c r="A5" s="2" t="s">
        <v>1</v>
      </c>
      <c r="B5" s="2" t="s">
        <v>13</v>
      </c>
      <c r="C5" s="2" t="s">
        <v>15</v>
      </c>
      <c r="D5" s="2" t="s">
        <v>17</v>
      </c>
      <c r="E5" s="2" t="s">
        <v>19</v>
      </c>
      <c r="F5" s="1" t="s">
        <v>21</v>
      </c>
      <c r="G5" s="10" t="s">
        <v>22</v>
      </c>
    </row>
    <row r="6">
      <c r="A6" s="13" t="s">
        <v>11</v>
      </c>
      <c r="B6" s="9">
        <f>COUNTIF('팀배정_전체'!$B$2:$B$171,"JOY")</f>
        <v>29</v>
      </c>
      <c r="C6" s="9">
        <f>COUNTIFS('팀배정_전체'!$B$2:$B$171,"JOY",'팀배정_전체'!$E$2:$E$171,"F")</f>
        <v>17</v>
      </c>
      <c r="D6" s="9">
        <f>COUNTIFS('팀배정_전체'!$B$2:$B$171,"JOY",'팀배정_전체'!$E$2:$E$171,"M")</f>
        <v>12</v>
      </c>
      <c r="E6" s="19">
        <f t="shared" ref="E6:E12" si="1">IF($B6=0,"",$C6/$B6)</f>
        <v>0.5862068966</v>
      </c>
      <c r="F6" s="9">
        <f>COUNTIFS('팀배정_전체'!$B$2:$B$171,"JOY",'팀배정_전체'!$F$2:$F$171,"S")+COUNTIFS('팀배정_전체'!$B$2:$B$171,"JOY",'팀배정_전체'!$F$2:$F$171,"M")</f>
        <v>13</v>
      </c>
      <c r="G6" s="9">
        <f t="shared" ref="G6:G11" si="2">$B6-$F6</f>
        <v>16</v>
      </c>
    </row>
    <row r="7">
      <c r="A7" s="21" t="s">
        <v>20</v>
      </c>
      <c r="B7" s="9">
        <f>COUNTIF('팀배정_전체'!$B$2:$B$171,"SADNESS")</f>
        <v>28</v>
      </c>
      <c r="C7" s="9">
        <f>COUNTIFS('팀배정_전체'!$B$2:$B$171,"SADNESS",'팀배정_전체'!$E$2:$E$171,"F")</f>
        <v>17</v>
      </c>
      <c r="D7" s="9">
        <f>COUNTIFS('팀배정_전체'!$B$2:$B$171,"SADNESS",'팀배정_전체'!$E$2:$E$171,"M")</f>
        <v>11</v>
      </c>
      <c r="E7" s="19">
        <f t="shared" si="1"/>
        <v>0.6071428571</v>
      </c>
      <c r="F7" s="9">
        <f>COUNTIFS('팀배정_전체'!$B$2:$B$171,"SADNESS",'팀배정_전체'!$F$2:$F$171,"S")+COUNTIFS('팀배정_전체'!$B$2:$B$171,"SADNESS",'팀배정_전체'!$F$2:$F$171,"M")</f>
        <v>17</v>
      </c>
      <c r="G7" s="9">
        <f t="shared" si="2"/>
        <v>11</v>
      </c>
    </row>
    <row r="8">
      <c r="A8" s="22" t="s">
        <v>25</v>
      </c>
      <c r="B8" s="9">
        <f>COUNTIF('팀배정_전체'!$B$2:$B$171,"ANGER")</f>
        <v>28</v>
      </c>
      <c r="C8" s="9">
        <f>COUNTIFS('팀배정_전체'!$B$2:$B$171,"ANGER",'팀배정_전체'!$E$2:$E$171,"F")</f>
        <v>17</v>
      </c>
      <c r="D8" s="9">
        <f>COUNTIFS('팀배정_전체'!$B$2:$B$171,"ANGER",'팀배정_전체'!$E$2:$E$171,"M")</f>
        <v>11</v>
      </c>
      <c r="E8" s="19">
        <f t="shared" si="1"/>
        <v>0.6071428571</v>
      </c>
      <c r="F8" s="9">
        <f>COUNTIFS('팀배정_전체'!$B$2:$B$171,"ANGER",'팀배정_전체'!$F$2:$F$171,"S")+COUNTIFS('팀배정_전체'!$B$2:$B$171,"ANGER",'팀배정_전체'!$F$2:$F$171,"M")</f>
        <v>12</v>
      </c>
      <c r="G8" s="9">
        <f t="shared" si="2"/>
        <v>16</v>
      </c>
    </row>
    <row r="9">
      <c r="A9" s="23" t="s">
        <v>31</v>
      </c>
      <c r="B9" s="9">
        <f>COUNTIF('팀배정_전체'!$B$2:$B$171,"DISGUST")</f>
        <v>28</v>
      </c>
      <c r="C9" s="9">
        <f>COUNTIFS('팀배정_전체'!$B$2:$B$171,"DISGUST",'팀배정_전체'!$E$2:$E$171,"F")</f>
        <v>16</v>
      </c>
      <c r="D9" s="9">
        <f>COUNTIFS('팀배정_전체'!$B$2:$B$171,"DISGUST",'팀배정_전체'!$E$2:$E$171,"M")</f>
        <v>12</v>
      </c>
      <c r="E9" s="19">
        <f t="shared" si="1"/>
        <v>0.5714285714</v>
      </c>
      <c r="F9" s="9">
        <f>COUNTIFS('팀배정_전체'!$B$2:$B$171,"DISGUST",'팀배정_전체'!$F$2:$F$171,"S")+COUNTIFS('팀배정_전체'!$B$2:$B$171,"DISGUST",'팀배정_전체'!$F$2:$F$171,"M")</f>
        <v>14</v>
      </c>
      <c r="G9" s="9">
        <f t="shared" si="2"/>
        <v>14</v>
      </c>
    </row>
    <row r="10">
      <c r="A10" s="24" t="s">
        <v>32</v>
      </c>
      <c r="B10" s="9">
        <f>COUNTIF('팀배정_전체'!$B$2:$B$171,"FEAR")</f>
        <v>28</v>
      </c>
      <c r="C10" s="9">
        <f>COUNTIFS('팀배정_전체'!$B$2:$B$171,"FEAR",'팀배정_전체'!$E$2:$E$171,"F")</f>
        <v>17</v>
      </c>
      <c r="D10" s="9">
        <f>COUNTIFS('팀배정_전체'!$B$2:$B$171,"FEAR",'팀배정_전체'!$E$2:$E$171,"M")</f>
        <v>11</v>
      </c>
      <c r="E10" s="19">
        <f t="shared" si="1"/>
        <v>0.6071428571</v>
      </c>
      <c r="F10" s="9">
        <f>COUNTIFS('팀배정_전체'!$B$2:$B$171,"FEAR",'팀배정_전체'!$F$2:$F$171,"S")+COUNTIFS('팀배정_전체'!$B$2:$B$171,"FEAR",'팀배정_전체'!$F$2:$F$171,"M")</f>
        <v>8</v>
      </c>
      <c r="G10" s="9">
        <f t="shared" si="2"/>
        <v>20</v>
      </c>
    </row>
    <row r="11">
      <c r="A11" s="25" t="s">
        <v>33</v>
      </c>
      <c r="B11" s="9">
        <f>COUNTIF('팀배정_전체'!$B$2:$B$171,"ANXIETY")</f>
        <v>29</v>
      </c>
      <c r="C11" s="9">
        <f>COUNTIFS('팀배정_전체'!$B$2:$B$171,"ANXIETY",'팀배정_전체'!$E$2:$E$171,"F")</f>
        <v>17</v>
      </c>
      <c r="D11" s="9">
        <f>COUNTIFS('팀배정_전체'!$B$2:$B$171,"ANXIETY",'팀배정_전체'!$E$2:$E$171,"M")</f>
        <v>12</v>
      </c>
      <c r="E11" s="19">
        <f t="shared" si="1"/>
        <v>0.5862068966</v>
      </c>
      <c r="F11" s="9">
        <f>COUNTIFS('팀배정_전체'!$B$2:$B$171,"ANXIETY",'팀배정_전체'!$F$2:$F$171,"S")+COUNTIFS('팀배정_전체'!$B$2:$B$171,"ANXIETY",'팀배정_전체'!$F$2:$F$171,"M")</f>
        <v>13</v>
      </c>
      <c r="G11" s="9">
        <f t="shared" si="2"/>
        <v>16</v>
      </c>
    </row>
    <row r="12">
      <c r="A12" s="26" t="s">
        <v>116</v>
      </c>
      <c r="B12" s="27">
        <f t="shared" ref="B12:D12" si="3">SUM(B6:B11)</f>
        <v>170</v>
      </c>
      <c r="C12" s="27">
        <f t="shared" si="3"/>
        <v>101</v>
      </c>
      <c r="D12" s="27">
        <f t="shared" si="3"/>
        <v>69</v>
      </c>
      <c r="E12" s="28">
        <f t="shared" si="1"/>
        <v>0.5941176471</v>
      </c>
      <c r="F12" s="27">
        <f t="shared" ref="F12:G12" si="4">SUM(F6:F11)</f>
        <v>77</v>
      </c>
      <c r="G12" s="27">
        <f t="shared" si="4"/>
        <v>93</v>
      </c>
    </row>
    <row r="15">
      <c r="A15" s="5" t="s">
        <v>120</v>
      </c>
    </row>
    <row r="16">
      <c r="A16" s="2" t="s">
        <v>122</v>
      </c>
      <c r="B16" s="2" t="s">
        <v>123</v>
      </c>
      <c r="C16" s="2" t="s">
        <v>125</v>
      </c>
    </row>
    <row r="17">
      <c r="A17" s="29" t="s">
        <v>128</v>
      </c>
      <c r="B17" s="9">
        <f>COUNTA('팀배정_전체'!$C$2:$C$171)</f>
        <v>170</v>
      </c>
      <c r="C17" s="30" t="str">
        <f>IF($B17=170,"OK","확인")</f>
        <v>OK</v>
      </c>
    </row>
    <row r="18">
      <c r="A18" s="29" t="s">
        <v>134</v>
      </c>
      <c r="B18" s="9">
        <f>SUM($B6:$B11)</f>
        <v>170</v>
      </c>
      <c r="C18" s="30" t="str">
        <f>IF($B18=$B17,"OK","확인")</f>
        <v>OK</v>
      </c>
    </row>
    <row r="19">
      <c r="A19" s="29" t="s">
        <v>140</v>
      </c>
      <c r="B19" s="9">
        <f>COUNTBLANK('팀배정_전체'!$B$2:$B$171)</f>
        <v>0</v>
      </c>
      <c r="C19" s="30" t="str">
        <f t="shared" ref="C19:C22" si="5">IF($B19=0,"OK","확인")</f>
        <v>OK</v>
      </c>
    </row>
    <row r="20">
      <c r="A20" s="29" t="s">
        <v>145</v>
      </c>
      <c r="B20" s="9">
        <f t="array" ref="B20">SUMPRODUCT(('팀배정_전체'!$C$2:$C$171&lt;&gt;"")*(COUNTIF('팀배정_전체'!$C$2:$C$171,'팀배정_전체'!$C$2:$C$171)&gt;1))</f>
        <v>0</v>
      </c>
      <c r="C20" s="30" t="str">
        <f t="shared" si="5"/>
        <v>OK</v>
      </c>
    </row>
    <row r="21" ht="15.75" customHeight="1">
      <c r="A21" s="29" t="s">
        <v>161</v>
      </c>
      <c r="B21" s="9">
        <f t="array" ref="B21">SUMPRODUCT(('팀배정_전체'!$D$2:$D$171&lt;&gt;"")*(COUNTIF('팀배정_전체'!$D$2:$D$171,'팀배정_전체'!$D$2:$D$171)&gt;1))</f>
        <v>0</v>
      </c>
      <c r="C21" s="30" t="str">
        <f t="shared" si="5"/>
        <v>OK</v>
      </c>
    </row>
    <row r="22" ht="15.75" customHeight="1">
      <c r="A22" s="29" t="s">
        <v>172</v>
      </c>
      <c r="B22" s="9">
        <f>SUMPRODUCT((LEN('팀배정_전체'!$D$2:$D$171)&lt;&gt;10)*1)</f>
        <v>0</v>
      </c>
      <c r="C22" s="30" t="str">
        <f t="shared" si="5"/>
        <v>OK</v>
      </c>
    </row>
    <row r="23" ht="15.75" customHeight="1">
      <c r="A23" s="29" t="s">
        <v>176</v>
      </c>
      <c r="B23" s="9">
        <f>COUNTA('팀별_명단'!$A$5:$A$34)+COUNTA('팀별_명단'!$E$5:$E$34)+COUNTA('팀별_명단'!$I$5:$I$34)+COUNTA('팀별_명단'!$M$5:$M$34)+COUNTA('팀별_명단'!$Q$5:$Q$34)+COUNTA('팀별_명단'!$U$5:$U$34)</f>
        <v>170</v>
      </c>
      <c r="C23" s="30" t="str">
        <f>IF($B23=$B17,"OK","확인")</f>
        <v>OK</v>
      </c>
    </row>
    <row r="24" ht="15.75" customHeight="1">
      <c r="A24" s="29" t="s">
        <v>186</v>
      </c>
      <c r="B24" s="9">
        <f>COUNTIF('팀배정_전체'!$K$2:$K$171,"확인")</f>
        <v>0</v>
      </c>
      <c r="C24" s="30" t="str">
        <f>IF($B24=0,"OK","확인")</f>
        <v>OK</v>
      </c>
    </row>
    <row r="25" ht="15.75" customHeight="1">
      <c r="A25" s="29" t="s">
        <v>191</v>
      </c>
      <c r="B25" s="9">
        <f>MAX($B6:$B11)-MIN($B6:$B11)</f>
        <v>1</v>
      </c>
      <c r="C25" s="30" t="str">
        <f>IF($B25&lt;=1,"OK","확인")</f>
        <v>OK</v>
      </c>
    </row>
    <row r="26" ht="15.75" customHeight="1">
      <c r="A26" s="29" t="s">
        <v>197</v>
      </c>
      <c r="B26" s="9">
        <f>MAX($C6:$C11)-MIN($C6:$C11)</f>
        <v>1</v>
      </c>
      <c r="C26" s="30" t="str">
        <f>IF($B26&lt;=2,"OK","확인")</f>
        <v>OK</v>
      </c>
    </row>
    <row r="27" ht="15.75" customHeight="1">
      <c r="A27" s="29" t="s">
        <v>201</v>
      </c>
      <c r="B27" s="9">
        <f>COUNTIF('팀배정_전체'!$L$2:$L$171,"확인")</f>
        <v>0</v>
      </c>
      <c r="C27" s="30" t="str">
        <f>IF($B27=0,"OK","확인")</f>
        <v>OK</v>
      </c>
    </row>
    <row r="28" ht="15.75" customHeight="1">
      <c r="A28" s="29" t="s">
        <v>207</v>
      </c>
      <c r="B28" s="9">
        <f>SUMPRODUCT(('팀배정_전체'!$J$2:$J$171&lt;&gt;"")*1)</f>
        <v>92</v>
      </c>
      <c r="C28" s="30" t="str">
        <f>IF($B28&gt;0,"OK","확인")</f>
        <v>OK</v>
      </c>
    </row>
    <row r="29" ht="15.75" customHeight="1"/>
    <row r="30" ht="15.75" customHeight="1">
      <c r="A30" s="5" t="s">
        <v>211</v>
      </c>
    </row>
    <row r="31" ht="15.75" customHeight="1">
      <c r="A31" s="2" t="s">
        <v>212</v>
      </c>
      <c r="B31" s="1" t="s">
        <v>59</v>
      </c>
      <c r="C31" s="1" t="s">
        <v>27</v>
      </c>
      <c r="D31" s="1" t="s">
        <v>28</v>
      </c>
      <c r="E31" s="1" t="s">
        <v>55</v>
      </c>
      <c r="F31" s="1" t="s">
        <v>79</v>
      </c>
      <c r="G31" s="1" t="s">
        <v>83</v>
      </c>
      <c r="H31" s="2" t="s">
        <v>116</v>
      </c>
    </row>
    <row r="32" ht="15.75" customHeight="1">
      <c r="A32" s="31" t="s">
        <v>218</v>
      </c>
      <c r="B32" s="9">
        <f>COUNTIF('팀배정_전체'!$F$2:$F$171,"S")</f>
        <v>17</v>
      </c>
      <c r="C32" s="9">
        <f>COUNTIF('팀배정_전체'!$F$2:$F$171,"M")</f>
        <v>60</v>
      </c>
      <c r="D32" s="9">
        <f>COUNTIF('팀배정_전체'!$F$2:$F$171,"L")</f>
        <v>56</v>
      </c>
      <c r="E32" s="9">
        <f>COUNTIF('팀배정_전체'!$F$2:$F$171,"XL")</f>
        <v>21</v>
      </c>
      <c r="F32" s="9">
        <f>COUNTIF('팀배정_전체'!$F$2:$F$171,"2XL")</f>
        <v>11</v>
      </c>
      <c r="G32" s="9">
        <f>COUNTIF('팀배정_전체'!$F$2:$F$171,"3XL")</f>
        <v>5</v>
      </c>
      <c r="H32" s="9">
        <f>SUM(B32:G32)</f>
        <v>170</v>
      </c>
    </row>
    <row r="33" ht="15.75" customHeight="1"/>
    <row r="34" ht="15.75" customHeight="1">
      <c r="A34" s="5" t="s">
        <v>232</v>
      </c>
    </row>
    <row r="35" ht="15.75" customHeight="1">
      <c r="A35" s="14" t="s">
        <v>233</v>
      </c>
      <c r="B35" s="32">
        <f>COUNTIF('팀배정_전체'!$G$2:$G$171,"Seoul")</f>
        <v>128</v>
      </c>
    </row>
    <row r="36" ht="15.75" customHeight="1">
      <c r="A36" s="14" t="s">
        <v>239</v>
      </c>
      <c r="B36" s="32">
        <f>COUNTIF('팀배정_전체'!$G$2:$G$171,"Suwon")</f>
        <v>42</v>
      </c>
    </row>
    <row r="37" ht="15.75" customHeight="1">
      <c r="A37" s="33" t="s">
        <v>242</v>
      </c>
      <c r="B37" s="32">
        <f>MAX(0,$B35-80)</f>
        <v>48</v>
      </c>
    </row>
    <row r="38" ht="15.75" customHeight="1"/>
    <row r="39" ht="15.75" customHeight="1">
      <c r="A39" s="5" t="s">
        <v>246</v>
      </c>
    </row>
    <row r="40" ht="15.75" customHeight="1">
      <c r="A40" s="2" t="s">
        <v>247</v>
      </c>
      <c r="B40" s="34" t="s">
        <v>249</v>
      </c>
      <c r="C40" s="35"/>
      <c r="D40" s="35"/>
      <c r="E40" s="35"/>
      <c r="F40" s="36"/>
    </row>
    <row r="41" ht="15.75" customHeight="1">
      <c r="A41" s="29" t="s">
        <v>254</v>
      </c>
      <c r="B41" s="37" t="s">
        <v>255</v>
      </c>
      <c r="C41" s="35"/>
      <c r="D41" s="35"/>
      <c r="E41" s="35"/>
      <c r="F41" s="36"/>
    </row>
    <row r="42" ht="15.75" customHeight="1">
      <c r="A42" s="14" t="s">
        <v>258</v>
      </c>
      <c r="B42" s="37" t="s">
        <v>260</v>
      </c>
      <c r="C42" s="35"/>
      <c r="D42" s="35"/>
      <c r="E42" s="35"/>
      <c r="F42" s="36"/>
    </row>
    <row r="43" ht="15.75" customHeight="1">
      <c r="A43" s="14" t="s">
        <v>262</v>
      </c>
      <c r="B43" s="37" t="s">
        <v>264</v>
      </c>
      <c r="C43" s="35"/>
      <c r="D43" s="35"/>
      <c r="E43" s="35"/>
      <c r="F43" s="36"/>
    </row>
    <row r="44" ht="15.75" customHeight="1">
      <c r="A44" s="14" t="s">
        <v>265</v>
      </c>
      <c r="B44" s="37" t="s">
        <v>266</v>
      </c>
      <c r="C44" s="35"/>
      <c r="D44" s="35"/>
      <c r="E44" s="35"/>
      <c r="F44" s="36"/>
    </row>
    <row r="45" ht="15.75" customHeight="1">
      <c r="A45" s="14" t="s">
        <v>270</v>
      </c>
      <c r="B45" s="37" t="s">
        <v>272</v>
      </c>
      <c r="C45" s="35"/>
      <c r="D45" s="35"/>
      <c r="E45" s="35"/>
      <c r="F45" s="36"/>
    </row>
    <row r="46" ht="15.75" customHeight="1">
      <c r="A46" s="14" t="s">
        <v>277</v>
      </c>
      <c r="B46" s="37" t="s">
        <v>279</v>
      </c>
      <c r="C46" s="35"/>
      <c r="D46" s="35"/>
      <c r="E46" s="35"/>
      <c r="F46" s="36"/>
    </row>
    <row r="47" ht="15.75" customHeight="1">
      <c r="A47" s="14" t="s">
        <v>281</v>
      </c>
      <c r="B47" s="37" t="s">
        <v>282</v>
      </c>
      <c r="C47" s="35"/>
      <c r="D47" s="35"/>
      <c r="E47" s="35"/>
      <c r="F47" s="36"/>
    </row>
    <row r="48" ht="15.75" customHeight="1">
      <c r="A48" s="14" t="s">
        <v>286</v>
      </c>
      <c r="B48" s="37" t="s">
        <v>288</v>
      </c>
      <c r="C48" s="35"/>
      <c r="D48" s="35"/>
      <c r="E48" s="35"/>
      <c r="F48" s="36"/>
    </row>
    <row r="49" ht="15.75" customHeight="1">
      <c r="A49" s="14" t="s">
        <v>290</v>
      </c>
      <c r="B49" s="37" t="s">
        <v>291</v>
      </c>
      <c r="C49" s="35"/>
      <c r="D49" s="35"/>
      <c r="E49" s="35"/>
      <c r="F49" s="36"/>
    </row>
    <row r="50" ht="15.75" customHeight="1">
      <c r="A50" s="14" t="s">
        <v>293</v>
      </c>
      <c r="B50" s="37" t="s">
        <v>294</v>
      </c>
      <c r="C50" s="35"/>
      <c r="D50" s="35"/>
      <c r="E50" s="35"/>
      <c r="F50" s="36"/>
    </row>
    <row r="51" ht="15.75" customHeight="1">
      <c r="A51" s="14" t="s">
        <v>297</v>
      </c>
      <c r="B51" s="37" t="s">
        <v>298</v>
      </c>
      <c r="C51" s="35"/>
      <c r="D51" s="35"/>
      <c r="E51" s="35"/>
      <c r="F51" s="36"/>
    </row>
    <row r="52" ht="15.75" customHeight="1">
      <c r="A52" s="14" t="s">
        <v>166</v>
      </c>
      <c r="B52" s="37" t="s">
        <v>301</v>
      </c>
      <c r="C52" s="35"/>
      <c r="D52" s="35"/>
      <c r="E52" s="35"/>
      <c r="F52" s="36"/>
    </row>
    <row r="53" ht="15.75" customHeight="1">
      <c r="A53" s="14" t="s">
        <v>305</v>
      </c>
      <c r="B53" s="37" t="s">
        <v>301</v>
      </c>
      <c r="C53" s="35"/>
      <c r="D53" s="35"/>
      <c r="E53" s="35"/>
      <c r="F53" s="36"/>
    </row>
    <row r="54" ht="15.75" customHeight="1">
      <c r="A54" s="14" t="s">
        <v>306</v>
      </c>
      <c r="B54" s="37" t="s">
        <v>301</v>
      </c>
      <c r="C54" s="35"/>
      <c r="D54" s="35"/>
      <c r="E54" s="35"/>
      <c r="F54" s="36"/>
    </row>
    <row r="55" ht="15.75" customHeight="1">
      <c r="A55" s="14" t="s">
        <v>307</v>
      </c>
      <c r="B55" s="37" t="s">
        <v>301</v>
      </c>
      <c r="C55" s="35"/>
      <c r="D55" s="35"/>
      <c r="E55" s="35"/>
      <c r="F55" s="36"/>
    </row>
    <row r="56" ht="15.75" customHeight="1">
      <c r="A56" s="14" t="s">
        <v>192</v>
      </c>
      <c r="B56" s="37" t="s">
        <v>308</v>
      </c>
      <c r="C56" s="35"/>
      <c r="D56" s="35"/>
      <c r="E56" s="35"/>
      <c r="F56" s="36"/>
    </row>
    <row r="57" ht="15.75" customHeight="1">
      <c r="A57" s="14" t="s">
        <v>90</v>
      </c>
      <c r="B57" s="37" t="s">
        <v>310</v>
      </c>
      <c r="C57" s="35"/>
      <c r="D57" s="35"/>
      <c r="E57" s="35"/>
      <c r="F57" s="36"/>
    </row>
    <row r="58" ht="15.75" customHeight="1">
      <c r="A58" s="14" t="s">
        <v>312</v>
      </c>
      <c r="B58" s="37" t="s">
        <v>313</v>
      </c>
      <c r="C58" s="35"/>
      <c r="D58" s="35"/>
      <c r="E58" s="35"/>
      <c r="F58" s="36"/>
    </row>
    <row r="59" ht="15.75" customHeight="1">
      <c r="A59" s="14" t="s">
        <v>220</v>
      </c>
      <c r="B59" s="37" t="s">
        <v>314</v>
      </c>
      <c r="C59" s="35"/>
      <c r="D59" s="35"/>
      <c r="E59" s="35"/>
      <c r="F59" s="36"/>
    </row>
    <row r="60" ht="15.75" customHeight="1">
      <c r="A60" s="14" t="s">
        <v>304</v>
      </c>
      <c r="B60" s="37" t="s">
        <v>315</v>
      </c>
      <c r="C60" s="35"/>
      <c r="D60" s="35"/>
      <c r="E60" s="35"/>
      <c r="F60" s="36"/>
    </row>
    <row r="61" ht="15.75" customHeight="1">
      <c r="A61" s="14" t="s">
        <v>107</v>
      </c>
      <c r="B61" s="37" t="s">
        <v>316</v>
      </c>
      <c r="C61" s="35"/>
      <c r="D61" s="35"/>
      <c r="E61" s="35"/>
      <c r="F61" s="36"/>
    </row>
    <row r="62" ht="15.75" customHeight="1">
      <c r="A62" s="14" t="s">
        <v>133</v>
      </c>
      <c r="B62" s="37" t="s">
        <v>318</v>
      </c>
      <c r="C62" s="35"/>
      <c r="D62" s="35"/>
      <c r="E62" s="35"/>
      <c r="F62" s="36"/>
    </row>
    <row r="63" ht="15.75" customHeight="1">
      <c r="A63" s="14" t="s">
        <v>119</v>
      </c>
      <c r="B63" s="37" t="s">
        <v>319</v>
      </c>
      <c r="C63" s="35"/>
      <c r="D63" s="35"/>
      <c r="E63" s="35"/>
      <c r="F63" s="36"/>
    </row>
    <row r="64" ht="15.75" customHeight="1">
      <c r="A64" s="14" t="s">
        <v>273</v>
      </c>
      <c r="B64" s="37" t="s">
        <v>320</v>
      </c>
      <c r="C64" s="35"/>
      <c r="D64" s="35"/>
      <c r="E64" s="35"/>
      <c r="F64" s="36"/>
    </row>
    <row r="65" ht="15.75" customHeight="1">
      <c r="A65" s="14" t="s">
        <v>214</v>
      </c>
      <c r="B65" s="37" t="s">
        <v>322</v>
      </c>
      <c r="C65" s="35"/>
      <c r="D65" s="35"/>
      <c r="E65" s="35"/>
      <c r="F65" s="36"/>
    </row>
    <row r="66" ht="15.75" customHeight="1">
      <c r="A66" s="14" t="s">
        <v>204</v>
      </c>
      <c r="B66" s="37" t="s">
        <v>324</v>
      </c>
      <c r="C66" s="35"/>
      <c r="D66" s="35"/>
      <c r="E66" s="35"/>
      <c r="F66" s="36"/>
    </row>
    <row r="67" ht="15.75" customHeight="1">
      <c r="A67" s="14" t="s">
        <v>163</v>
      </c>
      <c r="B67" s="37" t="s">
        <v>325</v>
      </c>
      <c r="C67" s="35"/>
      <c r="D67" s="35"/>
      <c r="E67" s="35"/>
      <c r="F67" s="36"/>
    </row>
    <row r="68" ht="15.75" customHeight="1">
      <c r="A68" s="14" t="s">
        <v>326</v>
      </c>
      <c r="B68" s="37" t="s">
        <v>327</v>
      </c>
      <c r="C68" s="35"/>
      <c r="D68" s="35"/>
      <c r="E68" s="35"/>
      <c r="F68" s="36"/>
    </row>
    <row r="69" ht="15.75" customHeight="1">
      <c r="A69" s="14" t="s">
        <v>60</v>
      </c>
      <c r="B69" s="37" t="s">
        <v>328</v>
      </c>
      <c r="C69" s="35"/>
      <c r="D69" s="35"/>
      <c r="E69" s="35"/>
      <c r="F69" s="36"/>
    </row>
    <row r="70" ht="15.75" customHeight="1">
      <c r="A70" s="14" t="s">
        <v>173</v>
      </c>
      <c r="B70" s="37" t="s">
        <v>330</v>
      </c>
      <c r="C70" s="35"/>
      <c r="D70" s="35"/>
      <c r="E70" s="35"/>
      <c r="F70" s="36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8:F68"/>
    <mergeCell ref="B69:F69"/>
    <mergeCell ref="B70:F70"/>
    <mergeCell ref="B61:F61"/>
    <mergeCell ref="B62:F62"/>
    <mergeCell ref="B63:F63"/>
    <mergeCell ref="B64:F64"/>
    <mergeCell ref="B65:F65"/>
    <mergeCell ref="B66:F66"/>
    <mergeCell ref="B67:F67"/>
  </mergeCells>
  <conditionalFormatting sqref="C17:C28">
    <cfRule type="cellIs" dxfId="0" priority="1" operator="equal">
      <formula>"OK"</formula>
    </cfRule>
  </conditionalFormatting>
  <conditionalFormatting sqref="C17:C28">
    <cfRule type="cellIs" dxfId="1" priority="2" operator="equal">
      <formula>"확인"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2026-09-07T04:44:37Z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