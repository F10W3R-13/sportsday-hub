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. 예산안" sheetId="1" r:id="rId5"/>
  </sheets>
  <definedNames/>
  <calcPr/>
</workbook>
</file>

<file path=xl/sharedStrings.xml><?xml version="1.0" encoding="utf-8"?>
<sst xmlns="http://schemas.openxmlformats.org/spreadsheetml/2006/main" count="129" uniqueCount="104">
  <si>
    <t>행사 예산안</t>
  </si>
  <si>
    <t>기획부</t>
  </si>
  <si>
    <t>총무부</t>
  </si>
  <si>
    <t>회장단</t>
  </si>
  <si>
    <t>행사명</t>
  </si>
  <si>
    <t>HI-Side Out</t>
  </si>
  <si>
    <t>구분</t>
  </si>
  <si>
    <t>필참/자율</t>
  </si>
  <si>
    <t>행사 일자</t>
  </si>
  <si>
    <t>9/20(일)</t>
  </si>
  <si>
    <t>시간</t>
  </si>
  <si>
    <t>장소</t>
  </si>
  <si>
    <t>성균관대학교 자연과학캠퍼스 대운동장</t>
  </si>
  <si>
    <t>품목</t>
  </si>
  <si>
    <t>개수</t>
  </si>
  <si>
    <t>단일가격</t>
  </si>
  <si>
    <t>총 금액</t>
  </si>
  <si>
    <t>주문처</t>
  </si>
  <si>
    <t>비고</t>
  </si>
  <si>
    <t>점심</t>
  </si>
  <si>
    <t>점심(논비건) - 맘스터치 불고기버거 단품 (하클)</t>
  </si>
  <si>
    <t>맘스터치</t>
  </si>
  <si>
    <t>맘스터치 수원성균관대점</t>
  </si>
  <si>
    <t>국제처 지원</t>
  </si>
  <si>
    <t>점심(논비건) - 맘스터치 불고기버거 단품 (교환)</t>
  </si>
  <si>
    <t>점심(비건) - 서브웨이 베지</t>
  </si>
  <si>
    <t>서브웨이</t>
  </si>
  <si>
    <t>써브웨이 수원성균관대점</t>
  </si>
  <si>
    <t>단체티</t>
  </si>
  <si>
    <t>단체티 - 하이클럽</t>
  </si>
  <si>
    <t>단티</t>
  </si>
  <si>
    <t>https://www.dantee.co.kr/estimate/estimate_register.php?mode=update&amp;estimateNo=2608170901037278&amp;pwtoken=668a2ae597a601d877a24840626bb6e7</t>
  </si>
  <si>
    <t>단체티 - 교환학생</t>
  </si>
  <si>
    <t>음료</t>
  </si>
  <si>
    <t>(물) 탐사수 무라벨 500ml*200개 (총 400개)</t>
  </si>
  <si>
    <t>쿠팡</t>
  </si>
  <si>
    <t>https://www.coupang.com/vp/products/5625704601?itemId=19013170090&amp;vendorItemId=86137790576&amp;q=%EB%AC%BC+500ml&amp;searchId=0382ea52557456&amp;sourceType=search&amp;itemsCount=60&amp;searchRank=3&amp;rank=3&amp;traceId=mt2eofot</t>
  </si>
  <si>
    <t>(음료) 게토레이 레몬 300ml*120개 (총 216개)</t>
  </si>
  <si>
    <t>https://www.coupang.com/vp/products/1650278?itemId=28712633479&amp;vendorItemId=95653362582&amp;q=%EA%B2%8C%ED%86%A0%EB%A0%9D&amp;searchId=2395745a1367533&amp;sourceType=search&amp;itemsCount=60&amp;searchRank=8&amp;rank=8&amp;traceId=mt2f5sxp</t>
  </si>
  <si>
    <t>(음료) 게토레이 레몬 300ml*48개</t>
  </si>
  <si>
    <t>https://www.coupang.com/vp/products/1650278?itemId=28712633427&amp;vendorItemId=95653362488&amp;q=%EA%B2%8C%ED%86%A0%EB%A0%9D&amp;searchId=2395745a1367533&amp;sourceType=search&amp;itemsCount=60&amp;searchRank=2&amp;rank=2&amp;traceId=mt2f100r</t>
  </si>
  <si>
    <t>간식</t>
  </si>
  <si>
    <t>(간식/비건) 소이조이 바나나 비건 단백질바 (총 12개)</t>
  </si>
  <si>
    <t>https://www.coupang.com/vp/products/8532976813?itemId=24699868616&amp;vendorItemId=91805941787&amp;q=%EC%86%8C%EC%9D%B4%EC%A1%B0%EC%9D%B4+%EB%B0%94%EB%82%98%EB%82%98&amp;searchId=8750072010036413&amp;sourceType=search&amp;itemsCount=60&amp;searchRank=0&amp;rank=0&amp;traceId=mt84v2zo</t>
  </si>
  <si>
    <t>(간식/논비건) 닥터유 에너지바 468g*17개*3set (총 204개)</t>
  </si>
  <si>
    <t>https://www.coupang.com/vp/products/7673161101?itemId=24413510888&amp;vendorItemId=87875617274&amp;pickType=COU_PICK&amp;q=%EC%97%90%EB%84%88%EC%A7%80%EB%B0%94&amp;searchId=f1b9a167102846&amp;sourceType=search&amp;itemsCount=36&amp;searchRank=3&amp;rank=3&amp;traceId=mfe3bg0v</t>
  </si>
  <si>
    <t>(간식) 피크닉 제로 사과 200ml*72개 (총 216개)</t>
  </si>
  <si>
    <t>https://www.coupang.com/vp/products/8174361304?itemId=23357891959&amp;vendorItemId=90388433128&amp;q=%ED%94%BC%ED%81%AC%EB%8B%89+150&amp;searchId=1e979de82931692&amp;sourceType=search&amp;itemsCount=60&amp;searchRank=3&amp;rank=3&amp;traceId=mt2ktzn0</t>
  </si>
  <si>
    <t>미니게임 상품</t>
  </si>
  <si>
    <t>필름카메라 - 뽑기 1등</t>
  </si>
  <si>
    <t>https://www.coupang.com/vp/products/1229026000?itemId=2615169514&amp;vendorItemId=70219517467&amp;sourceType=srp_product_ads&amp;clickEventId=4d1c75f0-9fd4-11f1-968e-040cd98f927a&amp;korePlacement=15&amp;koreSubPlacement=1&amp;clickEventId=4d1c75f0-9fd4-11f1-968e-040cd98f927a&amp;korePlacement=15&amp;koreSubPlacement=1&amp;traceId=mt7f4w9f</t>
  </si>
  <si>
    <t>청자 컵받침 2개 set - 뽑기 2등</t>
  </si>
  <si>
    <t>https://www.coupang.com/vp/products/9015327019?itemId=26386783090&amp;vendorItemId=93363171718&amp;src=1191000&amp;spec=10999999&amp;addtag=400&amp;ctag=9015327019&amp;lptag=CFM26106227&amp;itime=20260825190527&amp;pageType=PRODUCT&amp;pageValue=9015327019&amp;wPcid=17710817385244215922503&amp;wRef=www.google.com&amp;wTime=20260825190527&amp;redirect=landing&amp;abTestInfo=&amp;mcid=4d174f5ae4a941d68e5aab18c8029e0d&amp;sharesource=sharebutton&amp;style=&amp;isshortened=Y&amp;settlement=N</t>
  </si>
  <si>
    <t>한복 노리개 5개 set - 뽑기 3등</t>
  </si>
  <si>
    <t>https://www.coupang.com/vp/products/9126824833?itemId=26850949885&amp;vendorItemId=93820771518&amp;src=1191000&amp;spec=10999999&amp;addtag=400&amp;ctag=9126824833&amp;lptag=CFM26106227&amp;itime=20260825191218&amp;pageType=PRODUCT&amp;pageValue=9126824833&amp;wPcid=17710817385244215922503&amp;wRef=www.google.com&amp;wTime=20260825191218&amp;redirect=landing&amp;abTestInfo=&amp;mcid=e0e8f3045cea43b791325c066df94733&amp;sharesource=sharebutton&amp;style=&amp;isshortened=Y&amp;settlement=N</t>
  </si>
  <si>
    <t>서울여행엽서 40개 set - 뽑기 4등</t>
  </si>
  <si>
    <t>https://www.coupang.com/vp/products/8533344634?itemId=24701246961&amp;vendorItemId=91710894449&amp;src=1191000&amp;spec=10999999&amp;addtag=400&amp;ctag=8533344634&amp;lptag=CFM26106227&amp;itime=20260825190835&amp;pageType=PRODUCT&amp;pageValue=8533344634&amp;wPcid=17710817385244215922503&amp;wRef=www.google.com&amp;wTime=20260825190835&amp;redirect=landing&amp;abTestInfo=&amp;mcid=23b8afa5e20d4c3c873de9794f88a4d2&amp;sharesource=sharebutton&amp;style=&amp;isshortened=Y&amp;settlement=N</t>
  </si>
  <si>
    <t>한입꼬마약과 1kg (100개) - 뽑기 5등</t>
  </si>
  <si>
    <t>https://www.coupang.com/vp/products/7203904313?itemId=21668114878&amp;vendorItemId=91452418243&amp;sourceType=srp_product_ads&amp;clickEventId=547e4f60-342e-11f1-a918-8f098ceba0fb&amp;korePlacement=15&amp;koreSubPlacement=1&amp;clickEventId=547e4f60-342e-11f1-a918-8f098ceba0fb&amp;korePlacement=15&amp;koreSubPlacement=1&amp;traceId=mnro9y77</t>
  </si>
  <si>
    <t>게임 물품</t>
  </si>
  <si>
    <t>우승 메달 30개 set</t>
  </si>
  <si>
    <t>https://www.coupang.com/vp/products/8420848374?itemId=24356105256&amp;vendorItemId=91371489503&amp;q=%EA%B8%88%EB%A9%94%EB%8B%AC+30%EA%B0%9C&amp;searchId=f6e0d804196193&amp;sourceType=search&amp;itemsCount=60&amp;searchRank=0&amp;rank=0&amp;traceId=mt7e5biz</t>
  </si>
  <si>
    <t>여자 한복 곰돌이 키링(선물포장) - 우승 상품</t>
  </si>
  <si>
    <t>https://www.coupang.com/vp/products/9644393705?itemId=28820360636&amp;vendorItemId=92379360232&amp;q=%ED%95%9C%EB%B3%B5+%ED%85%8C%EB%94%94%EB%B2%A0%EC%96%B4&amp;searchId=4751b41f6345277&amp;sourceType=search&amp;itemsCount=60&amp;searchRank=18&amp;rank=18&amp;traceId=mtlmkycs</t>
  </si>
  <si>
    <t>남자 한복 곰돌이 키링(선물포장) - 우승 상품</t>
  </si>
  <si>
    <t>https://www.coupang.com/vp/products/9644393705?itemId=28820360632&amp;vendorItemId=92379360204&amp;q=%ED%95%9C%EB%B3%B5+%ED%85%8C%EB%94%94%EB%B2%A0%EC%96%B4&amp;searchId=4751b41f6345277&amp;sourceType=search&amp;itemsCount=60&amp;searchRank=18&amp;rank=18&amp;traceId=mtlmkycs</t>
  </si>
  <si>
    <t>바톤*4개 (총 4개)</t>
  </si>
  <si>
    <t>https://www.coupang.com/vp/products/6936006396?itemId=16802797702&amp;vendorItemId=83983273143&amp;sourceType=srp_product_ads&amp;clickEventId=ed1621b0-9e57-11f1-b611-3c753723965f&amp;korePlacement=15&amp;koreSubPlacement=5&amp;clickEventId=ed1621b0-9e57-11f1-b611-3c753723965f&amp;korePlacement=15&amp;koreSubPlacement=5&amp;traceId=mt4pvptm</t>
  </si>
  <si>
    <t>줄다리기 줄</t>
  </si>
  <si>
    <t>https://www.coupang.com/vp/products/8787170058?itemId=23845461133&amp;vendorItemId=92635685675&amp;pickType=COU_PICK&amp;q=%EC%A4%84%EB%8B%A4%EB%A6%AC%EA%B8%B0+%EB%B0%A7%EC%A4%84&amp;searchId=4f54e3b67177886&amp;sourceType=search&amp;itemsCount=36&amp;searchRank=2&amp;rank=2&amp;traceId=mtjp9u5p</t>
  </si>
  <si>
    <t>트랙 마킹 콘 (40개)</t>
  </si>
  <si>
    <t>https://www.coupang.com/vp/products/9624877004?itemId=28743603153&amp;vendorItemId=95682830899&amp;q=%ED%8A%B8%EB%9E%99+%EC%BD%98&amp;searchId=510e137a2779059&amp;sourceType=search&amp;itemsCount=36&amp;searchRank=2&amp;rank=2&amp;traceId=mtjpa8ph</t>
  </si>
  <si>
    <t>인사이드아웃 5 캐릭터 가면 set</t>
  </si>
  <si>
    <t>https://www.coupang.com/vp/products/9614560538?itemId=28707151781&amp;vendorItemId=95648074349&amp;q=%EC%9D%B8%EC%82%AC%EC%9D%B4%EB%93%9C%EC%95%84%EC%9B%83+%EA%B0%80%EB%A9%B4&amp;searchId=fd2d6d5d11755075&amp;sourceType=search&amp;itemsCount=60&amp;searchRank=3&amp;rank=3&amp;traceId=mt7finpa</t>
  </si>
  <si>
    <t>미니 컬링 세트</t>
  </si>
  <si>
    <t>https://www.coupang.com/vp/products/9230577959?itemId=27285407279&amp;vendorItemId=94252048327&amp;sourceType=srp_product_ads&amp;clickEventId=9ad564d0-9fd6-11f1-ad9f-66b6aa976343&amp;korePlacement=15&amp;koreSubPlacement=1&amp;clickEventId=9ad564d0-9fd6-11f1-ad9f-66b6aa976343&amp;korePlacement=15&amp;koreSubPlacement=1</t>
  </si>
  <si>
    <t>점수판</t>
  </si>
  <si>
    <t>https://www.coupang.com/vp/products/115671004?itemId=346560737&amp;vendorItemId=70122412019&amp;pickType=COU_PICK&amp;q=%EC%A0%90%EC%88%98%ED%8C%90&amp;searchId=af26dc3220638601&amp;sourceType=search&amp;itemsCount=60&amp;searchRank=2&amp;rank=2&amp;traceId=mt7fvigl</t>
  </si>
  <si>
    <t>호루라기 5개 set (총 5개)</t>
  </si>
  <si>
    <t>https://www.coupang.com/vp/products/8536337026?itemId=24712001027&amp;vendorItemId=91721359780&amp;q=%ED%98%B8%EB%A3%A8%EB%9D%BC%EA%B8%B0&amp;searchId=63aab6b71950509&amp;sourceType=search&amp;itemsCount=60&amp;searchRank=2&amp;rank=2&amp;traceId=mtk6djzk</t>
  </si>
  <si>
    <t>뿅망치 3개 set (총 3개)</t>
  </si>
  <si>
    <t>https://www.coupang.com/vp/products/9289511493?itemId=27708409648&amp;vendorItemId=94669986504&amp;q=%EB%BF%85%EB%A7%9D%EC%B9%98&amp;searchId=beeb72d9101969803&amp;sourceType=search&amp;itemsCount=60&amp;searchRank=3&amp;rank=3&amp;traceId=mtk6z30y</t>
  </si>
  <si>
    <t>게임연구소 대여(배송비 착불)</t>
  </si>
  <si>
    <t xml:space="preserve">  아이스박스</t>
  </si>
  <si>
    <t>게임연구소</t>
  </si>
  <si>
    <t>https://gamerental.kr/product/detail.html?product_no=78&amp;cate_no=28</t>
  </si>
  <si>
    <t>국제처에서 직접 대여</t>
  </si>
  <si>
    <t xml:space="preserve">First Aid </t>
  </si>
  <si>
    <t xml:space="preserve">  의자</t>
  </si>
  <si>
    <t xml:space="preserve">  테이블</t>
  </si>
  <si>
    <t xml:space="preserve">  스피커</t>
  </si>
  <si>
    <t xml:space="preserve">  마이크</t>
  </si>
  <si>
    <t xml:space="preserve">  천막 (20개)</t>
  </si>
  <si>
    <t xml:space="preserve">명륜 편도 버스 </t>
  </si>
  <si>
    <t>총 지출 금액</t>
  </si>
  <si>
    <t>행사 수입(예상) 15,000원*170명</t>
  </si>
  <si>
    <t>국제처 지원 금액</t>
  </si>
  <si>
    <t>계</t>
  </si>
  <si>
    <t>티셔츠 가격</t>
  </si>
  <si>
    <t>지원</t>
  </si>
  <si>
    <t>티켓비</t>
  </si>
  <si>
    <t>수익</t>
  </si>
  <si>
    <t>지출</t>
  </si>
  <si>
    <t>잔액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</si>
</sst>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₩-412]#,##0"/>
  </numFmts>
  <fonts count="11">
    <font>
      <sz val="10.0"/>
      <color rgb="FF000000"/>
      <name val="Arial"/>
      <scheme val="minor"/>
    </font>
    <font>
      <color theme="1"/>
      <name val="Arial"/>
    </font>
    <font>
      <sz val="17.0"/>
      <color theme="1"/>
      <name val="Arial"/>
    </font>
    <font/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theme="1"/>
      <name val="Arial"/>
    </font>
    <font>
      <sz val="11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4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11" fillId="2" fontId="4" numFmtId="0" xfId="0" applyAlignment="1" applyBorder="1" applyFill="1" applyFont="1">
      <alignment horizontal="center"/>
    </xf>
    <xf borderId="12" fillId="2" fontId="4" numFmtId="0" xfId="0" applyAlignment="1" applyBorder="1" applyFill="1" applyFont="1">
      <alignment horizontal="center"/>
    </xf>
    <xf borderId="13" fillId="0" fontId="3" numFmtId="0" xfId="0" applyBorder="1" applyFont="1"/>
    <xf borderId="0" fillId="0" fontId="4" numFmtId="0" xfId="0" applyAlignment="1" applyFont="1">
      <alignment horizontal="left"/>
    </xf>
    <xf borderId="11" fillId="3" fontId="4" numFmtId="0" xfId="0" applyAlignment="1" applyBorder="1" applyFill="1" applyFont="1">
      <alignment shrinkToFit="0" wrapText="1"/>
    </xf>
    <xf borderId="11" fillId="3" fontId="4" numFmtId="0" xfId="0" applyAlignment="1" applyBorder="1" applyFill="1" applyFont="1">
      <alignment readingOrder="0"/>
    </xf>
    <xf borderId="14" fillId="3" fontId="4" numFmtId="164" xfId="0" applyBorder="1" applyFill="1" applyFont="1" applyNumberFormat="1"/>
    <xf borderId="11" fillId="3" fontId="4" numFmtId="164" xfId="0" applyBorder="1" applyFill="1" applyFont="1" applyNumberFormat="1"/>
    <xf borderId="15" fillId="3" fontId="4" numFmtId="0" xfId="0" applyBorder="1" applyFill="1" applyFont="1"/>
    <xf borderId="12" fillId="3" fontId="4" numFmtId="0" xfId="0" applyBorder="1" applyFill="1" applyFont="1"/>
    <xf borderId="16" fillId="3" fontId="4" numFmtId="0" xfId="0" applyBorder="1" applyFill="1" applyFont="1"/>
    <xf borderId="17" fillId="0" fontId="4" numFmtId="0" xfId="0" applyAlignment="1" applyBorder="1" applyFont="1">
      <alignment shrinkToFit="0" wrapText="1"/>
    </xf>
    <xf borderId="17" fillId="0" fontId="4" numFmtId="0" xfId="0" applyAlignment="1" applyBorder="1" applyFont="1">
      <alignment readingOrder="0"/>
    </xf>
    <xf borderId="18" fillId="0" fontId="4" numFmtId="164" xfId="0" applyBorder="1" applyFont="1" applyNumberFormat="1"/>
    <xf borderId="17" fillId="0" fontId="4" numFmtId="164" xfId="0" applyBorder="1" applyFont="1" applyNumberFormat="1"/>
    <xf borderId="19" fillId="0" fontId="4" numFmtId="0" xfId="0" applyBorder="1" applyFont="1"/>
    <xf borderId="18" fillId="0" fontId="4" numFmtId="0" xfId="0" applyBorder="1" applyFont="1"/>
    <xf borderId="19" fillId="0" fontId="3" numFmtId="0" xfId="0" applyBorder="1" applyFont="1"/>
    <xf borderId="17" fillId="0" fontId="4" numFmtId="0" xfId="0" applyBorder="1" applyFont="1"/>
    <xf borderId="20" fillId="3" fontId="4" numFmtId="0" xfId="0" applyBorder="1" applyFill="1" applyFont="1"/>
    <xf borderId="20" fillId="3" fontId="4" numFmtId="0" xfId="0" applyAlignment="1" applyBorder="1" applyFill="1" applyFont="1">
      <alignment readingOrder="0"/>
    </xf>
    <xf borderId="21" fillId="3" fontId="4" numFmtId="164" xfId="0" applyAlignment="1" applyBorder="1" applyFill="1" applyFont="1" applyNumberFormat="1">
      <alignment readingOrder="0"/>
    </xf>
    <xf borderId="20" fillId="3" fontId="4" numFmtId="164" xfId="0" applyBorder="1" applyFill="1" applyFont="1" applyNumberFormat="1"/>
    <xf borderId="22" fillId="3" fontId="4" numFmtId="0" xfId="0" applyBorder="1" applyFill="1" applyFont="1"/>
    <xf borderId="12" fillId="3" fontId="5" numFmtId="0" xfId="0" applyBorder="1" applyFill="1" applyFont="1"/>
    <xf borderId="0" fillId="0" fontId="4" numFmtId="0" xfId="0" applyAlignment="1" applyFont="1">
      <alignment horizontal="left" vertical="center"/>
    </xf>
    <xf borderId="18" fillId="0" fontId="6" numFmtId="0" xfId="0" applyBorder="1" applyFont="1"/>
    <xf borderId="18" fillId="0" fontId="4" numFmtId="164" xfId="0" applyAlignment="1" applyBorder="1" applyFont="1" applyNumberFormat="1">
      <alignment readingOrder="0"/>
    </xf>
    <xf borderId="19" fillId="0" fontId="4" numFmtId="0" xfId="0" applyAlignment="1" applyBorder="1" applyFont="1">
      <alignment readingOrder="0"/>
    </xf>
    <xf borderId="18" fillId="0" fontId="7" numFmtId="0" xfId="0" applyAlignment="1" applyBorder="1" applyFont="1">
      <alignment readingOrder="0"/>
    </xf>
    <xf borderId="0" fillId="0" fontId="4" numFmtId="0" xfId="0" applyAlignment="1" applyFont="1">
      <alignment horizontal="left" shrinkToFit="0" vertical="center" wrapText="1"/>
    </xf>
    <xf borderId="18" fillId="0" fontId="8" numFmtId="0" xfId="0" applyAlignment="1" applyBorder="1" applyFont="1">
      <alignment readingOrder="0"/>
    </xf>
    <xf borderId="18" fillId="0" fontId="9" numFmtId="0" xfId="0" applyAlignment="1" applyBorder="1" applyFont="1">
      <alignment readingOrder="0"/>
    </xf>
    <xf borderId="21" fillId="3" fontId="4" numFmtId="164" xfId="0" applyBorder="1" applyFill="1" applyFont="1" applyNumberFormat="1"/>
    <xf borderId="23" fillId="3" fontId="4" numFmtId="0" xfId="0" applyBorder="1" applyFill="1" applyFont="1"/>
    <xf borderId="24" fillId="0" fontId="3" numFmtId="0" xfId="0" applyBorder="1" applyFont="1"/>
    <xf borderId="23" fillId="3" fontId="4" numFmtId="164" xfId="0" applyBorder="1" applyFill="1" applyFont="1" applyNumberFormat="1"/>
    <xf borderId="24" fillId="3" fontId="4" numFmtId="0" xfId="0" applyBorder="1" applyFill="1" applyFont="1"/>
    <xf borderId="18" fillId="3" fontId="4" numFmtId="164" xfId="0" applyAlignment="1" applyBorder="1" applyFill="1" applyFont="1" applyNumberFormat="1">
      <alignment readingOrder="0"/>
    </xf>
    <xf borderId="17" fillId="3" fontId="4" numFmtId="0" xfId="0" applyAlignment="1" applyBorder="1" applyFill="1" applyFont="1">
      <alignment readingOrder="0"/>
    </xf>
    <xf borderId="17" fillId="3" fontId="4" numFmtId="164" xfId="0" applyBorder="1" applyFill="1" applyFont="1" applyNumberFormat="1"/>
    <xf borderId="17" fillId="3" fontId="4" numFmtId="0" xfId="0" applyBorder="1" applyFill="1" applyFont="1"/>
    <xf borderId="18" fillId="3" fontId="4" numFmtId="0" xfId="0" applyBorder="1" applyFill="1" applyFont="1"/>
    <xf borderId="25" fillId="0" fontId="4" numFmtId="0" xfId="0" applyBorder="1" applyFont="1"/>
    <xf borderId="25" fillId="0" fontId="4" numFmtId="164" xfId="0" applyBorder="1" applyFont="1" applyNumberFormat="1"/>
    <xf borderId="5" fillId="0" fontId="4" numFmtId="0" xfId="0" applyBorder="1" applyFont="1"/>
    <xf borderId="0" fillId="0" fontId="10" numFmtId="0" xfId="0" applyAlignment="1" applyFont="1">
      <alignment horizontal="left" shrinkToFit="0" vertical="center" wrapText="1"/>
    </xf>
    <xf borderId="0" fillId="0" fontId="10" numFmtId="0" xfId="0" applyFont="1"/>
    <xf borderId="0" fillId="0" fontId="10" numFmtId="164" xfId="0" applyFont="1" applyNumberFormat="1"/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0" numFmtId="0" xfId="0" applyAlignment="1" applyFont="1">
      <alignment horizontal="left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upang.com/vp/products/9644393705?itemId=28820360636&amp;vendorItemId=92379360232&amp;q=%ED%95%9C%EB%B3%B5+%ED%85%8C%EB%94%94%EB%B2%A0%EC%96%B4&amp;searchId=4751b41f6345277&amp;sourceType=search&amp;itemsCount=60&amp;searchRank=18&amp;rank=18&amp;traceId=mtlmkycs" TargetMode="External"/><Relationship Id="rId2" Type="http://schemas.openxmlformats.org/officeDocument/2006/relationships/hyperlink" Target="https://www.coupang.com/vp/products/7318043254?itemId=27744620578&amp;vendorItemId=94705631183&amp;pickType=COU_PICK&amp;q=%EB%B6%80%EC%B1%84&amp;searchId=3fdd492d563136&amp;sourceType=search&amp;itemsCount=60&amp;searchRank=7&amp;rank=7&amp;traceId=mt80cdlv" TargetMode="External"/><Relationship Id="rId3" Type="http://schemas.openxmlformats.org/officeDocument/2006/relationships/hyperlink" Target="https://www.coupang.com/vp/products/8787170058?itemId=23845461133&amp;vendorItemId=92635685675&amp;pickType=COU_PICK&amp;q=%EC%A4%84%EB%8B%A4%EB%A6%AC%EA%B8%B0+%EB%B0%A7%EC%A4%84&amp;searchId=4f54e3b67177886&amp;sourceType=search&amp;itemsCount=36&amp;searchRank=2&amp;rank=2&amp;traceId=mtjp9u5p" TargetMode="External"/><Relationship Id="rId4" Type="http://schemas.openxmlformats.org/officeDocument/2006/relationships/hyperlink" Target="https://www.coupang.com/vp/products/9624877004?itemId=28743603153&amp;vendorItemId=95682830899&amp;q=%ED%8A%B8%EB%9E%99+%EC%BD%98&amp;searchId=510e137a2779059&amp;sourceType=search&amp;itemsCount=36&amp;searchRank=2&amp;rank=2&amp;traceId=mtjpa8ph" TargetMode="External"/><Relationship Id="rId5" Type="http://schemas.openxmlformats.org/officeDocument/2006/relationships/hyperlink" Target="https://www.coupang.com/vp/products/8536337026?itemId=24712001027&amp;vendorItemId=91721359780&amp;q=%ED%98%B8%EB%A3%A8%EB%9D%BC%EA%B8%B0&amp;searchId=63aab6b71950509&amp;sourceType=search&amp;itemsCount=60&amp;searchRank=2&amp;rank=2&amp;traceId=mtk6djzk" TargetMode="External"/><Relationship Id="rId6" Type="http://schemas.openxmlformats.org/officeDocument/2006/relationships/hyperlink" Target="https://www.coupang.com/vp/products/9289511493?itemId=27708409648&amp;vendorItemId=94669986504&amp;q=%EB%BF%85%EB%A7%9D%EC%B9%98&amp;searchId=beeb72d9101969803&amp;sourceType=search&amp;itemsCount=60&amp;searchRank=3&amp;rank=3&amp;traceId=mtk6z30y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7.0"/>
    <col customWidth="1" min="3" max="7" width="11.38"/>
    <col customWidth="1" min="8" max="8" width="40.63"/>
    <col customWidth="1" min="9" max="9" width="7.63"/>
    <col customWidth="1" min="10" max="10" width="11.38"/>
    <col customWidth="1" min="11" max="26" width="7.63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6.5" customHeight="1">
      <c r="A2" s="1"/>
      <c r="B2" s="2" t="s">
        <v>0</v>
      </c>
      <c r="C2" s="3"/>
      <c r="D2" s="3"/>
      <c r="E2" s="4"/>
      <c r="F2" s="5" t="s">
        <v>1</v>
      </c>
      <c r="G2" s="5" t="s">
        <v>2</v>
      </c>
      <c r="H2" s="5" t="s">
        <v>3</v>
      </c>
      <c r="I2" s="1"/>
      <c r="J2" s="1"/>
      <c r="K2" s="1"/>
    </row>
    <row r="3" ht="16.5" customHeight="1">
      <c r="A3" s="1"/>
      <c r="B3" s="6"/>
      <c r="C3" s="7"/>
      <c r="D3" s="7"/>
      <c r="E3" s="8"/>
      <c r="F3" s="9"/>
      <c r="G3" s="9"/>
      <c r="H3" s="9"/>
      <c r="I3" s="1"/>
      <c r="J3" s="1"/>
      <c r="K3" s="1"/>
    </row>
    <row r="4" ht="16.5" customHeight="1">
      <c r="A4" s="1"/>
      <c r="B4" s="5" t="s">
        <v>4</v>
      </c>
      <c r="C4" s="10" t="s">
        <v>5</v>
      </c>
      <c r="D4" s="11"/>
      <c r="E4" s="12"/>
      <c r="F4" s="5" t="s">
        <v>6</v>
      </c>
      <c r="G4" s="10" t="s">
        <v>7</v>
      </c>
      <c r="H4" s="12"/>
      <c r="I4" s="1"/>
      <c r="J4" s="1"/>
      <c r="K4" s="1"/>
    </row>
    <row r="5" ht="16.5" customHeight="1">
      <c r="A5" s="1"/>
      <c r="B5" s="5" t="s">
        <v>8</v>
      </c>
      <c r="C5" s="9" t="s">
        <v>9</v>
      </c>
      <c r="D5" s="5" t="s">
        <v>10</v>
      </c>
      <c r="E5" s="9"/>
      <c r="F5" s="5" t="s">
        <v>11</v>
      </c>
      <c r="G5" s="10" t="s">
        <v>12</v>
      </c>
      <c r="H5" s="12"/>
      <c r="I5" s="1"/>
      <c r="J5" s="1"/>
      <c r="K5" s="1"/>
    </row>
    <row r="6">
      <c r="A6" s="1"/>
      <c r="B6" s="13" t="s">
        <v>13</v>
      </c>
      <c r="C6" s="13" t="s">
        <v>14</v>
      </c>
      <c r="D6" s="13" t="s">
        <v>15</v>
      </c>
      <c r="E6" s="13" t="s">
        <v>16</v>
      </c>
      <c r="F6" s="13" t="s">
        <v>17</v>
      </c>
      <c r="G6" s="14" t="s">
        <v>18</v>
      </c>
      <c r="H6" s="15"/>
      <c r="I6" s="1"/>
      <c r="J6" s="1"/>
      <c r="K6" s="1"/>
    </row>
    <row r="7">
      <c r="A7" s="16" t="s">
        <v>19</v>
      </c>
      <c r="B7" s="17" t="s">
        <v>20</v>
      </c>
      <c r="C7" s="18">
        <v>47.0</v>
      </c>
      <c r="D7" s="19">
        <v>5200.0</v>
      </c>
      <c r="E7" s="20">
        <f t="shared" ref="E7:E12" si="1">D7*C7</f>
        <v>244400</v>
      </c>
      <c r="F7" s="21" t="s">
        <v>21</v>
      </c>
      <c r="G7" s="22" t="s">
        <v>22</v>
      </c>
      <c r="H7" s="15"/>
      <c r="I7" s="1"/>
      <c r="J7" s="23" t="s">
        <v>23</v>
      </c>
      <c r="K7" s="1"/>
      <c r="L7" s="1"/>
    </row>
    <row r="8">
      <c r="A8" s="16"/>
      <c r="B8" s="24" t="s">
        <v>24</v>
      </c>
      <c r="C8" s="25">
        <v>150.0</v>
      </c>
      <c r="D8" s="26">
        <v>5200.0</v>
      </c>
      <c r="E8" s="27">
        <f t="shared" si="1"/>
        <v>780000</v>
      </c>
      <c r="F8" s="28" t="s">
        <v>21</v>
      </c>
      <c r="G8" s="29" t="s">
        <v>22</v>
      </c>
      <c r="H8" s="30"/>
      <c r="I8" s="1"/>
      <c r="J8" s="1"/>
      <c r="K8" s="1"/>
      <c r="L8" s="1"/>
    </row>
    <row r="9">
      <c r="A9" s="16"/>
      <c r="B9" s="31" t="s">
        <v>25</v>
      </c>
      <c r="C9" s="25">
        <v>20.0</v>
      </c>
      <c r="D9" s="26">
        <v>5200.0</v>
      </c>
      <c r="E9" s="27">
        <f t="shared" si="1"/>
        <v>104000</v>
      </c>
      <c r="F9" s="28" t="s">
        <v>26</v>
      </c>
      <c r="G9" s="29" t="s">
        <v>27</v>
      </c>
      <c r="H9" s="30"/>
      <c r="I9" s="1"/>
      <c r="J9" s="1"/>
      <c r="K9" s="1"/>
      <c r="L9" s="1"/>
    </row>
    <row r="10">
      <c r="A10" s="16" t="s">
        <v>28</v>
      </c>
      <c r="B10" s="32" t="s">
        <v>29</v>
      </c>
      <c r="C10" s="33">
        <v>47.0</v>
      </c>
      <c r="D10" s="34">
        <v>9500.0</v>
      </c>
      <c r="E10" s="35">
        <f t="shared" si="1"/>
        <v>446500</v>
      </c>
      <c r="F10" s="36" t="s">
        <v>30</v>
      </c>
      <c r="G10" s="37" t="s">
        <v>31</v>
      </c>
      <c r="H10" s="15"/>
      <c r="I10" s="1"/>
      <c r="J10" s="1"/>
      <c r="K10" s="1"/>
      <c r="L10" s="1"/>
    </row>
    <row r="11">
      <c r="A11" s="38"/>
      <c r="B11" s="32" t="s">
        <v>32</v>
      </c>
      <c r="C11" s="32">
        <v>150.0</v>
      </c>
      <c r="D11" s="34">
        <v>9500.0</v>
      </c>
      <c r="E11" s="35">
        <f t="shared" si="1"/>
        <v>1425000</v>
      </c>
      <c r="F11" s="36" t="s">
        <v>30</v>
      </c>
      <c r="G11" s="37" t="s">
        <v>31</v>
      </c>
      <c r="H11" s="15"/>
      <c r="I11" s="1"/>
      <c r="J11" s="1"/>
      <c r="K11" s="1"/>
      <c r="L11" s="1"/>
    </row>
    <row r="12">
      <c r="A12" s="38" t="s">
        <v>33</v>
      </c>
      <c r="B12" s="31" t="s">
        <v>34</v>
      </c>
      <c r="C12" s="31">
        <v>2.0</v>
      </c>
      <c r="D12" s="26">
        <v>37490.0</v>
      </c>
      <c r="E12" s="27">
        <f t="shared" si="1"/>
        <v>74980</v>
      </c>
      <c r="F12" s="28" t="s">
        <v>35</v>
      </c>
      <c r="G12" s="39" t="s">
        <v>36</v>
      </c>
      <c r="H12" s="30"/>
      <c r="I12" s="1"/>
      <c r="J12" s="1"/>
      <c r="K12" s="1"/>
      <c r="L12" s="1"/>
    </row>
    <row r="13">
      <c r="A13" s="38"/>
      <c r="B13" s="24" t="s">
        <v>37</v>
      </c>
      <c r="C13" s="31">
        <v>1.0</v>
      </c>
      <c r="D13" s="26">
        <v>75700.0</v>
      </c>
      <c r="E13" s="27">
        <v>75700.0</v>
      </c>
      <c r="F13" s="28" t="s">
        <v>35</v>
      </c>
      <c r="G13" s="39" t="s">
        <v>38</v>
      </c>
      <c r="H13" s="30"/>
      <c r="I13" s="1"/>
      <c r="J13" s="1"/>
      <c r="K13" s="1"/>
      <c r="L13" s="1"/>
    </row>
    <row r="14">
      <c r="A14" s="38"/>
      <c r="B14" s="31" t="s">
        <v>39</v>
      </c>
      <c r="C14" s="31">
        <v>2.0</v>
      </c>
      <c r="D14" s="26">
        <v>30280.0</v>
      </c>
      <c r="E14" s="27">
        <f t="shared" ref="E14:E43" si="2">D14*C14</f>
        <v>60560</v>
      </c>
      <c r="F14" s="28" t="s">
        <v>35</v>
      </c>
      <c r="G14" s="39" t="s">
        <v>40</v>
      </c>
      <c r="H14" s="30"/>
      <c r="I14" s="1"/>
      <c r="J14" s="1"/>
      <c r="K14" s="1"/>
      <c r="L14" s="1"/>
    </row>
    <row r="15">
      <c r="A15" s="38" t="s">
        <v>41</v>
      </c>
      <c r="B15" s="24" t="s">
        <v>42</v>
      </c>
      <c r="C15" s="31">
        <v>1.0</v>
      </c>
      <c r="D15" s="26">
        <v>17100.0</v>
      </c>
      <c r="E15" s="27">
        <f t="shared" si="2"/>
        <v>17100</v>
      </c>
      <c r="F15" s="28" t="s">
        <v>35</v>
      </c>
      <c r="G15" s="39" t="s">
        <v>43</v>
      </c>
      <c r="H15" s="30"/>
      <c r="I15" s="1"/>
      <c r="J15" s="1"/>
      <c r="K15" s="1"/>
      <c r="L15" s="1"/>
    </row>
    <row r="16">
      <c r="A16" s="38"/>
      <c r="B16" s="24" t="s">
        <v>44</v>
      </c>
      <c r="C16" s="31">
        <v>4.0</v>
      </c>
      <c r="D16" s="26">
        <v>35760.0</v>
      </c>
      <c r="E16" s="27">
        <f t="shared" si="2"/>
        <v>143040</v>
      </c>
      <c r="F16" s="28" t="s">
        <v>35</v>
      </c>
      <c r="G16" s="39" t="s">
        <v>45</v>
      </c>
      <c r="H16" s="30"/>
      <c r="I16" s="1"/>
      <c r="J16" s="1"/>
      <c r="K16" s="1"/>
      <c r="L16" s="1"/>
    </row>
    <row r="17">
      <c r="A17" s="38"/>
      <c r="B17" s="24" t="s">
        <v>46</v>
      </c>
      <c r="C17" s="31">
        <v>3.0</v>
      </c>
      <c r="D17" s="26">
        <v>28350.0</v>
      </c>
      <c r="E17" s="27">
        <f t="shared" si="2"/>
        <v>85050</v>
      </c>
      <c r="F17" s="28" t="s">
        <v>35</v>
      </c>
      <c r="G17" s="39" t="s">
        <v>47</v>
      </c>
      <c r="H17" s="30"/>
      <c r="I17" s="1"/>
      <c r="J17" s="1"/>
      <c r="K17" s="1"/>
      <c r="L17" s="1"/>
    </row>
    <row r="18">
      <c r="A18" s="38" t="s">
        <v>48</v>
      </c>
      <c r="B18" s="31" t="s">
        <v>49</v>
      </c>
      <c r="C18" s="31">
        <v>1.0</v>
      </c>
      <c r="D18" s="26">
        <v>26200.0</v>
      </c>
      <c r="E18" s="27">
        <f t="shared" si="2"/>
        <v>26200</v>
      </c>
      <c r="F18" s="28" t="s">
        <v>35</v>
      </c>
      <c r="G18" s="39" t="s">
        <v>50</v>
      </c>
      <c r="H18" s="30"/>
      <c r="I18" s="1"/>
      <c r="J18" s="1"/>
      <c r="K18" s="1"/>
      <c r="L18" s="1"/>
    </row>
    <row r="19">
      <c r="A19" s="38"/>
      <c r="B19" s="31" t="s">
        <v>51</v>
      </c>
      <c r="C19" s="31">
        <v>3.0</v>
      </c>
      <c r="D19" s="26">
        <v>9000.0</v>
      </c>
      <c r="E19" s="27">
        <f t="shared" si="2"/>
        <v>27000</v>
      </c>
      <c r="F19" s="28" t="s">
        <v>35</v>
      </c>
      <c r="G19" s="39" t="s">
        <v>52</v>
      </c>
      <c r="H19" s="30"/>
      <c r="I19" s="1"/>
      <c r="J19" s="1"/>
      <c r="K19" s="1"/>
      <c r="L19" s="1"/>
    </row>
    <row r="20">
      <c r="A20" s="38"/>
      <c r="B20" s="31" t="s">
        <v>53</v>
      </c>
      <c r="C20" s="31">
        <v>1.0</v>
      </c>
      <c r="D20" s="26">
        <v>5900.0</v>
      </c>
      <c r="E20" s="27">
        <f t="shared" si="2"/>
        <v>5900</v>
      </c>
      <c r="F20" s="28" t="s">
        <v>35</v>
      </c>
      <c r="G20" s="39" t="s">
        <v>54</v>
      </c>
      <c r="H20" s="30"/>
      <c r="I20" s="1"/>
      <c r="J20" s="1"/>
      <c r="K20" s="1"/>
      <c r="L20" s="1"/>
    </row>
    <row r="21">
      <c r="A21" s="38"/>
      <c r="B21" s="31" t="s">
        <v>55</v>
      </c>
      <c r="C21" s="31">
        <v>1.0</v>
      </c>
      <c r="D21" s="26">
        <v>9820.0</v>
      </c>
      <c r="E21" s="27">
        <f t="shared" si="2"/>
        <v>9820</v>
      </c>
      <c r="F21" s="28" t="s">
        <v>35</v>
      </c>
      <c r="G21" s="39" t="s">
        <v>56</v>
      </c>
      <c r="H21" s="30"/>
      <c r="I21" s="1"/>
      <c r="J21" s="1"/>
      <c r="K21" s="1"/>
      <c r="L21" s="1"/>
    </row>
    <row r="22">
      <c r="A22" s="38"/>
      <c r="B22" s="31" t="s">
        <v>57</v>
      </c>
      <c r="C22" s="31">
        <v>1.0</v>
      </c>
      <c r="D22" s="26">
        <v>11900.0</v>
      </c>
      <c r="E22" s="27">
        <f t="shared" si="2"/>
        <v>11900</v>
      </c>
      <c r="F22" s="28" t="s">
        <v>35</v>
      </c>
      <c r="G22" s="39" t="s">
        <v>58</v>
      </c>
      <c r="H22" s="30"/>
      <c r="I22" s="1"/>
      <c r="J22" s="1"/>
      <c r="K22" s="1"/>
      <c r="L22" s="1"/>
    </row>
    <row r="23">
      <c r="A23" s="38" t="s">
        <v>59</v>
      </c>
      <c r="B23" s="31" t="s">
        <v>60</v>
      </c>
      <c r="C23" s="31">
        <v>1.0</v>
      </c>
      <c r="D23" s="26">
        <v>21000.0</v>
      </c>
      <c r="E23" s="27">
        <f t="shared" si="2"/>
        <v>21000</v>
      </c>
      <c r="F23" s="28" t="s">
        <v>35</v>
      </c>
      <c r="G23" s="39" t="s">
        <v>61</v>
      </c>
      <c r="H23" s="30"/>
      <c r="I23" s="1"/>
      <c r="J23" s="1"/>
      <c r="K23" s="1"/>
      <c r="L23" s="1"/>
    </row>
    <row r="24">
      <c r="A24" s="38"/>
      <c r="B24" s="25" t="s">
        <v>62</v>
      </c>
      <c r="C24" s="25">
        <v>13.0</v>
      </c>
      <c r="D24" s="40">
        <v>5900.0</v>
      </c>
      <c r="E24" s="27">
        <f t="shared" si="2"/>
        <v>76700</v>
      </c>
      <c r="F24" s="41" t="s">
        <v>35</v>
      </c>
      <c r="G24" s="42" t="s">
        <v>63</v>
      </c>
      <c r="H24" s="30"/>
      <c r="I24" s="1"/>
      <c r="J24" s="1"/>
      <c r="K24" s="1"/>
      <c r="L24" s="1"/>
    </row>
    <row r="25">
      <c r="A25" s="38"/>
      <c r="B25" s="25" t="s">
        <v>64</v>
      </c>
      <c r="C25" s="25">
        <v>12.0</v>
      </c>
      <c r="D25" s="40">
        <v>5900.0</v>
      </c>
      <c r="E25" s="27">
        <f t="shared" si="2"/>
        <v>70800</v>
      </c>
      <c r="F25" s="28" t="s">
        <v>35</v>
      </c>
      <c r="G25" s="42" t="s">
        <v>65</v>
      </c>
      <c r="H25" s="30"/>
      <c r="I25" s="1"/>
      <c r="J25" s="1"/>
      <c r="K25" s="1"/>
      <c r="L25" s="1"/>
    </row>
    <row r="26">
      <c r="A26" s="43"/>
      <c r="B26" s="31" t="s">
        <v>66</v>
      </c>
      <c r="C26" s="31">
        <v>1.0</v>
      </c>
      <c r="D26" s="26">
        <v>3100.0</v>
      </c>
      <c r="E26" s="27">
        <f t="shared" si="2"/>
        <v>3100</v>
      </c>
      <c r="F26" s="28" t="s">
        <v>35</v>
      </c>
      <c r="G26" s="39" t="s">
        <v>67</v>
      </c>
      <c r="H26" s="30"/>
      <c r="I26" s="1"/>
      <c r="J26" s="1"/>
      <c r="K26" s="1"/>
      <c r="L26" s="1"/>
    </row>
    <row r="27">
      <c r="A27" s="43"/>
      <c r="B27" s="25" t="s">
        <v>68</v>
      </c>
      <c r="C27" s="25">
        <v>5.0</v>
      </c>
      <c r="D27" s="40">
        <v>15400.0</v>
      </c>
      <c r="E27" s="27">
        <f t="shared" si="2"/>
        <v>77000</v>
      </c>
      <c r="F27" s="41" t="s">
        <v>35</v>
      </c>
      <c r="G27" s="44" t="s">
        <v>69</v>
      </c>
      <c r="H27" s="30"/>
      <c r="I27" s="1"/>
      <c r="J27" s="1"/>
      <c r="K27" s="1"/>
      <c r="L27" s="1"/>
    </row>
    <row r="28">
      <c r="A28" s="43"/>
      <c r="B28" s="25" t="s">
        <v>70</v>
      </c>
      <c r="C28" s="25">
        <v>1.0</v>
      </c>
      <c r="D28" s="40">
        <v>9900.0</v>
      </c>
      <c r="E28" s="27">
        <f t="shared" si="2"/>
        <v>9900</v>
      </c>
      <c r="F28" s="41" t="s">
        <v>35</v>
      </c>
      <c r="G28" s="44" t="s">
        <v>71</v>
      </c>
      <c r="H28" s="30"/>
      <c r="I28" s="1"/>
      <c r="J28" s="1"/>
      <c r="K28" s="1"/>
      <c r="L28" s="1"/>
    </row>
    <row r="29">
      <c r="A29" s="43"/>
      <c r="B29" s="31" t="s">
        <v>72</v>
      </c>
      <c r="C29" s="31">
        <v>1.0</v>
      </c>
      <c r="D29" s="26">
        <v>9900.0</v>
      </c>
      <c r="E29" s="27">
        <f t="shared" si="2"/>
        <v>9900</v>
      </c>
      <c r="F29" s="28" t="s">
        <v>35</v>
      </c>
      <c r="G29" s="39" t="s">
        <v>73</v>
      </c>
      <c r="H29" s="30"/>
      <c r="I29" s="1"/>
      <c r="J29" s="1"/>
      <c r="K29" s="1"/>
      <c r="L29" s="1"/>
    </row>
    <row r="30">
      <c r="A30" s="43"/>
      <c r="B30" s="31" t="s">
        <v>74</v>
      </c>
      <c r="C30" s="31">
        <v>1.0</v>
      </c>
      <c r="D30" s="26">
        <v>14200.0</v>
      </c>
      <c r="E30" s="27">
        <f t="shared" si="2"/>
        <v>14200</v>
      </c>
      <c r="F30" s="28" t="s">
        <v>35</v>
      </c>
      <c r="G30" s="39" t="s">
        <v>75</v>
      </c>
      <c r="H30" s="30"/>
      <c r="I30" s="1"/>
      <c r="J30" s="1"/>
      <c r="K30" s="1"/>
      <c r="L30" s="1"/>
    </row>
    <row r="31">
      <c r="A31" s="43"/>
      <c r="B31" s="31" t="s">
        <v>76</v>
      </c>
      <c r="C31" s="31">
        <v>1.0</v>
      </c>
      <c r="D31" s="26">
        <v>10430.0</v>
      </c>
      <c r="E31" s="27">
        <f t="shared" si="2"/>
        <v>10430</v>
      </c>
      <c r="F31" s="41" t="s">
        <v>35</v>
      </c>
      <c r="G31" s="39" t="s">
        <v>77</v>
      </c>
      <c r="H31" s="30"/>
      <c r="I31" s="1"/>
      <c r="J31" s="1"/>
      <c r="K31" s="1"/>
      <c r="L31" s="1"/>
    </row>
    <row r="32">
      <c r="A32" s="43"/>
      <c r="B32" s="25" t="s">
        <v>78</v>
      </c>
      <c r="C32" s="25">
        <v>1.0</v>
      </c>
      <c r="D32" s="40">
        <v>4990.0</v>
      </c>
      <c r="E32" s="27">
        <f t="shared" si="2"/>
        <v>4990</v>
      </c>
      <c r="F32" s="41" t="s">
        <v>35</v>
      </c>
      <c r="G32" s="45" t="s">
        <v>79</v>
      </c>
      <c r="H32" s="30"/>
      <c r="I32" s="1"/>
      <c r="J32" s="1"/>
      <c r="K32" s="1"/>
      <c r="L32" s="1"/>
    </row>
    <row r="33">
      <c r="A33" s="43"/>
      <c r="B33" s="25" t="s">
        <v>80</v>
      </c>
      <c r="C33" s="25">
        <v>2.0</v>
      </c>
      <c r="D33" s="40">
        <v>11200.0</v>
      </c>
      <c r="E33" s="27">
        <f t="shared" si="2"/>
        <v>22400</v>
      </c>
      <c r="F33" s="41" t="s">
        <v>35</v>
      </c>
      <c r="G33" s="45" t="s">
        <v>81</v>
      </c>
      <c r="H33" s="30"/>
      <c r="I33" s="1"/>
      <c r="J33" s="1"/>
      <c r="K33" s="1"/>
      <c r="L33" s="1"/>
    </row>
    <row r="34">
      <c r="A34" s="43"/>
      <c r="B34" s="31" t="s">
        <v>82</v>
      </c>
      <c r="C34" s="31"/>
      <c r="D34" s="26"/>
      <c r="E34" s="27">
        <f t="shared" si="2"/>
        <v>0</v>
      </c>
      <c r="F34" s="28"/>
      <c r="G34" s="29"/>
      <c r="H34" s="30"/>
      <c r="I34" s="1"/>
      <c r="J34" s="1"/>
      <c r="K34" s="1"/>
      <c r="L34" s="1"/>
    </row>
    <row r="35">
      <c r="A35" s="43"/>
      <c r="B35" s="31" t="s">
        <v>83</v>
      </c>
      <c r="C35" s="31">
        <v>4.0</v>
      </c>
      <c r="D35" s="26">
        <v>12000.0</v>
      </c>
      <c r="E35" s="27">
        <f t="shared" si="2"/>
        <v>48000</v>
      </c>
      <c r="F35" s="28" t="s">
        <v>84</v>
      </c>
      <c r="G35" s="39" t="s">
        <v>85</v>
      </c>
      <c r="H35" s="30"/>
      <c r="I35" s="1"/>
      <c r="J35" s="1"/>
      <c r="K35" s="1"/>
      <c r="L35" s="1"/>
    </row>
    <row r="36">
      <c r="A36" s="43"/>
      <c r="B36" s="33" t="s">
        <v>86</v>
      </c>
      <c r="C36" s="32"/>
      <c r="D36" s="46"/>
      <c r="E36" s="35">
        <f t="shared" si="2"/>
        <v>0</v>
      </c>
      <c r="F36" s="36"/>
      <c r="G36" s="47"/>
      <c r="H36" s="48"/>
      <c r="I36" s="1"/>
      <c r="J36" s="1"/>
      <c r="K36" s="1"/>
      <c r="L36" s="1"/>
    </row>
    <row r="37">
      <c r="A37" s="43"/>
      <c r="B37" s="33" t="s">
        <v>87</v>
      </c>
      <c r="C37" s="32"/>
      <c r="D37" s="49"/>
      <c r="E37" s="35">
        <f t="shared" si="2"/>
        <v>0</v>
      </c>
      <c r="F37" s="50"/>
      <c r="G37" s="32"/>
      <c r="H37" s="32"/>
      <c r="I37" s="1"/>
      <c r="J37" s="1"/>
      <c r="K37" s="1"/>
      <c r="L37" s="1"/>
    </row>
    <row r="38">
      <c r="A38" s="43"/>
      <c r="B38" s="32" t="s">
        <v>88</v>
      </c>
      <c r="C38" s="32"/>
      <c r="D38" s="35"/>
      <c r="E38" s="35">
        <f t="shared" si="2"/>
        <v>0</v>
      </c>
      <c r="F38" s="32"/>
      <c r="G38" s="47"/>
      <c r="H38" s="48"/>
      <c r="I38" s="1"/>
      <c r="J38" s="1"/>
      <c r="K38" s="1"/>
      <c r="L38" s="1"/>
    </row>
    <row r="39">
      <c r="A39" s="43"/>
      <c r="B39" s="32" t="s">
        <v>89</v>
      </c>
      <c r="C39" s="32"/>
      <c r="D39" s="35"/>
      <c r="E39" s="35">
        <f t="shared" si="2"/>
        <v>0</v>
      </c>
      <c r="F39" s="32"/>
      <c r="G39" s="47"/>
      <c r="H39" s="48"/>
      <c r="I39" s="1"/>
      <c r="J39" s="1"/>
      <c r="K39" s="1"/>
      <c r="L39" s="1"/>
    </row>
    <row r="40">
      <c r="A40" s="43"/>
      <c r="B40" s="32" t="s">
        <v>90</v>
      </c>
      <c r="C40" s="32"/>
      <c r="D40" s="35"/>
      <c r="E40" s="35">
        <f t="shared" si="2"/>
        <v>0</v>
      </c>
      <c r="F40" s="32"/>
      <c r="G40" s="47"/>
      <c r="H40" s="48"/>
      <c r="I40" s="1"/>
      <c r="J40" s="1"/>
      <c r="K40" s="1"/>
      <c r="L40" s="1"/>
    </row>
    <row r="41">
      <c r="A41" s="43"/>
      <c r="B41" s="32" t="s">
        <v>91</v>
      </c>
      <c r="C41" s="33">
        <v>3.0</v>
      </c>
      <c r="D41" s="35"/>
      <c r="E41" s="35">
        <f t="shared" si="2"/>
        <v>0</v>
      </c>
      <c r="F41" s="32"/>
      <c r="G41" s="47"/>
      <c r="H41" s="48"/>
      <c r="I41" s="1"/>
      <c r="J41" s="1"/>
      <c r="K41" s="1"/>
      <c r="L41" s="1"/>
    </row>
    <row r="42">
      <c r="A42" s="43"/>
      <c r="B42" s="33" t="s">
        <v>92</v>
      </c>
      <c r="C42" s="33">
        <v>1.0</v>
      </c>
      <c r="D42" s="51">
        <v>879000.0</v>
      </c>
      <c r="E42" s="35">
        <f t="shared" si="2"/>
        <v>879000</v>
      </c>
      <c r="F42" s="32"/>
      <c r="G42" s="47"/>
      <c r="H42" s="48"/>
      <c r="I42" s="1"/>
      <c r="J42" s="1"/>
      <c r="K42" s="1"/>
      <c r="L42" s="1"/>
    </row>
    <row r="43">
      <c r="A43" s="43"/>
      <c r="B43" s="52" t="s">
        <v>93</v>
      </c>
      <c r="C43" s="52">
        <v>3.0</v>
      </c>
      <c r="D43" s="51">
        <v>350000.0</v>
      </c>
      <c r="E43" s="53">
        <f t="shared" si="2"/>
        <v>1050000</v>
      </c>
      <c r="F43" s="54"/>
      <c r="G43" s="55"/>
      <c r="H43" s="30"/>
      <c r="I43" s="1"/>
      <c r="J43" s="1"/>
      <c r="K43" s="1"/>
      <c r="L43" s="1"/>
    </row>
    <row r="44">
      <c r="A44" s="43"/>
      <c r="B44" s="31" t="s">
        <v>94</v>
      </c>
      <c r="C44" s="31"/>
      <c r="D44" s="27"/>
      <c r="E44" s="27">
        <f>SUM(E7:E43)</f>
        <v>5834570</v>
      </c>
      <c r="F44" s="31"/>
      <c r="G44" s="29"/>
      <c r="H44" s="30"/>
      <c r="I44" s="1"/>
      <c r="J44" s="1"/>
      <c r="K44" s="1"/>
      <c r="L44" s="1"/>
    </row>
    <row r="45">
      <c r="A45" s="43"/>
      <c r="B45" s="25" t="s">
        <v>95</v>
      </c>
      <c r="C45" s="31"/>
      <c r="D45" s="27"/>
      <c r="E45" s="27">
        <f>15000*170</f>
        <v>2550000</v>
      </c>
      <c r="F45" s="31"/>
      <c r="G45" s="29"/>
      <c r="H45" s="30"/>
      <c r="I45" s="1"/>
      <c r="J45" s="1"/>
      <c r="K45" s="1"/>
      <c r="L45" s="1"/>
    </row>
    <row r="46">
      <c r="A46" s="43"/>
      <c r="B46" s="31" t="s">
        <v>96</v>
      </c>
      <c r="C46" s="31"/>
      <c r="D46" s="27"/>
      <c r="E46" s="27">
        <f>E7+E10+E11+E43+E42</f>
        <v>4044900</v>
      </c>
      <c r="F46" s="31"/>
      <c r="G46" s="29"/>
      <c r="H46" s="30"/>
      <c r="I46" s="1"/>
      <c r="J46" s="1"/>
      <c r="K46" s="1"/>
      <c r="L46" s="1"/>
    </row>
    <row r="47">
      <c r="A47" s="43"/>
      <c r="B47" s="56" t="s">
        <v>97</v>
      </c>
      <c r="C47" s="56"/>
      <c r="D47" s="56"/>
      <c r="E47" s="57">
        <f>E45+E46-E44</f>
        <v>760330</v>
      </c>
      <c r="F47" s="56"/>
      <c r="G47" s="58"/>
      <c r="H47" s="8"/>
      <c r="I47" s="1"/>
      <c r="J47" s="1"/>
      <c r="K47" s="1"/>
      <c r="L47" s="1"/>
    </row>
    <row r="48" ht="16.5" customHeight="1">
      <c r="A48" s="59"/>
      <c r="B48" s="60"/>
      <c r="D48" s="61"/>
      <c r="E48" s="61"/>
      <c r="G48" s="60"/>
    </row>
    <row r="49" ht="16.5" customHeight="1">
      <c r="A49" s="59"/>
      <c r="B49" s="60"/>
      <c r="G49" s="60"/>
    </row>
    <row r="50" ht="16.5" customHeight="1">
      <c r="A50" s="59"/>
      <c r="B50" s="60"/>
      <c r="G50" s="60"/>
    </row>
    <row r="51">
      <c r="A51" s="59"/>
      <c r="B51" s="60"/>
      <c r="D51" s="61"/>
      <c r="E51" s="61"/>
      <c r="G51" s="60"/>
    </row>
    <row r="52">
      <c r="A52" s="59"/>
      <c r="B52" s="62" t="s">
        <v>98</v>
      </c>
      <c r="C52" s="63">
        <v>15200.0</v>
      </c>
      <c r="D52" s="63">
        <v>20099.0</v>
      </c>
      <c r="E52" s="63">
        <v>9500.0</v>
      </c>
      <c r="G52" s="60"/>
    </row>
    <row r="53">
      <c r="A53" s="59"/>
      <c r="B53" s="64" t="s">
        <v>99</v>
      </c>
      <c r="C53" s="64">
        <f t="shared" ref="C53:E53" si="3">47*5200+217*10000+sum($E$42:$E$43)</f>
        <v>4343400</v>
      </c>
      <c r="D53" s="64">
        <f t="shared" si="3"/>
        <v>4343400</v>
      </c>
      <c r="E53" s="64">
        <f t="shared" si="3"/>
        <v>4343400</v>
      </c>
      <c r="G53" s="60"/>
    </row>
    <row r="54">
      <c r="A54" s="59"/>
      <c r="B54" s="64" t="s">
        <v>100</v>
      </c>
      <c r="C54" s="64">
        <f t="shared" ref="C54:E54" si="4">15000*170</f>
        <v>2550000</v>
      </c>
      <c r="D54" s="64">
        <f t="shared" si="4"/>
        <v>2550000</v>
      </c>
      <c r="E54" s="64">
        <f t="shared" si="4"/>
        <v>2550000</v>
      </c>
      <c r="G54" s="60"/>
    </row>
    <row r="55">
      <c r="A55" s="59"/>
      <c r="B55" s="64" t="s">
        <v>101</v>
      </c>
      <c r="C55" s="64">
        <f t="shared" ref="C55:E55" si="5">C53+C54</f>
        <v>6893400</v>
      </c>
      <c r="D55" s="64">
        <f t="shared" si="5"/>
        <v>6893400</v>
      </c>
      <c r="E55" s="64">
        <f t="shared" si="5"/>
        <v>6893400</v>
      </c>
      <c r="G55" s="60"/>
    </row>
    <row r="56">
      <c r="A56" s="65"/>
      <c r="B56" s="64" t="s">
        <v>102</v>
      </c>
      <c r="C56" s="64">
        <f t="shared" ref="C56:E56" si="6">sum($E$7:$E$9,$E$12:$E$38)+217*C52+sum($E$42:$E$43)</f>
        <v>7261470</v>
      </c>
      <c r="D56" s="64">
        <f t="shared" si="6"/>
        <v>8324553</v>
      </c>
      <c r="E56" s="64">
        <f t="shared" si="6"/>
        <v>6024570</v>
      </c>
      <c r="G56" s="60"/>
    </row>
    <row r="57">
      <c r="A57" s="65"/>
      <c r="B57" s="64" t="s">
        <v>103</v>
      </c>
      <c r="C57" s="64">
        <f t="shared" ref="C57:E57" si="7">C55-C56</f>
        <v>-368070</v>
      </c>
      <c r="D57" s="64">
        <f t="shared" si="7"/>
        <v>-1431153</v>
      </c>
      <c r="E57" s="64">
        <f t="shared" si="7"/>
        <v>868830</v>
      </c>
      <c r="G57" s="60"/>
    </row>
    <row r="58">
      <c r="B58" s="66"/>
      <c r="C58" s="66"/>
      <c r="D58" s="67"/>
      <c r="E58" s="67"/>
      <c r="F58" s="68"/>
      <c r="G58" s="60"/>
    </row>
    <row r="59">
      <c r="B59" s="69"/>
      <c r="C59" s="64"/>
      <c r="D59" s="64"/>
      <c r="E59" s="64"/>
      <c r="F59" s="64"/>
      <c r="G59" s="60"/>
    </row>
    <row r="60">
      <c r="B60" s="60"/>
      <c r="D60" s="61"/>
      <c r="E60" s="61"/>
      <c r="G60" s="60"/>
    </row>
    <row r="61">
      <c r="B61" s="60"/>
      <c r="D61" s="61"/>
      <c r="E61" s="61"/>
      <c r="G61" s="60"/>
    </row>
    <row r="62">
      <c r="B62" s="60"/>
      <c r="D62" s="61"/>
      <c r="E62" s="61"/>
      <c r="G62" s="60"/>
    </row>
    <row r="63">
      <c r="B63" s="60"/>
      <c r="D63" s="61"/>
      <c r="E63" s="61"/>
      <c r="G63" s="60"/>
    </row>
    <row r="64">
      <c r="B64" s="60"/>
      <c r="D64" s="61"/>
      <c r="E64" s="61"/>
      <c r="G64" s="60"/>
    </row>
    <row r="65">
      <c r="B65" s="60"/>
      <c r="D65" s="61"/>
      <c r="E65" s="61"/>
      <c r="G65" s="60"/>
    </row>
    <row r="66">
      <c r="B66" s="60"/>
      <c r="D66" s="61"/>
      <c r="E66" s="61"/>
      <c r="G66" s="60"/>
    </row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</sheetData>
  <mergeCells count="64">
    <mergeCell ref="G59:H59"/>
    <mergeCell ref="G60:H60"/>
    <mergeCell ref="G61:H61"/>
    <mergeCell ref="G62:H62"/>
    <mergeCell ref="G63:H63"/>
    <mergeCell ref="G64:H64"/>
    <mergeCell ref="G65:H65"/>
    <mergeCell ref="G66:H66"/>
    <mergeCell ref="G52:H52"/>
    <mergeCell ref="G53:H53"/>
    <mergeCell ref="G54:H54"/>
    <mergeCell ref="G55:H55"/>
    <mergeCell ref="G56:H56"/>
    <mergeCell ref="G57:H57"/>
    <mergeCell ref="G58:H58"/>
    <mergeCell ref="B2:E3"/>
    <mergeCell ref="C4:E4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</mergeCells>
  <hyperlinks>
    <hyperlink r:id="rId1" ref="G24"/>
    <hyperlink r:id="rId2" ref="G25"/>
    <hyperlink r:id="rId3" ref="G27"/>
    <hyperlink r:id="rId4" ref="G28"/>
    <hyperlink r:id="rId5" ref="G32"/>
    <hyperlink r:id="rId6" ref="G33"/>
  </hyperlinks>
  <printOptions/>
  <pageMargins bottom="1.0" footer="0.0" header="0.0" left="0.75" right="0.75" top="1.0"/>
  <pageSetup orientation="landscape"/>
  <drawing r:id="rId7"/>
</worksheet>
</file>